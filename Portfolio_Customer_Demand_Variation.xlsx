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62248\Downloads\Rafael ZF\ZF Lifetec\Data IA Challenge\Customer Demand Variation\"/>
    </mc:Choice>
  </mc:AlternateContent>
  <xr:revisionPtr revIDLastSave="0" documentId="13_ncr:1_{C19BAE72-5922-4F86-A3CE-25BC7A3BC479}" xr6:coauthVersionLast="47" xr6:coauthVersionMax="47" xr10:uidLastSave="{00000000-0000-0000-0000-000000000000}"/>
  <bookViews>
    <workbookView xWindow="-108" yWindow="-108" windowWidth="23256" windowHeight="12456" activeTab="2" xr2:uid="{8D0B06CB-701E-4984-9A93-2A326F287079}"/>
  </bookViews>
  <sheets>
    <sheet name="Sheet1" sheetId="1" r:id="rId1"/>
    <sheet name="Sheet3" sheetId="3" r:id="rId2"/>
    <sheet name="Final" sheetId="4" r:id="rId3"/>
  </sheets>
  <definedNames>
    <definedName name="_xlnm._FilterDatabase" localSheetId="2" hidden="1">Final!$A$1:$O$1093</definedName>
    <definedName name="_xlnm._FilterDatabase" localSheetId="0" hidden="1">Sheet1!$A$1:$O$1093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42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990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38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886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34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782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30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678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26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574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22" i="1"/>
  <c r="H210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834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782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30" i="1"/>
  <c r="O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678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26" i="1"/>
  <c r="D625" i="1"/>
  <c r="K625" i="1"/>
  <c r="J625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F575" i="1"/>
  <c r="J575" i="1"/>
  <c r="K575" i="1"/>
  <c r="F576" i="1"/>
  <c r="J576" i="1"/>
  <c r="K576" i="1"/>
  <c r="F577" i="1"/>
  <c r="J577" i="1"/>
  <c r="K577" i="1"/>
  <c r="F578" i="1"/>
  <c r="J578" i="1"/>
  <c r="K578" i="1"/>
  <c r="F579" i="1"/>
  <c r="J579" i="1"/>
  <c r="K579" i="1"/>
  <c r="F580" i="1"/>
  <c r="J580" i="1"/>
  <c r="K580" i="1"/>
  <c r="F581" i="1"/>
  <c r="J581" i="1"/>
  <c r="K581" i="1"/>
  <c r="F582" i="1"/>
  <c r="J582" i="1"/>
  <c r="K582" i="1"/>
  <c r="F583" i="1"/>
  <c r="J583" i="1"/>
  <c r="K583" i="1"/>
  <c r="F584" i="1"/>
  <c r="J584" i="1"/>
  <c r="K584" i="1"/>
  <c r="F585" i="1"/>
  <c r="J585" i="1"/>
  <c r="K585" i="1"/>
  <c r="F586" i="1"/>
  <c r="J586" i="1"/>
  <c r="K586" i="1"/>
  <c r="F587" i="1"/>
  <c r="J587" i="1"/>
  <c r="K587" i="1"/>
  <c r="F588" i="1"/>
  <c r="J588" i="1"/>
  <c r="K588" i="1"/>
  <c r="F589" i="1"/>
  <c r="J589" i="1"/>
  <c r="K589" i="1"/>
  <c r="F590" i="1"/>
  <c r="J590" i="1"/>
  <c r="K590" i="1"/>
  <c r="F591" i="1"/>
  <c r="J591" i="1"/>
  <c r="K591" i="1"/>
  <c r="F592" i="1"/>
  <c r="J592" i="1"/>
  <c r="K592" i="1"/>
  <c r="F593" i="1"/>
  <c r="J593" i="1"/>
  <c r="K593" i="1"/>
  <c r="F594" i="1"/>
  <c r="J594" i="1"/>
  <c r="K594" i="1"/>
  <c r="F595" i="1"/>
  <c r="J595" i="1"/>
  <c r="K595" i="1"/>
  <c r="F596" i="1"/>
  <c r="J596" i="1"/>
  <c r="K596" i="1"/>
  <c r="F597" i="1"/>
  <c r="J597" i="1"/>
  <c r="K597" i="1"/>
  <c r="F598" i="1"/>
  <c r="J598" i="1"/>
  <c r="K598" i="1"/>
  <c r="F599" i="1"/>
  <c r="J599" i="1"/>
  <c r="K599" i="1"/>
  <c r="F600" i="1"/>
  <c r="J600" i="1"/>
  <c r="K600" i="1"/>
  <c r="F601" i="1"/>
  <c r="J601" i="1"/>
  <c r="K601" i="1"/>
  <c r="F602" i="1"/>
  <c r="J602" i="1"/>
  <c r="K602" i="1"/>
  <c r="F603" i="1"/>
  <c r="J603" i="1"/>
  <c r="K603" i="1"/>
  <c r="F604" i="1"/>
  <c r="J604" i="1"/>
  <c r="K604" i="1"/>
  <c r="F605" i="1"/>
  <c r="J605" i="1"/>
  <c r="K605" i="1"/>
  <c r="F606" i="1"/>
  <c r="J606" i="1"/>
  <c r="K606" i="1"/>
  <c r="F607" i="1"/>
  <c r="J607" i="1"/>
  <c r="K607" i="1"/>
  <c r="F608" i="1"/>
  <c r="J608" i="1"/>
  <c r="K608" i="1"/>
  <c r="F609" i="1"/>
  <c r="J609" i="1"/>
  <c r="K609" i="1"/>
  <c r="F610" i="1"/>
  <c r="J610" i="1"/>
  <c r="K610" i="1"/>
  <c r="F611" i="1"/>
  <c r="J611" i="1"/>
  <c r="K611" i="1"/>
  <c r="F612" i="1"/>
  <c r="J612" i="1"/>
  <c r="K612" i="1"/>
  <c r="F613" i="1"/>
  <c r="J613" i="1"/>
  <c r="K613" i="1"/>
  <c r="F614" i="1"/>
  <c r="J614" i="1"/>
  <c r="K614" i="1"/>
  <c r="F615" i="1"/>
  <c r="J615" i="1"/>
  <c r="K615" i="1"/>
  <c r="F616" i="1"/>
  <c r="J616" i="1"/>
  <c r="K616" i="1"/>
  <c r="F617" i="1"/>
  <c r="J617" i="1"/>
  <c r="K617" i="1"/>
  <c r="F618" i="1"/>
  <c r="J618" i="1"/>
  <c r="K618" i="1"/>
  <c r="F619" i="1"/>
  <c r="J619" i="1"/>
  <c r="K619" i="1"/>
  <c r="F620" i="1"/>
  <c r="J620" i="1"/>
  <c r="K620" i="1"/>
  <c r="F621" i="1"/>
  <c r="J621" i="1"/>
  <c r="K621" i="1"/>
  <c r="F622" i="1"/>
  <c r="J622" i="1"/>
  <c r="K622" i="1"/>
  <c r="F623" i="1"/>
  <c r="J623" i="1"/>
  <c r="K623" i="1"/>
  <c r="F624" i="1"/>
  <c r="J624" i="1"/>
  <c r="K624" i="1"/>
  <c r="F625" i="1"/>
  <c r="F626" i="1"/>
  <c r="J626" i="1"/>
  <c r="K626" i="1"/>
  <c r="F627" i="1"/>
  <c r="J627" i="1"/>
  <c r="K627" i="1"/>
  <c r="F628" i="1"/>
  <c r="J628" i="1"/>
  <c r="K628" i="1"/>
  <c r="F629" i="1"/>
  <c r="J629" i="1"/>
  <c r="K629" i="1"/>
  <c r="F630" i="1"/>
  <c r="J630" i="1"/>
  <c r="K630" i="1"/>
  <c r="F631" i="1"/>
  <c r="J631" i="1"/>
  <c r="K631" i="1"/>
  <c r="F632" i="1"/>
  <c r="J632" i="1"/>
  <c r="K632" i="1"/>
  <c r="F633" i="1"/>
  <c r="J633" i="1"/>
  <c r="K633" i="1"/>
  <c r="F634" i="1"/>
  <c r="J634" i="1"/>
  <c r="K634" i="1"/>
  <c r="F635" i="1"/>
  <c r="J635" i="1"/>
  <c r="K635" i="1"/>
  <c r="F636" i="1"/>
  <c r="J636" i="1"/>
  <c r="K636" i="1"/>
  <c r="F637" i="1"/>
  <c r="J637" i="1"/>
  <c r="K637" i="1"/>
  <c r="F638" i="1"/>
  <c r="J638" i="1"/>
  <c r="K638" i="1"/>
  <c r="F639" i="1"/>
  <c r="J639" i="1"/>
  <c r="K639" i="1"/>
  <c r="F640" i="1"/>
  <c r="J640" i="1"/>
  <c r="K640" i="1"/>
  <c r="F641" i="1"/>
  <c r="J641" i="1"/>
  <c r="K641" i="1"/>
  <c r="F642" i="1"/>
  <c r="J642" i="1"/>
  <c r="K642" i="1"/>
  <c r="F643" i="1"/>
  <c r="J643" i="1"/>
  <c r="K643" i="1"/>
  <c r="F644" i="1"/>
  <c r="J644" i="1"/>
  <c r="K644" i="1"/>
  <c r="F645" i="1"/>
  <c r="J645" i="1"/>
  <c r="K645" i="1"/>
  <c r="F646" i="1"/>
  <c r="J646" i="1"/>
  <c r="K646" i="1"/>
  <c r="F647" i="1"/>
  <c r="J647" i="1"/>
  <c r="K647" i="1"/>
  <c r="F648" i="1"/>
  <c r="J648" i="1"/>
  <c r="K648" i="1"/>
  <c r="F649" i="1"/>
  <c r="J649" i="1"/>
  <c r="K649" i="1"/>
  <c r="F650" i="1"/>
  <c r="J650" i="1"/>
  <c r="K650" i="1"/>
  <c r="F651" i="1"/>
  <c r="J651" i="1"/>
  <c r="K651" i="1"/>
  <c r="F652" i="1"/>
  <c r="J652" i="1"/>
  <c r="K652" i="1"/>
  <c r="F653" i="1"/>
  <c r="J653" i="1"/>
  <c r="K653" i="1"/>
  <c r="F654" i="1"/>
  <c r="J654" i="1"/>
  <c r="K654" i="1"/>
  <c r="F655" i="1"/>
  <c r="J655" i="1"/>
  <c r="K655" i="1"/>
  <c r="F656" i="1"/>
  <c r="J656" i="1"/>
  <c r="K656" i="1"/>
  <c r="F657" i="1"/>
  <c r="J657" i="1"/>
  <c r="K657" i="1"/>
  <c r="F658" i="1"/>
  <c r="J658" i="1"/>
  <c r="K658" i="1"/>
  <c r="F659" i="1"/>
  <c r="J659" i="1"/>
  <c r="K659" i="1"/>
  <c r="F660" i="1"/>
  <c r="J660" i="1"/>
  <c r="K660" i="1"/>
  <c r="F661" i="1"/>
  <c r="J661" i="1"/>
  <c r="K661" i="1"/>
  <c r="F662" i="1"/>
  <c r="J662" i="1"/>
  <c r="K662" i="1"/>
  <c r="F663" i="1"/>
  <c r="J663" i="1"/>
  <c r="K663" i="1"/>
  <c r="F664" i="1"/>
  <c r="J664" i="1"/>
  <c r="K664" i="1"/>
  <c r="F665" i="1"/>
  <c r="J665" i="1"/>
  <c r="K665" i="1"/>
  <c r="F666" i="1"/>
  <c r="J666" i="1"/>
  <c r="K666" i="1"/>
  <c r="F667" i="1"/>
  <c r="J667" i="1"/>
  <c r="K667" i="1"/>
  <c r="F668" i="1"/>
  <c r="J668" i="1"/>
  <c r="K668" i="1"/>
  <c r="F669" i="1"/>
  <c r="J669" i="1"/>
  <c r="K669" i="1"/>
  <c r="F670" i="1"/>
  <c r="J670" i="1"/>
  <c r="K670" i="1"/>
  <c r="F671" i="1"/>
  <c r="J671" i="1"/>
  <c r="K671" i="1"/>
  <c r="F672" i="1"/>
  <c r="J672" i="1"/>
  <c r="K672" i="1"/>
  <c r="F673" i="1"/>
  <c r="J673" i="1"/>
  <c r="K673" i="1"/>
  <c r="F674" i="1"/>
  <c r="J674" i="1"/>
  <c r="K674" i="1"/>
  <c r="F675" i="1"/>
  <c r="J675" i="1"/>
  <c r="K675" i="1"/>
  <c r="F676" i="1"/>
  <c r="J676" i="1"/>
  <c r="K676" i="1"/>
  <c r="F677" i="1"/>
  <c r="J677" i="1"/>
  <c r="K677" i="1"/>
  <c r="F678" i="1"/>
  <c r="J678" i="1"/>
  <c r="K678" i="1"/>
  <c r="F679" i="1"/>
  <c r="J679" i="1"/>
  <c r="K679" i="1"/>
  <c r="F680" i="1"/>
  <c r="J680" i="1"/>
  <c r="K680" i="1"/>
  <c r="F681" i="1"/>
  <c r="J681" i="1"/>
  <c r="K681" i="1"/>
  <c r="F682" i="1"/>
  <c r="J682" i="1"/>
  <c r="K682" i="1"/>
  <c r="F683" i="1"/>
  <c r="J683" i="1"/>
  <c r="K683" i="1"/>
  <c r="F684" i="1"/>
  <c r="J684" i="1"/>
  <c r="K684" i="1"/>
  <c r="F685" i="1"/>
  <c r="J685" i="1"/>
  <c r="K685" i="1"/>
  <c r="F686" i="1"/>
  <c r="J686" i="1"/>
  <c r="K686" i="1"/>
  <c r="F687" i="1"/>
  <c r="J687" i="1"/>
  <c r="K687" i="1"/>
  <c r="F688" i="1"/>
  <c r="J688" i="1"/>
  <c r="K688" i="1"/>
  <c r="F689" i="1"/>
  <c r="J689" i="1"/>
  <c r="K689" i="1"/>
  <c r="F690" i="1"/>
  <c r="J690" i="1"/>
  <c r="K690" i="1"/>
  <c r="F691" i="1"/>
  <c r="J691" i="1"/>
  <c r="K691" i="1"/>
  <c r="F692" i="1"/>
  <c r="J692" i="1"/>
  <c r="K692" i="1"/>
  <c r="F693" i="1"/>
  <c r="J693" i="1"/>
  <c r="K693" i="1"/>
  <c r="F694" i="1"/>
  <c r="J694" i="1"/>
  <c r="K694" i="1"/>
  <c r="F695" i="1"/>
  <c r="J695" i="1"/>
  <c r="K695" i="1"/>
  <c r="F696" i="1"/>
  <c r="J696" i="1"/>
  <c r="K696" i="1"/>
  <c r="F697" i="1"/>
  <c r="J697" i="1"/>
  <c r="K697" i="1"/>
  <c r="F698" i="1"/>
  <c r="J698" i="1"/>
  <c r="K698" i="1"/>
  <c r="F699" i="1"/>
  <c r="J699" i="1"/>
  <c r="K699" i="1"/>
  <c r="F700" i="1"/>
  <c r="J700" i="1"/>
  <c r="K700" i="1"/>
  <c r="F701" i="1"/>
  <c r="J701" i="1"/>
  <c r="K701" i="1"/>
  <c r="F702" i="1"/>
  <c r="J702" i="1"/>
  <c r="K702" i="1"/>
  <c r="F703" i="1"/>
  <c r="J703" i="1"/>
  <c r="K703" i="1"/>
  <c r="F704" i="1"/>
  <c r="J704" i="1"/>
  <c r="K704" i="1"/>
  <c r="F705" i="1"/>
  <c r="J705" i="1"/>
  <c r="K705" i="1"/>
  <c r="F706" i="1"/>
  <c r="J706" i="1"/>
  <c r="K706" i="1"/>
  <c r="F707" i="1"/>
  <c r="J707" i="1"/>
  <c r="K707" i="1"/>
  <c r="F708" i="1"/>
  <c r="J708" i="1"/>
  <c r="K708" i="1"/>
  <c r="F709" i="1"/>
  <c r="J709" i="1"/>
  <c r="K709" i="1"/>
  <c r="F710" i="1"/>
  <c r="J710" i="1"/>
  <c r="K710" i="1"/>
  <c r="F711" i="1"/>
  <c r="J711" i="1"/>
  <c r="K711" i="1"/>
  <c r="F712" i="1"/>
  <c r="J712" i="1"/>
  <c r="K712" i="1"/>
  <c r="F713" i="1"/>
  <c r="J713" i="1"/>
  <c r="K713" i="1"/>
  <c r="F714" i="1"/>
  <c r="J714" i="1"/>
  <c r="K714" i="1"/>
  <c r="F715" i="1"/>
  <c r="J715" i="1"/>
  <c r="K715" i="1"/>
  <c r="F716" i="1"/>
  <c r="J716" i="1"/>
  <c r="K716" i="1"/>
  <c r="F717" i="1"/>
  <c r="J717" i="1"/>
  <c r="K717" i="1"/>
  <c r="F718" i="1"/>
  <c r="J718" i="1"/>
  <c r="K718" i="1"/>
  <c r="F719" i="1"/>
  <c r="J719" i="1"/>
  <c r="K719" i="1"/>
  <c r="F720" i="1"/>
  <c r="J720" i="1"/>
  <c r="K720" i="1"/>
  <c r="F721" i="1"/>
  <c r="J721" i="1"/>
  <c r="K721" i="1"/>
  <c r="F722" i="1"/>
  <c r="J722" i="1"/>
  <c r="K722" i="1"/>
  <c r="F723" i="1"/>
  <c r="J723" i="1"/>
  <c r="K723" i="1"/>
  <c r="F724" i="1"/>
  <c r="J724" i="1"/>
  <c r="K724" i="1"/>
  <c r="F725" i="1"/>
  <c r="J725" i="1"/>
  <c r="K725" i="1"/>
  <c r="F726" i="1"/>
  <c r="J726" i="1"/>
  <c r="K726" i="1"/>
  <c r="F727" i="1"/>
  <c r="J727" i="1"/>
  <c r="K727" i="1"/>
  <c r="F728" i="1"/>
  <c r="J728" i="1"/>
  <c r="K728" i="1"/>
  <c r="F729" i="1"/>
  <c r="J729" i="1"/>
  <c r="K729" i="1"/>
  <c r="F730" i="1"/>
  <c r="J730" i="1"/>
  <c r="K730" i="1"/>
  <c r="F731" i="1"/>
  <c r="J731" i="1"/>
  <c r="K731" i="1"/>
  <c r="F732" i="1"/>
  <c r="J732" i="1"/>
  <c r="K732" i="1"/>
  <c r="F733" i="1"/>
  <c r="J733" i="1"/>
  <c r="K733" i="1"/>
  <c r="F734" i="1"/>
  <c r="J734" i="1"/>
  <c r="K734" i="1"/>
  <c r="F735" i="1"/>
  <c r="J735" i="1"/>
  <c r="K735" i="1"/>
  <c r="F736" i="1"/>
  <c r="J736" i="1"/>
  <c r="K736" i="1"/>
  <c r="F737" i="1"/>
  <c r="J737" i="1"/>
  <c r="K737" i="1"/>
  <c r="F738" i="1"/>
  <c r="J738" i="1"/>
  <c r="K738" i="1"/>
  <c r="F739" i="1"/>
  <c r="J739" i="1"/>
  <c r="K739" i="1"/>
  <c r="F740" i="1"/>
  <c r="J740" i="1"/>
  <c r="K740" i="1"/>
  <c r="F741" i="1"/>
  <c r="J741" i="1"/>
  <c r="K741" i="1"/>
  <c r="F742" i="1"/>
  <c r="J742" i="1"/>
  <c r="K742" i="1"/>
  <c r="F743" i="1"/>
  <c r="J743" i="1"/>
  <c r="K743" i="1"/>
  <c r="F744" i="1"/>
  <c r="J744" i="1"/>
  <c r="K744" i="1"/>
  <c r="F745" i="1"/>
  <c r="J745" i="1"/>
  <c r="K745" i="1"/>
  <c r="F746" i="1"/>
  <c r="J746" i="1"/>
  <c r="K746" i="1"/>
  <c r="F747" i="1"/>
  <c r="J747" i="1"/>
  <c r="K747" i="1"/>
  <c r="F748" i="1"/>
  <c r="J748" i="1"/>
  <c r="K748" i="1"/>
  <c r="F749" i="1"/>
  <c r="J749" i="1"/>
  <c r="K749" i="1"/>
  <c r="F750" i="1"/>
  <c r="J750" i="1"/>
  <c r="K750" i="1"/>
  <c r="F751" i="1"/>
  <c r="J751" i="1"/>
  <c r="K751" i="1"/>
  <c r="F752" i="1"/>
  <c r="J752" i="1"/>
  <c r="K752" i="1"/>
  <c r="F753" i="1"/>
  <c r="J753" i="1"/>
  <c r="K753" i="1"/>
  <c r="F754" i="1"/>
  <c r="J754" i="1"/>
  <c r="K754" i="1"/>
  <c r="F755" i="1"/>
  <c r="J755" i="1"/>
  <c r="K755" i="1"/>
  <c r="F756" i="1"/>
  <c r="J756" i="1"/>
  <c r="K756" i="1"/>
  <c r="F757" i="1"/>
  <c r="J757" i="1"/>
  <c r="K757" i="1"/>
  <c r="F758" i="1"/>
  <c r="J758" i="1"/>
  <c r="K758" i="1"/>
  <c r="F759" i="1"/>
  <c r="J759" i="1"/>
  <c r="K759" i="1"/>
  <c r="F760" i="1"/>
  <c r="J760" i="1"/>
  <c r="K760" i="1"/>
  <c r="F761" i="1"/>
  <c r="J761" i="1"/>
  <c r="K761" i="1"/>
  <c r="F762" i="1"/>
  <c r="J762" i="1"/>
  <c r="K762" i="1"/>
  <c r="F763" i="1"/>
  <c r="J763" i="1"/>
  <c r="K763" i="1"/>
  <c r="F764" i="1"/>
  <c r="J764" i="1"/>
  <c r="K764" i="1"/>
  <c r="F765" i="1"/>
  <c r="J765" i="1"/>
  <c r="K765" i="1"/>
  <c r="F766" i="1"/>
  <c r="J766" i="1"/>
  <c r="K766" i="1"/>
  <c r="F767" i="1"/>
  <c r="J767" i="1"/>
  <c r="K767" i="1"/>
  <c r="F768" i="1"/>
  <c r="J768" i="1"/>
  <c r="K768" i="1"/>
  <c r="F769" i="1"/>
  <c r="J769" i="1"/>
  <c r="K769" i="1"/>
  <c r="F770" i="1"/>
  <c r="J770" i="1"/>
  <c r="K770" i="1"/>
  <c r="F771" i="1"/>
  <c r="J771" i="1"/>
  <c r="K771" i="1"/>
  <c r="F772" i="1"/>
  <c r="J772" i="1"/>
  <c r="K772" i="1"/>
  <c r="F773" i="1"/>
  <c r="J773" i="1"/>
  <c r="K773" i="1"/>
  <c r="F774" i="1"/>
  <c r="J774" i="1"/>
  <c r="K774" i="1"/>
  <c r="F775" i="1"/>
  <c r="J775" i="1"/>
  <c r="K775" i="1"/>
  <c r="F776" i="1"/>
  <c r="J776" i="1"/>
  <c r="K776" i="1"/>
  <c r="F777" i="1"/>
  <c r="J777" i="1"/>
  <c r="K777" i="1"/>
  <c r="F778" i="1"/>
  <c r="J778" i="1"/>
  <c r="K778" i="1"/>
  <c r="F779" i="1"/>
  <c r="J779" i="1"/>
  <c r="K779" i="1"/>
  <c r="F780" i="1"/>
  <c r="J780" i="1"/>
  <c r="K780" i="1"/>
  <c r="F781" i="1"/>
  <c r="J781" i="1"/>
  <c r="K781" i="1"/>
  <c r="F782" i="1"/>
  <c r="J782" i="1"/>
  <c r="K782" i="1"/>
  <c r="F783" i="1"/>
  <c r="J783" i="1"/>
  <c r="K783" i="1"/>
  <c r="F784" i="1"/>
  <c r="J784" i="1"/>
  <c r="K784" i="1"/>
  <c r="F785" i="1"/>
  <c r="J785" i="1"/>
  <c r="K785" i="1"/>
  <c r="F786" i="1"/>
  <c r="J786" i="1"/>
  <c r="K786" i="1"/>
  <c r="F787" i="1"/>
  <c r="J787" i="1"/>
  <c r="K787" i="1"/>
  <c r="F788" i="1"/>
  <c r="J788" i="1"/>
  <c r="K788" i="1"/>
  <c r="F789" i="1"/>
  <c r="J789" i="1"/>
  <c r="K789" i="1"/>
  <c r="F790" i="1"/>
  <c r="J790" i="1"/>
  <c r="K790" i="1"/>
  <c r="F791" i="1"/>
  <c r="J791" i="1"/>
  <c r="K791" i="1"/>
  <c r="F792" i="1"/>
  <c r="J792" i="1"/>
  <c r="K792" i="1"/>
  <c r="F793" i="1"/>
  <c r="J793" i="1"/>
  <c r="K793" i="1"/>
  <c r="F794" i="1"/>
  <c r="J794" i="1"/>
  <c r="K794" i="1"/>
  <c r="F795" i="1"/>
  <c r="J795" i="1"/>
  <c r="K795" i="1"/>
  <c r="F796" i="1"/>
  <c r="J796" i="1"/>
  <c r="K796" i="1"/>
  <c r="F797" i="1"/>
  <c r="J797" i="1"/>
  <c r="K797" i="1"/>
  <c r="F798" i="1"/>
  <c r="J798" i="1"/>
  <c r="K798" i="1"/>
  <c r="F799" i="1"/>
  <c r="J799" i="1"/>
  <c r="K799" i="1"/>
  <c r="F800" i="1"/>
  <c r="J800" i="1"/>
  <c r="K800" i="1"/>
  <c r="F801" i="1"/>
  <c r="J801" i="1"/>
  <c r="K801" i="1"/>
  <c r="F802" i="1"/>
  <c r="J802" i="1"/>
  <c r="K802" i="1"/>
  <c r="F803" i="1"/>
  <c r="J803" i="1"/>
  <c r="K803" i="1"/>
  <c r="F804" i="1"/>
  <c r="J804" i="1"/>
  <c r="K804" i="1"/>
  <c r="F805" i="1"/>
  <c r="J805" i="1"/>
  <c r="K805" i="1"/>
  <c r="F806" i="1"/>
  <c r="J806" i="1"/>
  <c r="K806" i="1"/>
  <c r="F807" i="1"/>
  <c r="J807" i="1"/>
  <c r="K807" i="1"/>
  <c r="F808" i="1"/>
  <c r="J808" i="1"/>
  <c r="K808" i="1"/>
  <c r="F809" i="1"/>
  <c r="J809" i="1"/>
  <c r="K809" i="1"/>
  <c r="F810" i="1"/>
  <c r="J810" i="1"/>
  <c r="K810" i="1"/>
  <c r="F811" i="1"/>
  <c r="J811" i="1"/>
  <c r="K811" i="1"/>
  <c r="F812" i="1"/>
  <c r="J812" i="1"/>
  <c r="K812" i="1"/>
  <c r="F813" i="1"/>
  <c r="J813" i="1"/>
  <c r="K813" i="1"/>
  <c r="F814" i="1"/>
  <c r="J814" i="1"/>
  <c r="K814" i="1"/>
  <c r="F815" i="1"/>
  <c r="J815" i="1"/>
  <c r="K815" i="1"/>
  <c r="F816" i="1"/>
  <c r="J816" i="1"/>
  <c r="K816" i="1"/>
  <c r="F817" i="1"/>
  <c r="J817" i="1"/>
  <c r="K817" i="1"/>
  <c r="F818" i="1"/>
  <c r="J818" i="1"/>
  <c r="K818" i="1"/>
  <c r="F819" i="1"/>
  <c r="J819" i="1"/>
  <c r="K819" i="1"/>
  <c r="F820" i="1"/>
  <c r="J820" i="1"/>
  <c r="K820" i="1"/>
  <c r="F821" i="1"/>
  <c r="J821" i="1"/>
  <c r="K821" i="1"/>
  <c r="F822" i="1"/>
  <c r="J822" i="1"/>
  <c r="K822" i="1"/>
  <c r="F823" i="1"/>
  <c r="J823" i="1"/>
  <c r="K823" i="1"/>
  <c r="F824" i="1"/>
  <c r="J824" i="1"/>
  <c r="K824" i="1"/>
  <c r="F825" i="1"/>
  <c r="J825" i="1"/>
  <c r="K825" i="1"/>
  <c r="F826" i="1"/>
  <c r="J826" i="1"/>
  <c r="K826" i="1"/>
  <c r="F827" i="1"/>
  <c r="J827" i="1"/>
  <c r="K827" i="1"/>
  <c r="F828" i="1"/>
  <c r="J828" i="1"/>
  <c r="K828" i="1"/>
  <c r="F829" i="1"/>
  <c r="J829" i="1"/>
  <c r="K829" i="1"/>
  <c r="F830" i="1"/>
  <c r="J830" i="1"/>
  <c r="K830" i="1"/>
  <c r="F831" i="1"/>
  <c r="J831" i="1"/>
  <c r="K831" i="1"/>
  <c r="F832" i="1"/>
  <c r="J832" i="1"/>
  <c r="K832" i="1"/>
  <c r="F833" i="1"/>
  <c r="J833" i="1"/>
  <c r="K833" i="1"/>
  <c r="F834" i="1"/>
  <c r="J834" i="1"/>
  <c r="K834" i="1"/>
  <c r="F835" i="1"/>
  <c r="J835" i="1"/>
  <c r="K835" i="1"/>
  <c r="F836" i="1"/>
  <c r="J836" i="1"/>
  <c r="K836" i="1"/>
  <c r="F837" i="1"/>
  <c r="J837" i="1"/>
  <c r="K837" i="1"/>
  <c r="F838" i="1"/>
  <c r="J838" i="1"/>
  <c r="K838" i="1"/>
  <c r="F839" i="1"/>
  <c r="J839" i="1"/>
  <c r="K839" i="1"/>
  <c r="F840" i="1"/>
  <c r="J840" i="1"/>
  <c r="K840" i="1"/>
  <c r="F841" i="1"/>
  <c r="J841" i="1"/>
  <c r="K841" i="1"/>
  <c r="F842" i="1"/>
  <c r="J842" i="1"/>
  <c r="K842" i="1"/>
  <c r="F843" i="1"/>
  <c r="J843" i="1"/>
  <c r="K843" i="1"/>
  <c r="F844" i="1"/>
  <c r="J844" i="1"/>
  <c r="K844" i="1"/>
  <c r="F845" i="1"/>
  <c r="J845" i="1"/>
  <c r="K845" i="1"/>
  <c r="F846" i="1"/>
  <c r="J846" i="1"/>
  <c r="K846" i="1"/>
  <c r="F847" i="1"/>
  <c r="J847" i="1"/>
  <c r="K847" i="1"/>
  <c r="F848" i="1"/>
  <c r="J848" i="1"/>
  <c r="K848" i="1"/>
  <c r="F849" i="1"/>
  <c r="J849" i="1"/>
  <c r="K849" i="1"/>
  <c r="F850" i="1"/>
  <c r="J850" i="1"/>
  <c r="K850" i="1"/>
  <c r="F851" i="1"/>
  <c r="J851" i="1"/>
  <c r="K851" i="1"/>
  <c r="F852" i="1"/>
  <c r="J852" i="1"/>
  <c r="K852" i="1"/>
  <c r="F853" i="1"/>
  <c r="J853" i="1"/>
  <c r="K853" i="1"/>
  <c r="F854" i="1"/>
  <c r="J854" i="1"/>
  <c r="K854" i="1"/>
  <c r="F855" i="1"/>
  <c r="J855" i="1"/>
  <c r="K855" i="1"/>
  <c r="F856" i="1"/>
  <c r="J856" i="1"/>
  <c r="K856" i="1"/>
  <c r="F857" i="1"/>
  <c r="J857" i="1"/>
  <c r="K857" i="1"/>
  <c r="F858" i="1"/>
  <c r="J858" i="1"/>
  <c r="K858" i="1"/>
  <c r="F859" i="1"/>
  <c r="J859" i="1"/>
  <c r="K859" i="1"/>
  <c r="F860" i="1"/>
  <c r="J860" i="1"/>
  <c r="K860" i="1"/>
  <c r="F861" i="1"/>
  <c r="J861" i="1"/>
  <c r="K861" i="1"/>
  <c r="F862" i="1"/>
  <c r="J862" i="1"/>
  <c r="K862" i="1"/>
  <c r="F863" i="1"/>
  <c r="J863" i="1"/>
  <c r="K863" i="1"/>
  <c r="F864" i="1"/>
  <c r="J864" i="1"/>
  <c r="K864" i="1"/>
  <c r="F865" i="1"/>
  <c r="J865" i="1"/>
  <c r="K865" i="1"/>
  <c r="F866" i="1"/>
  <c r="J866" i="1"/>
  <c r="K866" i="1"/>
  <c r="F867" i="1"/>
  <c r="J867" i="1"/>
  <c r="K867" i="1"/>
  <c r="F868" i="1"/>
  <c r="J868" i="1"/>
  <c r="K868" i="1"/>
  <c r="F869" i="1"/>
  <c r="J869" i="1"/>
  <c r="K869" i="1"/>
  <c r="F870" i="1"/>
  <c r="J870" i="1"/>
  <c r="K870" i="1"/>
  <c r="F871" i="1"/>
  <c r="J871" i="1"/>
  <c r="K871" i="1"/>
  <c r="F872" i="1"/>
  <c r="J872" i="1"/>
  <c r="K872" i="1"/>
  <c r="F873" i="1"/>
  <c r="J873" i="1"/>
  <c r="K873" i="1"/>
  <c r="F874" i="1"/>
  <c r="J874" i="1"/>
  <c r="K874" i="1"/>
  <c r="F875" i="1"/>
  <c r="J875" i="1"/>
  <c r="K875" i="1"/>
  <c r="F876" i="1"/>
  <c r="J876" i="1"/>
  <c r="K876" i="1"/>
  <c r="F877" i="1"/>
  <c r="J877" i="1"/>
  <c r="K877" i="1"/>
  <c r="F878" i="1"/>
  <c r="J878" i="1"/>
  <c r="K878" i="1"/>
  <c r="F879" i="1"/>
  <c r="J879" i="1"/>
  <c r="K879" i="1"/>
  <c r="F880" i="1"/>
  <c r="J880" i="1"/>
  <c r="K880" i="1"/>
  <c r="F881" i="1"/>
  <c r="J881" i="1"/>
  <c r="K881" i="1"/>
  <c r="F882" i="1"/>
  <c r="J882" i="1"/>
  <c r="K882" i="1"/>
  <c r="F883" i="1"/>
  <c r="J883" i="1"/>
  <c r="K883" i="1"/>
  <c r="F884" i="1"/>
  <c r="J884" i="1"/>
  <c r="K884" i="1"/>
  <c r="F885" i="1"/>
  <c r="J885" i="1"/>
  <c r="K885" i="1"/>
  <c r="F886" i="1"/>
  <c r="J886" i="1"/>
  <c r="K886" i="1"/>
  <c r="F887" i="1"/>
  <c r="J887" i="1"/>
  <c r="K887" i="1"/>
  <c r="F888" i="1"/>
  <c r="J888" i="1"/>
  <c r="K888" i="1"/>
  <c r="F889" i="1"/>
  <c r="J889" i="1"/>
  <c r="K889" i="1"/>
  <c r="F890" i="1"/>
  <c r="J890" i="1"/>
  <c r="K890" i="1"/>
  <c r="F891" i="1"/>
  <c r="J891" i="1"/>
  <c r="K891" i="1"/>
  <c r="F892" i="1"/>
  <c r="J892" i="1"/>
  <c r="K892" i="1"/>
  <c r="F893" i="1"/>
  <c r="J893" i="1"/>
  <c r="K893" i="1"/>
  <c r="F894" i="1"/>
  <c r="J894" i="1"/>
  <c r="K894" i="1"/>
  <c r="F895" i="1"/>
  <c r="J895" i="1"/>
  <c r="K895" i="1"/>
  <c r="F896" i="1"/>
  <c r="J896" i="1"/>
  <c r="K896" i="1"/>
  <c r="F897" i="1"/>
  <c r="J897" i="1"/>
  <c r="K897" i="1"/>
  <c r="F898" i="1"/>
  <c r="J898" i="1"/>
  <c r="K898" i="1"/>
  <c r="F899" i="1"/>
  <c r="J899" i="1"/>
  <c r="K899" i="1"/>
  <c r="F900" i="1"/>
  <c r="J900" i="1"/>
  <c r="K900" i="1"/>
  <c r="F901" i="1"/>
  <c r="J901" i="1"/>
  <c r="K901" i="1"/>
  <c r="F902" i="1"/>
  <c r="J902" i="1"/>
  <c r="K902" i="1"/>
  <c r="F903" i="1"/>
  <c r="J903" i="1"/>
  <c r="K903" i="1"/>
  <c r="F904" i="1"/>
  <c r="J904" i="1"/>
  <c r="K904" i="1"/>
  <c r="F905" i="1"/>
  <c r="J905" i="1"/>
  <c r="K905" i="1"/>
  <c r="F906" i="1"/>
  <c r="J906" i="1"/>
  <c r="K906" i="1"/>
  <c r="F907" i="1"/>
  <c r="J907" i="1"/>
  <c r="K907" i="1"/>
  <c r="F908" i="1"/>
  <c r="J908" i="1"/>
  <c r="K908" i="1"/>
  <c r="F909" i="1"/>
  <c r="J909" i="1"/>
  <c r="K909" i="1"/>
  <c r="F910" i="1"/>
  <c r="J910" i="1"/>
  <c r="K910" i="1"/>
  <c r="F911" i="1"/>
  <c r="J911" i="1"/>
  <c r="K911" i="1"/>
  <c r="F912" i="1"/>
  <c r="J912" i="1"/>
  <c r="K912" i="1"/>
  <c r="F913" i="1"/>
  <c r="J913" i="1"/>
  <c r="K913" i="1"/>
  <c r="F914" i="1"/>
  <c r="J914" i="1"/>
  <c r="K914" i="1"/>
  <c r="F915" i="1"/>
  <c r="J915" i="1"/>
  <c r="K915" i="1"/>
  <c r="F916" i="1"/>
  <c r="J916" i="1"/>
  <c r="K916" i="1"/>
  <c r="F917" i="1"/>
  <c r="J917" i="1"/>
  <c r="K917" i="1"/>
  <c r="F918" i="1"/>
  <c r="J918" i="1"/>
  <c r="K918" i="1"/>
  <c r="F919" i="1"/>
  <c r="J919" i="1"/>
  <c r="K919" i="1"/>
  <c r="F920" i="1"/>
  <c r="J920" i="1"/>
  <c r="K920" i="1"/>
  <c r="F921" i="1"/>
  <c r="J921" i="1"/>
  <c r="K921" i="1"/>
  <c r="F922" i="1"/>
  <c r="J922" i="1"/>
  <c r="K922" i="1"/>
  <c r="F923" i="1"/>
  <c r="J923" i="1"/>
  <c r="K923" i="1"/>
  <c r="F924" i="1"/>
  <c r="J924" i="1"/>
  <c r="K924" i="1"/>
  <c r="F925" i="1"/>
  <c r="J925" i="1"/>
  <c r="K925" i="1"/>
  <c r="F926" i="1"/>
  <c r="J926" i="1"/>
  <c r="K926" i="1"/>
  <c r="F927" i="1"/>
  <c r="J927" i="1"/>
  <c r="K927" i="1"/>
  <c r="F928" i="1"/>
  <c r="J928" i="1"/>
  <c r="K928" i="1"/>
  <c r="F929" i="1"/>
  <c r="J929" i="1"/>
  <c r="K929" i="1"/>
  <c r="F930" i="1"/>
  <c r="J930" i="1"/>
  <c r="K930" i="1"/>
  <c r="F931" i="1"/>
  <c r="J931" i="1"/>
  <c r="K931" i="1"/>
  <c r="F932" i="1"/>
  <c r="J932" i="1"/>
  <c r="K932" i="1"/>
  <c r="F933" i="1"/>
  <c r="J933" i="1"/>
  <c r="K933" i="1"/>
  <c r="F934" i="1"/>
  <c r="J934" i="1"/>
  <c r="K934" i="1"/>
  <c r="F935" i="1"/>
  <c r="J935" i="1"/>
  <c r="K935" i="1"/>
  <c r="F936" i="1"/>
  <c r="J936" i="1"/>
  <c r="K936" i="1"/>
  <c r="F937" i="1"/>
  <c r="J937" i="1"/>
  <c r="K937" i="1"/>
  <c r="F938" i="1"/>
  <c r="J938" i="1"/>
  <c r="K938" i="1"/>
  <c r="F939" i="1"/>
  <c r="J939" i="1"/>
  <c r="K939" i="1"/>
  <c r="F940" i="1"/>
  <c r="J940" i="1"/>
  <c r="K940" i="1"/>
  <c r="F941" i="1"/>
  <c r="J941" i="1"/>
  <c r="K941" i="1"/>
  <c r="F942" i="1"/>
  <c r="J942" i="1"/>
  <c r="K942" i="1"/>
  <c r="F943" i="1"/>
  <c r="J943" i="1"/>
  <c r="K943" i="1"/>
  <c r="F944" i="1"/>
  <c r="J944" i="1"/>
  <c r="K944" i="1"/>
  <c r="F945" i="1"/>
  <c r="J945" i="1"/>
  <c r="K945" i="1"/>
  <c r="F946" i="1"/>
  <c r="J946" i="1"/>
  <c r="K946" i="1"/>
  <c r="F947" i="1"/>
  <c r="J947" i="1"/>
  <c r="K947" i="1"/>
  <c r="F948" i="1"/>
  <c r="J948" i="1"/>
  <c r="K948" i="1"/>
  <c r="F949" i="1"/>
  <c r="J949" i="1"/>
  <c r="K949" i="1"/>
  <c r="F950" i="1"/>
  <c r="J950" i="1"/>
  <c r="K950" i="1"/>
  <c r="F951" i="1"/>
  <c r="J951" i="1"/>
  <c r="K951" i="1"/>
  <c r="F952" i="1"/>
  <c r="J952" i="1"/>
  <c r="K952" i="1"/>
  <c r="F953" i="1"/>
  <c r="J953" i="1"/>
  <c r="K953" i="1"/>
  <c r="F954" i="1"/>
  <c r="J954" i="1"/>
  <c r="K954" i="1"/>
  <c r="F955" i="1"/>
  <c r="J955" i="1"/>
  <c r="K955" i="1"/>
  <c r="F956" i="1"/>
  <c r="J956" i="1"/>
  <c r="K956" i="1"/>
  <c r="F957" i="1"/>
  <c r="J957" i="1"/>
  <c r="K957" i="1"/>
  <c r="F958" i="1"/>
  <c r="J958" i="1"/>
  <c r="K958" i="1"/>
  <c r="F959" i="1"/>
  <c r="J959" i="1"/>
  <c r="K959" i="1"/>
  <c r="F960" i="1"/>
  <c r="J960" i="1"/>
  <c r="K960" i="1"/>
  <c r="F961" i="1"/>
  <c r="J961" i="1"/>
  <c r="K961" i="1"/>
  <c r="F962" i="1"/>
  <c r="J962" i="1"/>
  <c r="K962" i="1"/>
  <c r="F963" i="1"/>
  <c r="J963" i="1"/>
  <c r="K963" i="1"/>
  <c r="F964" i="1"/>
  <c r="J964" i="1"/>
  <c r="K964" i="1"/>
  <c r="F965" i="1"/>
  <c r="J965" i="1"/>
  <c r="K965" i="1"/>
  <c r="F966" i="1"/>
  <c r="J966" i="1"/>
  <c r="K966" i="1"/>
  <c r="F967" i="1"/>
  <c r="J967" i="1"/>
  <c r="K967" i="1"/>
  <c r="F968" i="1"/>
  <c r="J968" i="1"/>
  <c r="K968" i="1"/>
  <c r="F969" i="1"/>
  <c r="J969" i="1"/>
  <c r="K969" i="1"/>
  <c r="F970" i="1"/>
  <c r="J970" i="1"/>
  <c r="K970" i="1"/>
  <c r="F971" i="1"/>
  <c r="J971" i="1"/>
  <c r="K971" i="1"/>
  <c r="F972" i="1"/>
  <c r="J972" i="1"/>
  <c r="K972" i="1"/>
  <c r="F973" i="1"/>
  <c r="J973" i="1"/>
  <c r="K973" i="1"/>
  <c r="F974" i="1"/>
  <c r="J974" i="1"/>
  <c r="K974" i="1"/>
  <c r="F975" i="1"/>
  <c r="J975" i="1"/>
  <c r="K975" i="1"/>
  <c r="F976" i="1"/>
  <c r="J976" i="1"/>
  <c r="K976" i="1"/>
  <c r="F977" i="1"/>
  <c r="J977" i="1"/>
  <c r="K977" i="1"/>
  <c r="F978" i="1"/>
  <c r="J978" i="1"/>
  <c r="K978" i="1"/>
  <c r="F979" i="1"/>
  <c r="J979" i="1"/>
  <c r="K979" i="1"/>
  <c r="F980" i="1"/>
  <c r="J980" i="1"/>
  <c r="K980" i="1"/>
  <c r="F981" i="1"/>
  <c r="J981" i="1"/>
  <c r="K981" i="1"/>
  <c r="F982" i="1"/>
  <c r="J982" i="1"/>
  <c r="K982" i="1"/>
  <c r="F983" i="1"/>
  <c r="J983" i="1"/>
  <c r="K983" i="1"/>
  <c r="F984" i="1"/>
  <c r="J984" i="1"/>
  <c r="K984" i="1"/>
  <c r="F985" i="1"/>
  <c r="J985" i="1"/>
  <c r="K985" i="1"/>
  <c r="F986" i="1"/>
  <c r="J986" i="1"/>
  <c r="K986" i="1"/>
  <c r="F987" i="1"/>
  <c r="J987" i="1"/>
  <c r="K987" i="1"/>
  <c r="F988" i="1"/>
  <c r="J988" i="1"/>
  <c r="K988" i="1"/>
  <c r="F989" i="1"/>
  <c r="J989" i="1"/>
  <c r="K989" i="1"/>
  <c r="F990" i="1"/>
  <c r="J990" i="1"/>
  <c r="K990" i="1"/>
  <c r="F991" i="1"/>
  <c r="J991" i="1"/>
  <c r="K991" i="1"/>
  <c r="F992" i="1"/>
  <c r="J992" i="1"/>
  <c r="K992" i="1"/>
  <c r="F993" i="1"/>
  <c r="J993" i="1"/>
  <c r="K993" i="1"/>
  <c r="F994" i="1"/>
  <c r="J994" i="1"/>
  <c r="K994" i="1"/>
  <c r="F995" i="1"/>
  <c r="J995" i="1"/>
  <c r="K995" i="1"/>
  <c r="F996" i="1"/>
  <c r="J996" i="1"/>
  <c r="K996" i="1"/>
  <c r="F997" i="1"/>
  <c r="J997" i="1"/>
  <c r="K997" i="1"/>
  <c r="F998" i="1"/>
  <c r="J998" i="1"/>
  <c r="K998" i="1"/>
  <c r="F999" i="1"/>
  <c r="J999" i="1"/>
  <c r="K999" i="1"/>
  <c r="F1000" i="1"/>
  <c r="J1000" i="1"/>
  <c r="K1000" i="1"/>
  <c r="F1001" i="1"/>
  <c r="J1001" i="1"/>
  <c r="K1001" i="1"/>
  <c r="F1002" i="1"/>
  <c r="J1002" i="1"/>
  <c r="K1002" i="1"/>
  <c r="F1003" i="1"/>
  <c r="J1003" i="1"/>
  <c r="K1003" i="1"/>
  <c r="F1004" i="1"/>
  <c r="J1004" i="1"/>
  <c r="K1004" i="1"/>
  <c r="F1005" i="1"/>
  <c r="J1005" i="1"/>
  <c r="K1005" i="1"/>
  <c r="F1006" i="1"/>
  <c r="J1006" i="1"/>
  <c r="K1006" i="1"/>
  <c r="F1007" i="1"/>
  <c r="J1007" i="1"/>
  <c r="K1007" i="1"/>
  <c r="F1008" i="1"/>
  <c r="J1008" i="1"/>
  <c r="K1008" i="1"/>
  <c r="F1009" i="1"/>
  <c r="J1009" i="1"/>
  <c r="K1009" i="1"/>
  <c r="F1010" i="1"/>
  <c r="J1010" i="1"/>
  <c r="K1010" i="1"/>
  <c r="F1011" i="1"/>
  <c r="J1011" i="1"/>
  <c r="K1011" i="1"/>
  <c r="F1012" i="1"/>
  <c r="J1012" i="1"/>
  <c r="K1012" i="1"/>
  <c r="F1013" i="1"/>
  <c r="J1013" i="1"/>
  <c r="K1013" i="1"/>
  <c r="F1014" i="1"/>
  <c r="J1014" i="1"/>
  <c r="K1014" i="1"/>
  <c r="F1015" i="1"/>
  <c r="J1015" i="1"/>
  <c r="K1015" i="1"/>
  <c r="F1016" i="1"/>
  <c r="J1016" i="1"/>
  <c r="K1016" i="1"/>
  <c r="F1017" i="1"/>
  <c r="J1017" i="1"/>
  <c r="K1017" i="1"/>
  <c r="F1018" i="1"/>
  <c r="J1018" i="1"/>
  <c r="K1018" i="1"/>
  <c r="F1019" i="1"/>
  <c r="J1019" i="1"/>
  <c r="K1019" i="1"/>
  <c r="F1020" i="1"/>
  <c r="J1020" i="1"/>
  <c r="K1020" i="1"/>
  <c r="F1021" i="1"/>
  <c r="J1021" i="1"/>
  <c r="K1021" i="1"/>
  <c r="F1022" i="1"/>
  <c r="J1022" i="1"/>
  <c r="K1022" i="1"/>
  <c r="F1023" i="1"/>
  <c r="J1023" i="1"/>
  <c r="K1023" i="1"/>
  <c r="F1024" i="1"/>
  <c r="J1024" i="1"/>
  <c r="K1024" i="1"/>
  <c r="F1025" i="1"/>
  <c r="J1025" i="1"/>
  <c r="K1025" i="1"/>
  <c r="F1026" i="1"/>
  <c r="J1026" i="1"/>
  <c r="K1026" i="1"/>
  <c r="F1027" i="1"/>
  <c r="J1027" i="1"/>
  <c r="K1027" i="1"/>
  <c r="F1028" i="1"/>
  <c r="J1028" i="1"/>
  <c r="K1028" i="1"/>
  <c r="F1029" i="1"/>
  <c r="J1029" i="1"/>
  <c r="K1029" i="1"/>
  <c r="F1030" i="1"/>
  <c r="J1030" i="1"/>
  <c r="K1030" i="1"/>
  <c r="F1031" i="1"/>
  <c r="J1031" i="1"/>
  <c r="K1031" i="1"/>
  <c r="F1032" i="1"/>
  <c r="J1032" i="1"/>
  <c r="K1032" i="1"/>
  <c r="F1033" i="1"/>
  <c r="J1033" i="1"/>
  <c r="K1033" i="1"/>
  <c r="F1034" i="1"/>
  <c r="J1034" i="1"/>
  <c r="K1034" i="1"/>
  <c r="F1035" i="1"/>
  <c r="J1035" i="1"/>
  <c r="K1035" i="1"/>
  <c r="F1036" i="1"/>
  <c r="J1036" i="1"/>
  <c r="K1036" i="1"/>
  <c r="F1037" i="1"/>
  <c r="J1037" i="1"/>
  <c r="K1037" i="1"/>
  <c r="F1038" i="1"/>
  <c r="J1038" i="1"/>
  <c r="K1038" i="1"/>
  <c r="F1039" i="1"/>
  <c r="J1039" i="1"/>
  <c r="K1039" i="1"/>
  <c r="F1040" i="1"/>
  <c r="J1040" i="1"/>
  <c r="K1040" i="1"/>
  <c r="F1041" i="1"/>
  <c r="J1041" i="1"/>
  <c r="K1041" i="1"/>
  <c r="F1042" i="1"/>
  <c r="J1042" i="1"/>
  <c r="K1042" i="1"/>
  <c r="F1043" i="1"/>
  <c r="J1043" i="1"/>
  <c r="K1043" i="1"/>
  <c r="F1044" i="1"/>
  <c r="J1044" i="1"/>
  <c r="K1044" i="1"/>
  <c r="F1045" i="1"/>
  <c r="J1045" i="1"/>
  <c r="K1045" i="1"/>
  <c r="F1046" i="1"/>
  <c r="J1046" i="1"/>
  <c r="K1046" i="1"/>
  <c r="F1047" i="1"/>
  <c r="J1047" i="1"/>
  <c r="K1047" i="1"/>
  <c r="F1048" i="1"/>
  <c r="J1048" i="1"/>
  <c r="K1048" i="1"/>
  <c r="F1049" i="1"/>
  <c r="J1049" i="1"/>
  <c r="K1049" i="1"/>
  <c r="F1050" i="1"/>
  <c r="J1050" i="1"/>
  <c r="K1050" i="1"/>
  <c r="F1051" i="1"/>
  <c r="J1051" i="1"/>
  <c r="K1051" i="1"/>
  <c r="F1052" i="1"/>
  <c r="J1052" i="1"/>
  <c r="K1052" i="1"/>
  <c r="F1053" i="1"/>
  <c r="J1053" i="1"/>
  <c r="K1053" i="1"/>
  <c r="F1054" i="1"/>
  <c r="J1054" i="1"/>
  <c r="K1054" i="1"/>
  <c r="F1055" i="1"/>
  <c r="J1055" i="1"/>
  <c r="K1055" i="1"/>
  <c r="F1056" i="1"/>
  <c r="J1056" i="1"/>
  <c r="K1056" i="1"/>
  <c r="F1057" i="1"/>
  <c r="J1057" i="1"/>
  <c r="K1057" i="1"/>
  <c r="F1058" i="1"/>
  <c r="J1058" i="1"/>
  <c r="K1058" i="1"/>
  <c r="F1059" i="1"/>
  <c r="J1059" i="1"/>
  <c r="K1059" i="1"/>
  <c r="F1060" i="1"/>
  <c r="J1060" i="1"/>
  <c r="K1060" i="1"/>
  <c r="F1061" i="1"/>
  <c r="J1061" i="1"/>
  <c r="K1061" i="1"/>
  <c r="F1062" i="1"/>
  <c r="J1062" i="1"/>
  <c r="K1062" i="1"/>
  <c r="F1063" i="1"/>
  <c r="J1063" i="1"/>
  <c r="K1063" i="1"/>
  <c r="F1064" i="1"/>
  <c r="J1064" i="1"/>
  <c r="K1064" i="1"/>
  <c r="F1065" i="1"/>
  <c r="J1065" i="1"/>
  <c r="K1065" i="1"/>
  <c r="F1066" i="1"/>
  <c r="J1066" i="1"/>
  <c r="K1066" i="1"/>
  <c r="F1067" i="1"/>
  <c r="J1067" i="1"/>
  <c r="K1067" i="1"/>
  <c r="F1068" i="1"/>
  <c r="J1068" i="1"/>
  <c r="K1068" i="1"/>
  <c r="F1069" i="1"/>
  <c r="J1069" i="1"/>
  <c r="K1069" i="1"/>
  <c r="F1070" i="1"/>
  <c r="J1070" i="1"/>
  <c r="K1070" i="1"/>
  <c r="F1071" i="1"/>
  <c r="J1071" i="1"/>
  <c r="K1071" i="1"/>
  <c r="F1072" i="1"/>
  <c r="J1072" i="1"/>
  <c r="K1072" i="1"/>
  <c r="F1073" i="1"/>
  <c r="J1073" i="1"/>
  <c r="K1073" i="1"/>
  <c r="F1074" i="1"/>
  <c r="J1074" i="1"/>
  <c r="K1074" i="1"/>
  <c r="F1075" i="1"/>
  <c r="J1075" i="1"/>
  <c r="K1075" i="1"/>
  <c r="F1076" i="1"/>
  <c r="J1076" i="1"/>
  <c r="K1076" i="1"/>
  <c r="F1077" i="1"/>
  <c r="J1077" i="1"/>
  <c r="K1077" i="1"/>
  <c r="F1078" i="1"/>
  <c r="J1078" i="1"/>
  <c r="K1078" i="1"/>
  <c r="F1079" i="1"/>
  <c r="J1079" i="1"/>
  <c r="K1079" i="1"/>
  <c r="F1080" i="1"/>
  <c r="J1080" i="1"/>
  <c r="K1080" i="1"/>
  <c r="F1081" i="1"/>
  <c r="J1081" i="1"/>
  <c r="K1081" i="1"/>
  <c r="F1082" i="1"/>
  <c r="J1082" i="1"/>
  <c r="K1082" i="1"/>
  <c r="F1083" i="1"/>
  <c r="J1083" i="1"/>
  <c r="K1083" i="1"/>
  <c r="F1084" i="1"/>
  <c r="J1084" i="1"/>
  <c r="K1084" i="1"/>
  <c r="F1085" i="1"/>
  <c r="J1085" i="1"/>
  <c r="K1085" i="1"/>
  <c r="F1086" i="1"/>
  <c r="J1086" i="1"/>
  <c r="K1086" i="1"/>
  <c r="F1087" i="1"/>
  <c r="J1087" i="1"/>
  <c r="K1087" i="1"/>
  <c r="F1088" i="1"/>
  <c r="J1088" i="1"/>
  <c r="K1088" i="1"/>
  <c r="F1089" i="1"/>
  <c r="J1089" i="1"/>
  <c r="K1089" i="1"/>
  <c r="F1090" i="1"/>
  <c r="J1090" i="1"/>
  <c r="K1090" i="1"/>
  <c r="F1091" i="1"/>
  <c r="J1091" i="1"/>
  <c r="K1091" i="1"/>
  <c r="F1092" i="1"/>
  <c r="J1092" i="1"/>
  <c r="K1092" i="1"/>
  <c r="F1093" i="1"/>
  <c r="J1093" i="1"/>
  <c r="K1093" i="1"/>
  <c r="K574" i="1"/>
  <c r="J574" i="1"/>
  <c r="F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574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F523" i="1"/>
  <c r="J523" i="1"/>
  <c r="K523" i="1"/>
  <c r="F524" i="1"/>
  <c r="J524" i="1"/>
  <c r="K524" i="1"/>
  <c r="F525" i="1"/>
  <c r="J525" i="1"/>
  <c r="K525" i="1"/>
  <c r="F526" i="1"/>
  <c r="J526" i="1"/>
  <c r="K526" i="1"/>
  <c r="F527" i="1"/>
  <c r="J527" i="1"/>
  <c r="K527" i="1"/>
  <c r="F528" i="1"/>
  <c r="J528" i="1"/>
  <c r="K528" i="1"/>
  <c r="F529" i="1"/>
  <c r="J529" i="1"/>
  <c r="K529" i="1"/>
  <c r="F530" i="1"/>
  <c r="J530" i="1"/>
  <c r="K530" i="1"/>
  <c r="F531" i="1"/>
  <c r="J531" i="1"/>
  <c r="K531" i="1"/>
  <c r="F532" i="1"/>
  <c r="J532" i="1"/>
  <c r="K532" i="1"/>
  <c r="F533" i="1"/>
  <c r="J533" i="1"/>
  <c r="K533" i="1"/>
  <c r="F534" i="1"/>
  <c r="J534" i="1"/>
  <c r="K534" i="1"/>
  <c r="F535" i="1"/>
  <c r="J535" i="1"/>
  <c r="K535" i="1"/>
  <c r="F536" i="1"/>
  <c r="J536" i="1"/>
  <c r="K536" i="1"/>
  <c r="F537" i="1"/>
  <c r="J537" i="1"/>
  <c r="K537" i="1"/>
  <c r="F538" i="1"/>
  <c r="J538" i="1"/>
  <c r="K538" i="1"/>
  <c r="F539" i="1"/>
  <c r="J539" i="1"/>
  <c r="K539" i="1"/>
  <c r="F540" i="1"/>
  <c r="J540" i="1"/>
  <c r="K540" i="1"/>
  <c r="F541" i="1"/>
  <c r="J541" i="1"/>
  <c r="K541" i="1"/>
  <c r="F542" i="1"/>
  <c r="J542" i="1"/>
  <c r="K542" i="1"/>
  <c r="F543" i="1"/>
  <c r="J543" i="1"/>
  <c r="K543" i="1"/>
  <c r="F544" i="1"/>
  <c r="J544" i="1"/>
  <c r="K544" i="1"/>
  <c r="F545" i="1"/>
  <c r="J545" i="1"/>
  <c r="K545" i="1"/>
  <c r="F546" i="1"/>
  <c r="J546" i="1"/>
  <c r="K546" i="1"/>
  <c r="F547" i="1"/>
  <c r="J547" i="1"/>
  <c r="K547" i="1"/>
  <c r="F548" i="1"/>
  <c r="J548" i="1"/>
  <c r="K548" i="1"/>
  <c r="F549" i="1"/>
  <c r="J549" i="1"/>
  <c r="K549" i="1"/>
  <c r="F550" i="1"/>
  <c r="J550" i="1"/>
  <c r="K550" i="1"/>
  <c r="F551" i="1"/>
  <c r="J551" i="1"/>
  <c r="K551" i="1"/>
  <c r="F552" i="1"/>
  <c r="J552" i="1"/>
  <c r="K552" i="1"/>
  <c r="F553" i="1"/>
  <c r="J553" i="1"/>
  <c r="K553" i="1"/>
  <c r="F554" i="1"/>
  <c r="J554" i="1"/>
  <c r="K554" i="1"/>
  <c r="F555" i="1"/>
  <c r="J555" i="1"/>
  <c r="K555" i="1"/>
  <c r="F556" i="1"/>
  <c r="J556" i="1"/>
  <c r="K556" i="1"/>
  <c r="F557" i="1"/>
  <c r="J557" i="1"/>
  <c r="K557" i="1"/>
  <c r="F558" i="1"/>
  <c r="J558" i="1"/>
  <c r="K558" i="1"/>
  <c r="F559" i="1"/>
  <c r="J559" i="1"/>
  <c r="K559" i="1"/>
  <c r="F560" i="1"/>
  <c r="J560" i="1"/>
  <c r="K560" i="1"/>
  <c r="F561" i="1"/>
  <c r="J561" i="1"/>
  <c r="K561" i="1"/>
  <c r="F562" i="1"/>
  <c r="J562" i="1"/>
  <c r="K562" i="1"/>
  <c r="F563" i="1"/>
  <c r="J563" i="1"/>
  <c r="K563" i="1"/>
  <c r="F564" i="1"/>
  <c r="J564" i="1"/>
  <c r="K564" i="1"/>
  <c r="F565" i="1"/>
  <c r="J565" i="1"/>
  <c r="K565" i="1"/>
  <c r="F566" i="1"/>
  <c r="J566" i="1"/>
  <c r="K566" i="1"/>
  <c r="F567" i="1"/>
  <c r="J567" i="1"/>
  <c r="K567" i="1"/>
  <c r="F568" i="1"/>
  <c r="J568" i="1"/>
  <c r="K568" i="1"/>
  <c r="F569" i="1"/>
  <c r="J569" i="1"/>
  <c r="K569" i="1"/>
  <c r="F570" i="1"/>
  <c r="J570" i="1"/>
  <c r="K570" i="1"/>
  <c r="F571" i="1"/>
  <c r="J571" i="1"/>
  <c r="K571" i="1"/>
  <c r="F572" i="1"/>
  <c r="J572" i="1"/>
  <c r="K572" i="1"/>
  <c r="F573" i="1"/>
  <c r="J573" i="1"/>
  <c r="K573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22" i="1"/>
  <c r="K522" i="1"/>
  <c r="J522" i="1"/>
  <c r="F522" i="1"/>
  <c r="D522" i="1"/>
  <c r="F471" i="1"/>
  <c r="H471" i="1"/>
  <c r="J471" i="1"/>
  <c r="K471" i="1"/>
  <c r="F472" i="1"/>
  <c r="H472" i="1"/>
  <c r="J472" i="1"/>
  <c r="K472" i="1"/>
  <c r="F473" i="1"/>
  <c r="H473" i="1"/>
  <c r="J473" i="1"/>
  <c r="K473" i="1"/>
  <c r="F474" i="1"/>
  <c r="H474" i="1"/>
  <c r="J474" i="1"/>
  <c r="K474" i="1"/>
  <c r="F475" i="1"/>
  <c r="H475" i="1"/>
  <c r="J475" i="1"/>
  <c r="K475" i="1"/>
  <c r="F476" i="1"/>
  <c r="H476" i="1"/>
  <c r="J476" i="1"/>
  <c r="K476" i="1"/>
  <c r="F477" i="1"/>
  <c r="H477" i="1"/>
  <c r="J477" i="1"/>
  <c r="K477" i="1"/>
  <c r="F478" i="1"/>
  <c r="H478" i="1"/>
  <c r="J478" i="1"/>
  <c r="K478" i="1"/>
  <c r="F479" i="1"/>
  <c r="H479" i="1"/>
  <c r="J479" i="1"/>
  <c r="K479" i="1"/>
  <c r="F480" i="1"/>
  <c r="H480" i="1"/>
  <c r="J480" i="1"/>
  <c r="K480" i="1"/>
  <c r="F481" i="1"/>
  <c r="H481" i="1"/>
  <c r="J481" i="1"/>
  <c r="K481" i="1"/>
  <c r="F482" i="1"/>
  <c r="H482" i="1"/>
  <c r="J482" i="1"/>
  <c r="K482" i="1"/>
  <c r="F483" i="1"/>
  <c r="H483" i="1"/>
  <c r="J483" i="1"/>
  <c r="K483" i="1"/>
  <c r="F484" i="1"/>
  <c r="H484" i="1"/>
  <c r="J484" i="1"/>
  <c r="K484" i="1"/>
  <c r="F485" i="1"/>
  <c r="H485" i="1"/>
  <c r="J485" i="1"/>
  <c r="K485" i="1"/>
  <c r="F486" i="1"/>
  <c r="H486" i="1"/>
  <c r="J486" i="1"/>
  <c r="K486" i="1"/>
  <c r="F487" i="1"/>
  <c r="H487" i="1"/>
  <c r="J487" i="1"/>
  <c r="K487" i="1"/>
  <c r="F488" i="1"/>
  <c r="H488" i="1"/>
  <c r="J488" i="1"/>
  <c r="K488" i="1"/>
  <c r="F489" i="1"/>
  <c r="H489" i="1"/>
  <c r="J489" i="1"/>
  <c r="K489" i="1"/>
  <c r="F490" i="1"/>
  <c r="H490" i="1"/>
  <c r="J490" i="1"/>
  <c r="K490" i="1"/>
  <c r="F491" i="1"/>
  <c r="H491" i="1"/>
  <c r="J491" i="1"/>
  <c r="K491" i="1"/>
  <c r="F492" i="1"/>
  <c r="H492" i="1"/>
  <c r="J492" i="1"/>
  <c r="K492" i="1"/>
  <c r="F493" i="1"/>
  <c r="H493" i="1"/>
  <c r="J493" i="1"/>
  <c r="K493" i="1"/>
  <c r="F494" i="1"/>
  <c r="H494" i="1"/>
  <c r="J494" i="1"/>
  <c r="K494" i="1"/>
  <c r="F495" i="1"/>
  <c r="H495" i="1"/>
  <c r="J495" i="1"/>
  <c r="K495" i="1"/>
  <c r="F496" i="1"/>
  <c r="H496" i="1"/>
  <c r="J496" i="1"/>
  <c r="K496" i="1"/>
  <c r="F497" i="1"/>
  <c r="H497" i="1"/>
  <c r="J497" i="1"/>
  <c r="K497" i="1"/>
  <c r="F498" i="1"/>
  <c r="H498" i="1"/>
  <c r="J498" i="1"/>
  <c r="K498" i="1"/>
  <c r="F499" i="1"/>
  <c r="H499" i="1"/>
  <c r="J499" i="1"/>
  <c r="K499" i="1"/>
  <c r="F500" i="1"/>
  <c r="H500" i="1"/>
  <c r="J500" i="1"/>
  <c r="K500" i="1"/>
  <c r="F501" i="1"/>
  <c r="H501" i="1"/>
  <c r="J501" i="1"/>
  <c r="K501" i="1"/>
  <c r="F502" i="1"/>
  <c r="H502" i="1"/>
  <c r="J502" i="1"/>
  <c r="K502" i="1"/>
  <c r="F503" i="1"/>
  <c r="H503" i="1"/>
  <c r="J503" i="1"/>
  <c r="K503" i="1"/>
  <c r="F504" i="1"/>
  <c r="H504" i="1"/>
  <c r="J504" i="1"/>
  <c r="K504" i="1"/>
  <c r="F505" i="1"/>
  <c r="H505" i="1"/>
  <c r="J505" i="1"/>
  <c r="K505" i="1"/>
  <c r="F506" i="1"/>
  <c r="H506" i="1"/>
  <c r="J506" i="1"/>
  <c r="K506" i="1"/>
  <c r="F507" i="1"/>
  <c r="H507" i="1"/>
  <c r="J507" i="1"/>
  <c r="K507" i="1"/>
  <c r="F508" i="1"/>
  <c r="H508" i="1"/>
  <c r="J508" i="1"/>
  <c r="K508" i="1"/>
  <c r="F509" i="1"/>
  <c r="H509" i="1"/>
  <c r="J509" i="1"/>
  <c r="K509" i="1"/>
  <c r="F510" i="1"/>
  <c r="H510" i="1"/>
  <c r="J510" i="1"/>
  <c r="K510" i="1"/>
  <c r="F511" i="1"/>
  <c r="H511" i="1"/>
  <c r="J511" i="1"/>
  <c r="K511" i="1"/>
  <c r="F512" i="1"/>
  <c r="H512" i="1"/>
  <c r="J512" i="1"/>
  <c r="K512" i="1"/>
  <c r="F513" i="1"/>
  <c r="H513" i="1"/>
  <c r="J513" i="1"/>
  <c r="K513" i="1"/>
  <c r="F514" i="1"/>
  <c r="H514" i="1"/>
  <c r="J514" i="1"/>
  <c r="K514" i="1"/>
  <c r="F515" i="1"/>
  <c r="H515" i="1"/>
  <c r="J515" i="1"/>
  <c r="K515" i="1"/>
  <c r="F516" i="1"/>
  <c r="H516" i="1"/>
  <c r="J516" i="1"/>
  <c r="K516" i="1"/>
  <c r="F517" i="1"/>
  <c r="H517" i="1"/>
  <c r="J517" i="1"/>
  <c r="K517" i="1"/>
  <c r="F518" i="1"/>
  <c r="H518" i="1"/>
  <c r="J518" i="1"/>
  <c r="K518" i="1"/>
  <c r="F519" i="1"/>
  <c r="H519" i="1"/>
  <c r="J519" i="1"/>
  <c r="K519" i="1"/>
  <c r="F520" i="1"/>
  <c r="H520" i="1"/>
  <c r="J520" i="1"/>
  <c r="K520" i="1"/>
  <c r="F521" i="1"/>
  <c r="H521" i="1"/>
  <c r="J521" i="1"/>
  <c r="K521" i="1"/>
  <c r="K470" i="1"/>
  <c r="J470" i="1"/>
  <c r="H470" i="1"/>
  <c r="F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470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18" i="1"/>
  <c r="F419" i="1"/>
  <c r="H419" i="1"/>
  <c r="J419" i="1"/>
  <c r="K419" i="1"/>
  <c r="F420" i="1"/>
  <c r="H420" i="1"/>
  <c r="J420" i="1"/>
  <c r="K420" i="1"/>
  <c r="F421" i="1"/>
  <c r="H421" i="1"/>
  <c r="J421" i="1"/>
  <c r="K421" i="1"/>
  <c r="F422" i="1"/>
  <c r="H422" i="1"/>
  <c r="J422" i="1"/>
  <c r="K422" i="1"/>
  <c r="F423" i="1"/>
  <c r="H423" i="1"/>
  <c r="J423" i="1"/>
  <c r="K423" i="1"/>
  <c r="F424" i="1"/>
  <c r="H424" i="1"/>
  <c r="J424" i="1"/>
  <c r="K424" i="1"/>
  <c r="F425" i="1"/>
  <c r="H425" i="1"/>
  <c r="J425" i="1"/>
  <c r="K425" i="1"/>
  <c r="F426" i="1"/>
  <c r="H426" i="1"/>
  <c r="J426" i="1"/>
  <c r="K426" i="1"/>
  <c r="F427" i="1"/>
  <c r="H427" i="1"/>
  <c r="J427" i="1"/>
  <c r="K427" i="1"/>
  <c r="F428" i="1"/>
  <c r="H428" i="1"/>
  <c r="J428" i="1"/>
  <c r="K428" i="1"/>
  <c r="F429" i="1"/>
  <c r="H429" i="1"/>
  <c r="J429" i="1"/>
  <c r="K429" i="1"/>
  <c r="F430" i="1"/>
  <c r="H430" i="1"/>
  <c r="J430" i="1"/>
  <c r="K430" i="1"/>
  <c r="F431" i="1"/>
  <c r="H431" i="1"/>
  <c r="J431" i="1"/>
  <c r="K431" i="1"/>
  <c r="F432" i="1"/>
  <c r="H432" i="1"/>
  <c r="J432" i="1"/>
  <c r="K432" i="1"/>
  <c r="F433" i="1"/>
  <c r="H433" i="1"/>
  <c r="J433" i="1"/>
  <c r="K433" i="1"/>
  <c r="F434" i="1"/>
  <c r="H434" i="1"/>
  <c r="J434" i="1"/>
  <c r="K434" i="1"/>
  <c r="F435" i="1"/>
  <c r="H435" i="1"/>
  <c r="J435" i="1"/>
  <c r="K435" i="1"/>
  <c r="F436" i="1"/>
  <c r="H436" i="1"/>
  <c r="J436" i="1"/>
  <c r="K436" i="1"/>
  <c r="F437" i="1"/>
  <c r="H437" i="1"/>
  <c r="J437" i="1"/>
  <c r="K437" i="1"/>
  <c r="F438" i="1"/>
  <c r="H438" i="1"/>
  <c r="J438" i="1"/>
  <c r="K438" i="1"/>
  <c r="F439" i="1"/>
  <c r="H439" i="1"/>
  <c r="J439" i="1"/>
  <c r="K439" i="1"/>
  <c r="F440" i="1"/>
  <c r="H440" i="1"/>
  <c r="J440" i="1"/>
  <c r="K440" i="1"/>
  <c r="F441" i="1"/>
  <c r="H441" i="1"/>
  <c r="J441" i="1"/>
  <c r="K441" i="1"/>
  <c r="F442" i="1"/>
  <c r="H442" i="1"/>
  <c r="J442" i="1"/>
  <c r="K442" i="1"/>
  <c r="F443" i="1"/>
  <c r="H443" i="1"/>
  <c r="J443" i="1"/>
  <c r="K443" i="1"/>
  <c r="F444" i="1"/>
  <c r="H444" i="1"/>
  <c r="J444" i="1"/>
  <c r="K444" i="1"/>
  <c r="F445" i="1"/>
  <c r="H445" i="1"/>
  <c r="J445" i="1"/>
  <c r="K445" i="1"/>
  <c r="F446" i="1"/>
  <c r="H446" i="1"/>
  <c r="J446" i="1"/>
  <c r="K446" i="1"/>
  <c r="F447" i="1"/>
  <c r="H447" i="1"/>
  <c r="J447" i="1"/>
  <c r="K447" i="1"/>
  <c r="F448" i="1"/>
  <c r="H448" i="1"/>
  <c r="J448" i="1"/>
  <c r="K448" i="1"/>
  <c r="F449" i="1"/>
  <c r="H449" i="1"/>
  <c r="J449" i="1"/>
  <c r="K449" i="1"/>
  <c r="F450" i="1"/>
  <c r="H450" i="1"/>
  <c r="J450" i="1"/>
  <c r="K450" i="1"/>
  <c r="F451" i="1"/>
  <c r="H451" i="1"/>
  <c r="J451" i="1"/>
  <c r="K451" i="1"/>
  <c r="F452" i="1"/>
  <c r="H452" i="1"/>
  <c r="J452" i="1"/>
  <c r="K452" i="1"/>
  <c r="F453" i="1"/>
  <c r="H453" i="1"/>
  <c r="J453" i="1"/>
  <c r="K453" i="1"/>
  <c r="F454" i="1"/>
  <c r="H454" i="1"/>
  <c r="J454" i="1"/>
  <c r="K454" i="1"/>
  <c r="F455" i="1"/>
  <c r="H455" i="1"/>
  <c r="J455" i="1"/>
  <c r="K455" i="1"/>
  <c r="F456" i="1"/>
  <c r="H456" i="1"/>
  <c r="J456" i="1"/>
  <c r="K456" i="1"/>
  <c r="F457" i="1"/>
  <c r="H457" i="1"/>
  <c r="J457" i="1"/>
  <c r="K457" i="1"/>
  <c r="F458" i="1"/>
  <c r="H458" i="1"/>
  <c r="J458" i="1"/>
  <c r="K458" i="1"/>
  <c r="F459" i="1"/>
  <c r="H459" i="1"/>
  <c r="J459" i="1"/>
  <c r="K459" i="1"/>
  <c r="F460" i="1"/>
  <c r="H460" i="1"/>
  <c r="J460" i="1"/>
  <c r="K460" i="1"/>
  <c r="F461" i="1"/>
  <c r="H461" i="1"/>
  <c r="J461" i="1"/>
  <c r="K461" i="1"/>
  <c r="F462" i="1"/>
  <c r="H462" i="1"/>
  <c r="J462" i="1"/>
  <c r="K462" i="1"/>
  <c r="F463" i="1"/>
  <c r="H463" i="1"/>
  <c r="J463" i="1"/>
  <c r="K463" i="1"/>
  <c r="F464" i="1"/>
  <c r="H464" i="1"/>
  <c r="J464" i="1"/>
  <c r="K464" i="1"/>
  <c r="F465" i="1"/>
  <c r="H465" i="1"/>
  <c r="J465" i="1"/>
  <c r="K465" i="1"/>
  <c r="F466" i="1"/>
  <c r="H466" i="1"/>
  <c r="J466" i="1"/>
  <c r="K466" i="1"/>
  <c r="F467" i="1"/>
  <c r="H467" i="1"/>
  <c r="J467" i="1"/>
  <c r="K467" i="1"/>
  <c r="F468" i="1"/>
  <c r="H468" i="1"/>
  <c r="J468" i="1"/>
  <c r="K468" i="1"/>
  <c r="F469" i="1"/>
  <c r="H469" i="1"/>
  <c r="J469" i="1"/>
  <c r="K469" i="1"/>
  <c r="K418" i="1"/>
  <c r="J418" i="1"/>
  <c r="H418" i="1"/>
  <c r="F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18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366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14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262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10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158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06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5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F367" i="1"/>
  <c r="H367" i="1"/>
  <c r="J367" i="1"/>
  <c r="K367" i="1"/>
  <c r="F368" i="1"/>
  <c r="H368" i="1"/>
  <c r="J368" i="1"/>
  <c r="K368" i="1"/>
  <c r="F369" i="1"/>
  <c r="H369" i="1"/>
  <c r="J369" i="1"/>
  <c r="K369" i="1"/>
  <c r="F370" i="1"/>
  <c r="H370" i="1"/>
  <c r="J370" i="1"/>
  <c r="K370" i="1"/>
  <c r="F371" i="1"/>
  <c r="H371" i="1"/>
  <c r="J371" i="1"/>
  <c r="K371" i="1"/>
  <c r="F372" i="1"/>
  <c r="H372" i="1"/>
  <c r="J372" i="1"/>
  <c r="K372" i="1"/>
  <c r="F373" i="1"/>
  <c r="H373" i="1"/>
  <c r="J373" i="1"/>
  <c r="K373" i="1"/>
  <c r="F374" i="1"/>
  <c r="H374" i="1"/>
  <c r="J374" i="1"/>
  <c r="K374" i="1"/>
  <c r="F375" i="1"/>
  <c r="H375" i="1"/>
  <c r="J375" i="1"/>
  <c r="K375" i="1"/>
  <c r="F376" i="1"/>
  <c r="H376" i="1"/>
  <c r="J376" i="1"/>
  <c r="K376" i="1"/>
  <c r="F377" i="1"/>
  <c r="H377" i="1"/>
  <c r="J377" i="1"/>
  <c r="K377" i="1"/>
  <c r="F378" i="1"/>
  <c r="H378" i="1"/>
  <c r="J378" i="1"/>
  <c r="K378" i="1"/>
  <c r="F379" i="1"/>
  <c r="H379" i="1"/>
  <c r="J379" i="1"/>
  <c r="K379" i="1"/>
  <c r="F380" i="1"/>
  <c r="H380" i="1"/>
  <c r="J380" i="1"/>
  <c r="K380" i="1"/>
  <c r="F381" i="1"/>
  <c r="H381" i="1"/>
  <c r="J381" i="1"/>
  <c r="K381" i="1"/>
  <c r="F382" i="1"/>
  <c r="H382" i="1"/>
  <c r="J382" i="1"/>
  <c r="K382" i="1"/>
  <c r="F383" i="1"/>
  <c r="H383" i="1"/>
  <c r="J383" i="1"/>
  <c r="K383" i="1"/>
  <c r="F384" i="1"/>
  <c r="H384" i="1"/>
  <c r="J384" i="1"/>
  <c r="K384" i="1"/>
  <c r="F385" i="1"/>
  <c r="H385" i="1"/>
  <c r="J385" i="1"/>
  <c r="K385" i="1"/>
  <c r="F386" i="1"/>
  <c r="H386" i="1"/>
  <c r="J386" i="1"/>
  <c r="K386" i="1"/>
  <c r="F387" i="1"/>
  <c r="H387" i="1"/>
  <c r="J387" i="1"/>
  <c r="K387" i="1"/>
  <c r="F388" i="1"/>
  <c r="H388" i="1"/>
  <c r="J388" i="1"/>
  <c r="K388" i="1"/>
  <c r="F389" i="1"/>
  <c r="H389" i="1"/>
  <c r="J389" i="1"/>
  <c r="K389" i="1"/>
  <c r="F390" i="1"/>
  <c r="H390" i="1"/>
  <c r="J390" i="1"/>
  <c r="K390" i="1"/>
  <c r="F391" i="1"/>
  <c r="H391" i="1"/>
  <c r="J391" i="1"/>
  <c r="K391" i="1"/>
  <c r="F392" i="1"/>
  <c r="H392" i="1"/>
  <c r="J392" i="1"/>
  <c r="K392" i="1"/>
  <c r="F393" i="1"/>
  <c r="H393" i="1"/>
  <c r="J393" i="1"/>
  <c r="K393" i="1"/>
  <c r="F394" i="1"/>
  <c r="H394" i="1"/>
  <c r="J394" i="1"/>
  <c r="K394" i="1"/>
  <c r="F395" i="1"/>
  <c r="H395" i="1"/>
  <c r="J395" i="1"/>
  <c r="K395" i="1"/>
  <c r="F396" i="1"/>
  <c r="H396" i="1"/>
  <c r="J396" i="1"/>
  <c r="K396" i="1"/>
  <c r="F397" i="1"/>
  <c r="H397" i="1"/>
  <c r="J397" i="1"/>
  <c r="K397" i="1"/>
  <c r="F398" i="1"/>
  <c r="H398" i="1"/>
  <c r="J398" i="1"/>
  <c r="K398" i="1"/>
  <c r="F399" i="1"/>
  <c r="H399" i="1"/>
  <c r="J399" i="1"/>
  <c r="K399" i="1"/>
  <c r="F400" i="1"/>
  <c r="H400" i="1"/>
  <c r="J400" i="1"/>
  <c r="K400" i="1"/>
  <c r="F401" i="1"/>
  <c r="H401" i="1"/>
  <c r="J401" i="1"/>
  <c r="K401" i="1"/>
  <c r="F402" i="1"/>
  <c r="H402" i="1"/>
  <c r="J402" i="1"/>
  <c r="K402" i="1"/>
  <c r="F403" i="1"/>
  <c r="H403" i="1"/>
  <c r="J403" i="1"/>
  <c r="K403" i="1"/>
  <c r="F404" i="1"/>
  <c r="H404" i="1"/>
  <c r="J404" i="1"/>
  <c r="K404" i="1"/>
  <c r="F405" i="1"/>
  <c r="H405" i="1"/>
  <c r="J405" i="1"/>
  <c r="K405" i="1"/>
  <c r="F406" i="1"/>
  <c r="H406" i="1"/>
  <c r="J406" i="1"/>
  <c r="K406" i="1"/>
  <c r="F407" i="1"/>
  <c r="H407" i="1"/>
  <c r="J407" i="1"/>
  <c r="K407" i="1"/>
  <c r="F408" i="1"/>
  <c r="H408" i="1"/>
  <c r="J408" i="1"/>
  <c r="K408" i="1"/>
  <c r="F409" i="1"/>
  <c r="H409" i="1"/>
  <c r="J409" i="1"/>
  <c r="K409" i="1"/>
  <c r="F410" i="1"/>
  <c r="H410" i="1"/>
  <c r="J410" i="1"/>
  <c r="K410" i="1"/>
  <c r="F411" i="1"/>
  <c r="H411" i="1"/>
  <c r="J411" i="1"/>
  <c r="K411" i="1"/>
  <c r="F412" i="1"/>
  <c r="H412" i="1"/>
  <c r="J412" i="1"/>
  <c r="K412" i="1"/>
  <c r="F413" i="1"/>
  <c r="H413" i="1"/>
  <c r="J413" i="1"/>
  <c r="K413" i="1"/>
  <c r="F414" i="1"/>
  <c r="H414" i="1"/>
  <c r="J414" i="1"/>
  <c r="K414" i="1"/>
  <c r="F415" i="1"/>
  <c r="H415" i="1"/>
  <c r="J415" i="1"/>
  <c r="K415" i="1"/>
  <c r="F416" i="1"/>
  <c r="H416" i="1"/>
  <c r="J416" i="1"/>
  <c r="K416" i="1"/>
  <c r="F417" i="1"/>
  <c r="H417" i="1"/>
  <c r="J417" i="1"/>
  <c r="K417" i="1"/>
  <c r="K366" i="1"/>
  <c r="J366" i="1"/>
  <c r="H366" i="1"/>
  <c r="F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366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14" i="1"/>
  <c r="F315" i="1"/>
  <c r="H315" i="1"/>
  <c r="J315" i="1"/>
  <c r="K315" i="1"/>
  <c r="F316" i="1"/>
  <c r="H316" i="1"/>
  <c r="J316" i="1"/>
  <c r="K316" i="1"/>
  <c r="F317" i="1"/>
  <c r="H317" i="1"/>
  <c r="J317" i="1"/>
  <c r="K317" i="1"/>
  <c r="F318" i="1"/>
  <c r="H318" i="1"/>
  <c r="J318" i="1"/>
  <c r="K318" i="1"/>
  <c r="F319" i="1"/>
  <c r="H319" i="1"/>
  <c r="J319" i="1"/>
  <c r="K319" i="1"/>
  <c r="F320" i="1"/>
  <c r="H320" i="1"/>
  <c r="J320" i="1"/>
  <c r="K320" i="1"/>
  <c r="F321" i="1"/>
  <c r="H321" i="1"/>
  <c r="J321" i="1"/>
  <c r="K321" i="1"/>
  <c r="F322" i="1"/>
  <c r="H322" i="1"/>
  <c r="J322" i="1"/>
  <c r="K322" i="1"/>
  <c r="F323" i="1"/>
  <c r="H323" i="1"/>
  <c r="J323" i="1"/>
  <c r="K323" i="1"/>
  <c r="F324" i="1"/>
  <c r="H324" i="1"/>
  <c r="J324" i="1"/>
  <c r="K324" i="1"/>
  <c r="F325" i="1"/>
  <c r="H325" i="1"/>
  <c r="J325" i="1"/>
  <c r="K325" i="1"/>
  <c r="F326" i="1"/>
  <c r="H326" i="1"/>
  <c r="J326" i="1"/>
  <c r="K326" i="1"/>
  <c r="F327" i="1"/>
  <c r="H327" i="1"/>
  <c r="J327" i="1"/>
  <c r="K327" i="1"/>
  <c r="F328" i="1"/>
  <c r="H328" i="1"/>
  <c r="J328" i="1"/>
  <c r="K328" i="1"/>
  <c r="F329" i="1"/>
  <c r="H329" i="1"/>
  <c r="J329" i="1"/>
  <c r="K329" i="1"/>
  <c r="F330" i="1"/>
  <c r="H330" i="1"/>
  <c r="J330" i="1"/>
  <c r="K330" i="1"/>
  <c r="F331" i="1"/>
  <c r="H331" i="1"/>
  <c r="J331" i="1"/>
  <c r="K331" i="1"/>
  <c r="F332" i="1"/>
  <c r="H332" i="1"/>
  <c r="J332" i="1"/>
  <c r="K332" i="1"/>
  <c r="F333" i="1"/>
  <c r="H333" i="1"/>
  <c r="J333" i="1"/>
  <c r="K333" i="1"/>
  <c r="F334" i="1"/>
  <c r="H334" i="1"/>
  <c r="J334" i="1"/>
  <c r="K334" i="1"/>
  <c r="F335" i="1"/>
  <c r="H335" i="1"/>
  <c r="J335" i="1"/>
  <c r="K335" i="1"/>
  <c r="F336" i="1"/>
  <c r="H336" i="1"/>
  <c r="J336" i="1"/>
  <c r="K336" i="1"/>
  <c r="F337" i="1"/>
  <c r="H337" i="1"/>
  <c r="J337" i="1"/>
  <c r="K337" i="1"/>
  <c r="F338" i="1"/>
  <c r="H338" i="1"/>
  <c r="J338" i="1"/>
  <c r="K338" i="1"/>
  <c r="F339" i="1"/>
  <c r="H339" i="1"/>
  <c r="J339" i="1"/>
  <c r="K339" i="1"/>
  <c r="F340" i="1"/>
  <c r="H340" i="1"/>
  <c r="J340" i="1"/>
  <c r="K340" i="1"/>
  <c r="H341" i="1"/>
  <c r="J341" i="1"/>
  <c r="K341" i="1"/>
  <c r="H342" i="1"/>
  <c r="J342" i="1"/>
  <c r="K342" i="1"/>
  <c r="H343" i="1"/>
  <c r="J343" i="1"/>
  <c r="K343" i="1"/>
  <c r="H344" i="1"/>
  <c r="J344" i="1"/>
  <c r="K344" i="1"/>
  <c r="H345" i="1"/>
  <c r="J345" i="1"/>
  <c r="K345" i="1"/>
  <c r="H346" i="1"/>
  <c r="J346" i="1"/>
  <c r="K346" i="1"/>
  <c r="H347" i="1"/>
  <c r="J347" i="1"/>
  <c r="K347" i="1"/>
  <c r="H348" i="1"/>
  <c r="J348" i="1"/>
  <c r="K348" i="1"/>
  <c r="H349" i="1"/>
  <c r="J349" i="1"/>
  <c r="K349" i="1"/>
  <c r="H350" i="1"/>
  <c r="J350" i="1"/>
  <c r="K350" i="1"/>
  <c r="H351" i="1"/>
  <c r="J351" i="1"/>
  <c r="K351" i="1"/>
  <c r="H352" i="1"/>
  <c r="J352" i="1"/>
  <c r="K352" i="1"/>
  <c r="H353" i="1"/>
  <c r="J353" i="1"/>
  <c r="K353" i="1"/>
  <c r="H354" i="1"/>
  <c r="J354" i="1"/>
  <c r="K354" i="1"/>
  <c r="H355" i="1"/>
  <c r="J355" i="1"/>
  <c r="K355" i="1"/>
  <c r="H356" i="1"/>
  <c r="J356" i="1"/>
  <c r="K356" i="1"/>
  <c r="H357" i="1"/>
  <c r="J357" i="1"/>
  <c r="K357" i="1"/>
  <c r="H358" i="1"/>
  <c r="J358" i="1"/>
  <c r="K358" i="1"/>
  <c r="H359" i="1"/>
  <c r="J359" i="1"/>
  <c r="K359" i="1"/>
  <c r="H360" i="1"/>
  <c r="J360" i="1"/>
  <c r="K360" i="1"/>
  <c r="H361" i="1"/>
  <c r="J361" i="1"/>
  <c r="K361" i="1"/>
  <c r="H362" i="1"/>
  <c r="J362" i="1"/>
  <c r="K362" i="1"/>
  <c r="H363" i="1"/>
  <c r="J363" i="1"/>
  <c r="K363" i="1"/>
  <c r="H364" i="1"/>
  <c r="J364" i="1"/>
  <c r="K364" i="1"/>
  <c r="H365" i="1"/>
  <c r="J365" i="1"/>
  <c r="K365" i="1"/>
  <c r="K314" i="1"/>
  <c r="J314" i="1"/>
  <c r="H314" i="1"/>
  <c r="F314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262" i="1"/>
  <c r="F263" i="1"/>
  <c r="H263" i="1"/>
  <c r="J263" i="1"/>
  <c r="K263" i="1"/>
  <c r="F264" i="1"/>
  <c r="H264" i="1"/>
  <c r="J264" i="1"/>
  <c r="K264" i="1"/>
  <c r="F265" i="1"/>
  <c r="H265" i="1"/>
  <c r="J265" i="1"/>
  <c r="K265" i="1"/>
  <c r="F266" i="1"/>
  <c r="H266" i="1"/>
  <c r="J266" i="1"/>
  <c r="K266" i="1"/>
  <c r="F267" i="1"/>
  <c r="H267" i="1"/>
  <c r="J267" i="1"/>
  <c r="K267" i="1"/>
  <c r="F268" i="1"/>
  <c r="H268" i="1"/>
  <c r="J268" i="1"/>
  <c r="K268" i="1"/>
  <c r="F269" i="1"/>
  <c r="H269" i="1"/>
  <c r="J269" i="1"/>
  <c r="K269" i="1"/>
  <c r="F270" i="1"/>
  <c r="H270" i="1"/>
  <c r="J270" i="1"/>
  <c r="K270" i="1"/>
  <c r="F271" i="1"/>
  <c r="H271" i="1"/>
  <c r="J271" i="1"/>
  <c r="K271" i="1"/>
  <c r="F272" i="1"/>
  <c r="H272" i="1"/>
  <c r="J272" i="1"/>
  <c r="K272" i="1"/>
  <c r="F273" i="1"/>
  <c r="H273" i="1"/>
  <c r="J273" i="1"/>
  <c r="K273" i="1"/>
  <c r="F274" i="1"/>
  <c r="H274" i="1"/>
  <c r="J274" i="1"/>
  <c r="K274" i="1"/>
  <c r="F275" i="1"/>
  <c r="H275" i="1"/>
  <c r="J275" i="1"/>
  <c r="K275" i="1"/>
  <c r="F276" i="1"/>
  <c r="H276" i="1"/>
  <c r="J276" i="1"/>
  <c r="K276" i="1"/>
  <c r="F277" i="1"/>
  <c r="H277" i="1"/>
  <c r="J277" i="1"/>
  <c r="K277" i="1"/>
  <c r="F278" i="1"/>
  <c r="H278" i="1"/>
  <c r="J278" i="1"/>
  <c r="K278" i="1"/>
  <c r="F279" i="1"/>
  <c r="H279" i="1"/>
  <c r="J279" i="1"/>
  <c r="K279" i="1"/>
  <c r="F280" i="1"/>
  <c r="H280" i="1"/>
  <c r="J280" i="1"/>
  <c r="K280" i="1"/>
  <c r="F281" i="1"/>
  <c r="H281" i="1"/>
  <c r="J281" i="1"/>
  <c r="K281" i="1"/>
  <c r="F282" i="1"/>
  <c r="H282" i="1"/>
  <c r="J282" i="1"/>
  <c r="K282" i="1"/>
  <c r="F283" i="1"/>
  <c r="H283" i="1"/>
  <c r="J283" i="1"/>
  <c r="K283" i="1"/>
  <c r="F284" i="1"/>
  <c r="H284" i="1"/>
  <c r="J284" i="1"/>
  <c r="K284" i="1"/>
  <c r="F285" i="1"/>
  <c r="H285" i="1"/>
  <c r="J285" i="1"/>
  <c r="K285" i="1"/>
  <c r="F286" i="1"/>
  <c r="H286" i="1"/>
  <c r="J286" i="1"/>
  <c r="K286" i="1"/>
  <c r="F287" i="1"/>
  <c r="H287" i="1"/>
  <c r="J287" i="1"/>
  <c r="K287" i="1"/>
  <c r="F288" i="1"/>
  <c r="H288" i="1"/>
  <c r="J288" i="1"/>
  <c r="K288" i="1"/>
  <c r="F289" i="1"/>
  <c r="H289" i="1"/>
  <c r="J289" i="1"/>
  <c r="K289" i="1"/>
  <c r="F290" i="1"/>
  <c r="H290" i="1"/>
  <c r="J290" i="1"/>
  <c r="K290" i="1"/>
  <c r="F291" i="1"/>
  <c r="H291" i="1"/>
  <c r="J291" i="1"/>
  <c r="K291" i="1"/>
  <c r="F292" i="1"/>
  <c r="H292" i="1"/>
  <c r="J292" i="1"/>
  <c r="K292" i="1"/>
  <c r="F293" i="1"/>
  <c r="H293" i="1"/>
  <c r="J293" i="1"/>
  <c r="K293" i="1"/>
  <c r="F294" i="1"/>
  <c r="H294" i="1"/>
  <c r="J294" i="1"/>
  <c r="K294" i="1"/>
  <c r="F295" i="1"/>
  <c r="H295" i="1"/>
  <c r="J295" i="1"/>
  <c r="K295" i="1"/>
  <c r="F296" i="1"/>
  <c r="H296" i="1"/>
  <c r="J296" i="1"/>
  <c r="K296" i="1"/>
  <c r="F297" i="1"/>
  <c r="H297" i="1"/>
  <c r="J297" i="1"/>
  <c r="K297" i="1"/>
  <c r="F298" i="1"/>
  <c r="H298" i="1"/>
  <c r="J298" i="1"/>
  <c r="K298" i="1"/>
  <c r="F299" i="1"/>
  <c r="H299" i="1"/>
  <c r="J299" i="1"/>
  <c r="K299" i="1"/>
  <c r="F300" i="1"/>
  <c r="H300" i="1"/>
  <c r="J300" i="1"/>
  <c r="K300" i="1"/>
  <c r="F301" i="1"/>
  <c r="H301" i="1"/>
  <c r="J301" i="1"/>
  <c r="K301" i="1"/>
  <c r="F302" i="1"/>
  <c r="H302" i="1"/>
  <c r="J302" i="1"/>
  <c r="K302" i="1"/>
  <c r="F303" i="1"/>
  <c r="H303" i="1"/>
  <c r="J303" i="1"/>
  <c r="K303" i="1"/>
  <c r="F304" i="1"/>
  <c r="H304" i="1"/>
  <c r="J304" i="1"/>
  <c r="K304" i="1"/>
  <c r="F305" i="1"/>
  <c r="H305" i="1"/>
  <c r="J305" i="1"/>
  <c r="K305" i="1"/>
  <c r="F306" i="1"/>
  <c r="H306" i="1"/>
  <c r="J306" i="1"/>
  <c r="K306" i="1"/>
  <c r="F307" i="1"/>
  <c r="H307" i="1"/>
  <c r="J307" i="1"/>
  <c r="K307" i="1"/>
  <c r="F308" i="1"/>
  <c r="H308" i="1"/>
  <c r="J308" i="1"/>
  <c r="K308" i="1"/>
  <c r="F309" i="1"/>
  <c r="H309" i="1"/>
  <c r="J309" i="1"/>
  <c r="K309" i="1"/>
  <c r="F310" i="1"/>
  <c r="H310" i="1"/>
  <c r="J310" i="1"/>
  <c r="K310" i="1"/>
  <c r="F311" i="1"/>
  <c r="H311" i="1"/>
  <c r="J311" i="1"/>
  <c r="K311" i="1"/>
  <c r="F312" i="1"/>
  <c r="H312" i="1"/>
  <c r="J312" i="1"/>
  <c r="K312" i="1"/>
  <c r="F313" i="1"/>
  <c r="H313" i="1"/>
  <c r="J313" i="1"/>
  <c r="K313" i="1"/>
  <c r="K262" i="1"/>
  <c r="J262" i="1"/>
  <c r="H262" i="1"/>
  <c r="F262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10" i="1"/>
  <c r="F211" i="1"/>
  <c r="H211" i="1"/>
  <c r="J211" i="1"/>
  <c r="K211" i="1"/>
  <c r="F212" i="1"/>
  <c r="H212" i="1"/>
  <c r="J212" i="1"/>
  <c r="K212" i="1"/>
  <c r="F213" i="1"/>
  <c r="H213" i="1"/>
  <c r="J213" i="1"/>
  <c r="K213" i="1"/>
  <c r="F214" i="1"/>
  <c r="H214" i="1"/>
  <c r="J214" i="1"/>
  <c r="K214" i="1"/>
  <c r="F215" i="1"/>
  <c r="H215" i="1"/>
  <c r="J215" i="1"/>
  <c r="K215" i="1"/>
  <c r="F216" i="1"/>
  <c r="H216" i="1"/>
  <c r="J216" i="1"/>
  <c r="K216" i="1"/>
  <c r="F217" i="1"/>
  <c r="H217" i="1"/>
  <c r="J217" i="1"/>
  <c r="K217" i="1"/>
  <c r="F218" i="1"/>
  <c r="H218" i="1"/>
  <c r="J218" i="1"/>
  <c r="K218" i="1"/>
  <c r="F219" i="1"/>
  <c r="H219" i="1"/>
  <c r="J219" i="1"/>
  <c r="K219" i="1"/>
  <c r="F220" i="1"/>
  <c r="H220" i="1"/>
  <c r="J220" i="1"/>
  <c r="K220" i="1"/>
  <c r="F221" i="1"/>
  <c r="H221" i="1"/>
  <c r="J221" i="1"/>
  <c r="K221" i="1"/>
  <c r="F222" i="1"/>
  <c r="H222" i="1"/>
  <c r="J222" i="1"/>
  <c r="K222" i="1"/>
  <c r="F223" i="1"/>
  <c r="H223" i="1"/>
  <c r="J223" i="1"/>
  <c r="K223" i="1"/>
  <c r="F224" i="1"/>
  <c r="H224" i="1"/>
  <c r="J224" i="1"/>
  <c r="K224" i="1"/>
  <c r="F225" i="1"/>
  <c r="H225" i="1"/>
  <c r="J225" i="1"/>
  <c r="K225" i="1"/>
  <c r="F226" i="1"/>
  <c r="H226" i="1"/>
  <c r="J226" i="1"/>
  <c r="K226" i="1"/>
  <c r="F227" i="1"/>
  <c r="H227" i="1"/>
  <c r="J227" i="1"/>
  <c r="K227" i="1"/>
  <c r="F228" i="1"/>
  <c r="H228" i="1"/>
  <c r="J228" i="1"/>
  <c r="K228" i="1"/>
  <c r="F229" i="1"/>
  <c r="H229" i="1"/>
  <c r="J229" i="1"/>
  <c r="K229" i="1"/>
  <c r="F230" i="1"/>
  <c r="H230" i="1"/>
  <c r="J230" i="1"/>
  <c r="K230" i="1"/>
  <c r="F231" i="1"/>
  <c r="H231" i="1"/>
  <c r="J231" i="1"/>
  <c r="K231" i="1"/>
  <c r="F232" i="1"/>
  <c r="H232" i="1"/>
  <c r="J232" i="1"/>
  <c r="K232" i="1"/>
  <c r="F233" i="1"/>
  <c r="H233" i="1"/>
  <c r="J233" i="1"/>
  <c r="K233" i="1"/>
  <c r="F234" i="1"/>
  <c r="H234" i="1"/>
  <c r="J234" i="1"/>
  <c r="K234" i="1"/>
  <c r="F235" i="1"/>
  <c r="H235" i="1"/>
  <c r="J235" i="1"/>
  <c r="K235" i="1"/>
  <c r="F236" i="1"/>
  <c r="H236" i="1"/>
  <c r="J236" i="1"/>
  <c r="K236" i="1"/>
  <c r="F237" i="1"/>
  <c r="H237" i="1"/>
  <c r="J237" i="1"/>
  <c r="K237" i="1"/>
  <c r="F238" i="1"/>
  <c r="H238" i="1"/>
  <c r="J238" i="1"/>
  <c r="K238" i="1"/>
  <c r="F239" i="1"/>
  <c r="H239" i="1"/>
  <c r="J239" i="1"/>
  <c r="K239" i="1"/>
  <c r="F240" i="1"/>
  <c r="H240" i="1"/>
  <c r="J240" i="1"/>
  <c r="K240" i="1"/>
  <c r="F241" i="1"/>
  <c r="H241" i="1"/>
  <c r="J241" i="1"/>
  <c r="K241" i="1"/>
  <c r="F242" i="1"/>
  <c r="H242" i="1"/>
  <c r="J242" i="1"/>
  <c r="K242" i="1"/>
  <c r="F243" i="1"/>
  <c r="H243" i="1"/>
  <c r="J243" i="1"/>
  <c r="K243" i="1"/>
  <c r="F244" i="1"/>
  <c r="H244" i="1"/>
  <c r="J244" i="1"/>
  <c r="K244" i="1"/>
  <c r="F245" i="1"/>
  <c r="H245" i="1"/>
  <c r="J245" i="1"/>
  <c r="K245" i="1"/>
  <c r="F246" i="1"/>
  <c r="H246" i="1"/>
  <c r="J246" i="1"/>
  <c r="K246" i="1"/>
  <c r="F247" i="1"/>
  <c r="H247" i="1"/>
  <c r="J247" i="1"/>
  <c r="K247" i="1"/>
  <c r="F248" i="1"/>
  <c r="H248" i="1"/>
  <c r="J248" i="1"/>
  <c r="K248" i="1"/>
  <c r="F249" i="1"/>
  <c r="H249" i="1"/>
  <c r="J249" i="1"/>
  <c r="K249" i="1"/>
  <c r="F250" i="1"/>
  <c r="H250" i="1"/>
  <c r="J250" i="1"/>
  <c r="K250" i="1"/>
  <c r="F251" i="1"/>
  <c r="H251" i="1"/>
  <c r="J251" i="1"/>
  <c r="K251" i="1"/>
  <c r="F252" i="1"/>
  <c r="H252" i="1"/>
  <c r="J252" i="1"/>
  <c r="K252" i="1"/>
  <c r="F253" i="1"/>
  <c r="H253" i="1"/>
  <c r="J253" i="1"/>
  <c r="K253" i="1"/>
  <c r="F254" i="1"/>
  <c r="H254" i="1"/>
  <c r="J254" i="1"/>
  <c r="K254" i="1"/>
  <c r="F255" i="1"/>
  <c r="H255" i="1"/>
  <c r="J255" i="1"/>
  <c r="K255" i="1"/>
  <c r="F256" i="1"/>
  <c r="H256" i="1"/>
  <c r="J256" i="1"/>
  <c r="K256" i="1"/>
  <c r="F257" i="1"/>
  <c r="H257" i="1"/>
  <c r="J257" i="1"/>
  <c r="K257" i="1"/>
  <c r="F258" i="1"/>
  <c r="H258" i="1"/>
  <c r="J258" i="1"/>
  <c r="K258" i="1"/>
  <c r="F259" i="1"/>
  <c r="H259" i="1"/>
  <c r="J259" i="1"/>
  <c r="K259" i="1"/>
  <c r="F260" i="1"/>
  <c r="H260" i="1"/>
  <c r="J260" i="1"/>
  <c r="K260" i="1"/>
  <c r="F261" i="1"/>
  <c r="H261" i="1"/>
  <c r="J261" i="1"/>
  <c r="K261" i="1"/>
  <c r="K210" i="1"/>
  <c r="J210" i="1"/>
  <c r="F210" i="1"/>
  <c r="O159" i="1" l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158" i="1"/>
  <c r="F159" i="1"/>
  <c r="H159" i="1"/>
  <c r="J159" i="1"/>
  <c r="K159" i="1"/>
  <c r="F160" i="1"/>
  <c r="H160" i="1"/>
  <c r="J160" i="1"/>
  <c r="K160" i="1"/>
  <c r="F161" i="1"/>
  <c r="H161" i="1"/>
  <c r="J161" i="1"/>
  <c r="K161" i="1"/>
  <c r="F162" i="1"/>
  <c r="H162" i="1"/>
  <c r="J162" i="1"/>
  <c r="K162" i="1"/>
  <c r="F163" i="1"/>
  <c r="H163" i="1"/>
  <c r="J163" i="1"/>
  <c r="K163" i="1"/>
  <c r="F164" i="1"/>
  <c r="H164" i="1"/>
  <c r="J164" i="1"/>
  <c r="K164" i="1"/>
  <c r="F165" i="1"/>
  <c r="H165" i="1"/>
  <c r="J165" i="1"/>
  <c r="K165" i="1"/>
  <c r="F166" i="1"/>
  <c r="H166" i="1"/>
  <c r="J166" i="1"/>
  <c r="K166" i="1"/>
  <c r="F167" i="1"/>
  <c r="H167" i="1"/>
  <c r="J167" i="1"/>
  <c r="K167" i="1"/>
  <c r="F168" i="1"/>
  <c r="H168" i="1"/>
  <c r="J168" i="1"/>
  <c r="K168" i="1"/>
  <c r="F169" i="1"/>
  <c r="H169" i="1"/>
  <c r="J169" i="1"/>
  <c r="K169" i="1"/>
  <c r="F170" i="1"/>
  <c r="H170" i="1"/>
  <c r="J170" i="1"/>
  <c r="K170" i="1"/>
  <c r="F171" i="1"/>
  <c r="H171" i="1"/>
  <c r="J171" i="1"/>
  <c r="K171" i="1"/>
  <c r="F172" i="1"/>
  <c r="H172" i="1"/>
  <c r="J172" i="1"/>
  <c r="K172" i="1"/>
  <c r="F173" i="1"/>
  <c r="H173" i="1"/>
  <c r="J173" i="1"/>
  <c r="K173" i="1"/>
  <c r="F174" i="1"/>
  <c r="H174" i="1"/>
  <c r="J174" i="1"/>
  <c r="K174" i="1"/>
  <c r="F175" i="1"/>
  <c r="H175" i="1"/>
  <c r="J175" i="1"/>
  <c r="K175" i="1"/>
  <c r="F176" i="1"/>
  <c r="H176" i="1"/>
  <c r="J176" i="1"/>
  <c r="K176" i="1"/>
  <c r="F177" i="1"/>
  <c r="H177" i="1"/>
  <c r="J177" i="1"/>
  <c r="K177" i="1"/>
  <c r="F178" i="1"/>
  <c r="H178" i="1"/>
  <c r="J178" i="1"/>
  <c r="K178" i="1"/>
  <c r="F179" i="1"/>
  <c r="H179" i="1"/>
  <c r="J179" i="1"/>
  <c r="K179" i="1"/>
  <c r="F180" i="1"/>
  <c r="H180" i="1"/>
  <c r="J180" i="1"/>
  <c r="K180" i="1"/>
  <c r="F181" i="1"/>
  <c r="H181" i="1"/>
  <c r="J181" i="1"/>
  <c r="K181" i="1"/>
  <c r="F182" i="1"/>
  <c r="H182" i="1"/>
  <c r="J182" i="1"/>
  <c r="K182" i="1"/>
  <c r="F183" i="1"/>
  <c r="H183" i="1"/>
  <c r="J183" i="1"/>
  <c r="K183" i="1"/>
  <c r="F184" i="1"/>
  <c r="H184" i="1"/>
  <c r="J184" i="1"/>
  <c r="K184" i="1"/>
  <c r="F185" i="1"/>
  <c r="H185" i="1"/>
  <c r="J185" i="1"/>
  <c r="K185" i="1"/>
  <c r="F186" i="1"/>
  <c r="H186" i="1"/>
  <c r="J186" i="1"/>
  <c r="K186" i="1"/>
  <c r="F187" i="1"/>
  <c r="H187" i="1"/>
  <c r="J187" i="1"/>
  <c r="K187" i="1"/>
  <c r="F188" i="1"/>
  <c r="H188" i="1"/>
  <c r="J188" i="1"/>
  <c r="K188" i="1"/>
  <c r="F189" i="1"/>
  <c r="H189" i="1"/>
  <c r="J189" i="1"/>
  <c r="K189" i="1"/>
  <c r="F190" i="1"/>
  <c r="H190" i="1"/>
  <c r="J190" i="1"/>
  <c r="K190" i="1"/>
  <c r="F191" i="1"/>
  <c r="H191" i="1"/>
  <c r="J191" i="1"/>
  <c r="K191" i="1"/>
  <c r="F192" i="1"/>
  <c r="H192" i="1"/>
  <c r="J192" i="1"/>
  <c r="K192" i="1"/>
  <c r="F193" i="1"/>
  <c r="H193" i="1"/>
  <c r="J193" i="1"/>
  <c r="K193" i="1"/>
  <c r="F194" i="1"/>
  <c r="H194" i="1"/>
  <c r="J194" i="1"/>
  <c r="K194" i="1"/>
  <c r="F195" i="1"/>
  <c r="H195" i="1"/>
  <c r="J195" i="1"/>
  <c r="K195" i="1"/>
  <c r="F196" i="1"/>
  <c r="H196" i="1"/>
  <c r="J196" i="1"/>
  <c r="K196" i="1"/>
  <c r="F197" i="1"/>
  <c r="H197" i="1"/>
  <c r="J197" i="1"/>
  <c r="K197" i="1"/>
  <c r="F198" i="1"/>
  <c r="H198" i="1"/>
  <c r="J198" i="1"/>
  <c r="K198" i="1"/>
  <c r="F199" i="1"/>
  <c r="H199" i="1"/>
  <c r="J199" i="1"/>
  <c r="K199" i="1"/>
  <c r="F200" i="1"/>
  <c r="H200" i="1"/>
  <c r="J200" i="1"/>
  <c r="K200" i="1"/>
  <c r="F201" i="1"/>
  <c r="H201" i="1"/>
  <c r="J201" i="1"/>
  <c r="K201" i="1"/>
  <c r="F202" i="1"/>
  <c r="H202" i="1"/>
  <c r="J202" i="1"/>
  <c r="K202" i="1"/>
  <c r="F203" i="1"/>
  <c r="H203" i="1"/>
  <c r="J203" i="1"/>
  <c r="K203" i="1"/>
  <c r="F204" i="1"/>
  <c r="H204" i="1"/>
  <c r="J204" i="1"/>
  <c r="K204" i="1"/>
  <c r="F205" i="1"/>
  <c r="H205" i="1"/>
  <c r="J205" i="1"/>
  <c r="K205" i="1"/>
  <c r="F206" i="1"/>
  <c r="H206" i="1"/>
  <c r="J206" i="1"/>
  <c r="K206" i="1"/>
  <c r="F207" i="1"/>
  <c r="H207" i="1"/>
  <c r="J207" i="1"/>
  <c r="K207" i="1"/>
  <c r="F208" i="1"/>
  <c r="H208" i="1"/>
  <c r="J208" i="1"/>
  <c r="K208" i="1"/>
  <c r="F209" i="1"/>
  <c r="H209" i="1"/>
  <c r="J209" i="1"/>
  <c r="K209" i="1"/>
  <c r="K158" i="1"/>
  <c r="J158" i="1"/>
  <c r="H158" i="1"/>
  <c r="F158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06" i="1"/>
  <c r="F107" i="1"/>
  <c r="H107" i="1"/>
  <c r="J107" i="1"/>
  <c r="K107" i="1"/>
  <c r="F108" i="1"/>
  <c r="H108" i="1"/>
  <c r="J108" i="1"/>
  <c r="K108" i="1"/>
  <c r="F109" i="1"/>
  <c r="H109" i="1"/>
  <c r="J109" i="1"/>
  <c r="K109" i="1"/>
  <c r="F110" i="1"/>
  <c r="H110" i="1"/>
  <c r="J110" i="1"/>
  <c r="K110" i="1"/>
  <c r="F111" i="1"/>
  <c r="H111" i="1"/>
  <c r="J111" i="1"/>
  <c r="K111" i="1"/>
  <c r="F112" i="1"/>
  <c r="H112" i="1"/>
  <c r="J112" i="1"/>
  <c r="K112" i="1"/>
  <c r="F113" i="1"/>
  <c r="H113" i="1"/>
  <c r="J113" i="1"/>
  <c r="K113" i="1"/>
  <c r="F114" i="1"/>
  <c r="H114" i="1"/>
  <c r="J114" i="1"/>
  <c r="K114" i="1"/>
  <c r="F115" i="1"/>
  <c r="H115" i="1"/>
  <c r="J115" i="1"/>
  <c r="K115" i="1"/>
  <c r="F116" i="1"/>
  <c r="H116" i="1"/>
  <c r="J116" i="1"/>
  <c r="K116" i="1"/>
  <c r="F117" i="1"/>
  <c r="H117" i="1"/>
  <c r="J117" i="1"/>
  <c r="K117" i="1"/>
  <c r="F118" i="1"/>
  <c r="H118" i="1"/>
  <c r="J118" i="1"/>
  <c r="K118" i="1"/>
  <c r="F119" i="1"/>
  <c r="H119" i="1"/>
  <c r="J119" i="1"/>
  <c r="K119" i="1"/>
  <c r="F120" i="1"/>
  <c r="H120" i="1"/>
  <c r="J120" i="1"/>
  <c r="K120" i="1"/>
  <c r="F121" i="1"/>
  <c r="H121" i="1"/>
  <c r="J121" i="1"/>
  <c r="K121" i="1"/>
  <c r="F122" i="1"/>
  <c r="H122" i="1"/>
  <c r="J122" i="1"/>
  <c r="K122" i="1"/>
  <c r="F123" i="1"/>
  <c r="H123" i="1"/>
  <c r="J123" i="1"/>
  <c r="K123" i="1"/>
  <c r="F124" i="1"/>
  <c r="H124" i="1"/>
  <c r="J124" i="1"/>
  <c r="K124" i="1"/>
  <c r="F125" i="1"/>
  <c r="H125" i="1"/>
  <c r="J125" i="1"/>
  <c r="K125" i="1"/>
  <c r="F126" i="1"/>
  <c r="H126" i="1"/>
  <c r="J126" i="1"/>
  <c r="K126" i="1"/>
  <c r="F127" i="1"/>
  <c r="H127" i="1"/>
  <c r="J127" i="1"/>
  <c r="K127" i="1"/>
  <c r="F128" i="1"/>
  <c r="H128" i="1"/>
  <c r="J128" i="1"/>
  <c r="K128" i="1"/>
  <c r="F129" i="1"/>
  <c r="H129" i="1"/>
  <c r="J129" i="1"/>
  <c r="K129" i="1"/>
  <c r="F130" i="1"/>
  <c r="H130" i="1"/>
  <c r="J130" i="1"/>
  <c r="K130" i="1"/>
  <c r="F131" i="1"/>
  <c r="H131" i="1"/>
  <c r="J131" i="1"/>
  <c r="K131" i="1"/>
  <c r="F132" i="1"/>
  <c r="H132" i="1"/>
  <c r="J132" i="1"/>
  <c r="K132" i="1"/>
  <c r="F133" i="1"/>
  <c r="H133" i="1"/>
  <c r="J133" i="1"/>
  <c r="K133" i="1"/>
  <c r="F134" i="1"/>
  <c r="H134" i="1"/>
  <c r="J134" i="1"/>
  <c r="K134" i="1"/>
  <c r="F135" i="1"/>
  <c r="H135" i="1"/>
  <c r="J135" i="1"/>
  <c r="K135" i="1"/>
  <c r="F136" i="1"/>
  <c r="H136" i="1"/>
  <c r="J136" i="1"/>
  <c r="K136" i="1"/>
  <c r="F137" i="1"/>
  <c r="H137" i="1"/>
  <c r="J137" i="1"/>
  <c r="K137" i="1"/>
  <c r="F138" i="1"/>
  <c r="H138" i="1"/>
  <c r="J138" i="1"/>
  <c r="K138" i="1"/>
  <c r="F139" i="1"/>
  <c r="H139" i="1"/>
  <c r="J139" i="1"/>
  <c r="K139" i="1"/>
  <c r="F140" i="1"/>
  <c r="H140" i="1"/>
  <c r="J140" i="1"/>
  <c r="K140" i="1"/>
  <c r="F141" i="1"/>
  <c r="H141" i="1"/>
  <c r="J141" i="1"/>
  <c r="K141" i="1"/>
  <c r="F142" i="1"/>
  <c r="H142" i="1"/>
  <c r="J142" i="1"/>
  <c r="K142" i="1"/>
  <c r="F143" i="1"/>
  <c r="H143" i="1"/>
  <c r="J143" i="1"/>
  <c r="K143" i="1"/>
  <c r="F144" i="1"/>
  <c r="H144" i="1"/>
  <c r="J144" i="1"/>
  <c r="K144" i="1"/>
  <c r="F145" i="1"/>
  <c r="H145" i="1"/>
  <c r="J145" i="1"/>
  <c r="K145" i="1"/>
  <c r="F146" i="1"/>
  <c r="H146" i="1"/>
  <c r="J146" i="1"/>
  <c r="K146" i="1"/>
  <c r="F147" i="1"/>
  <c r="H147" i="1"/>
  <c r="J147" i="1"/>
  <c r="K147" i="1"/>
  <c r="F148" i="1"/>
  <c r="H148" i="1"/>
  <c r="J148" i="1"/>
  <c r="K148" i="1"/>
  <c r="F149" i="1"/>
  <c r="H149" i="1"/>
  <c r="J149" i="1"/>
  <c r="K149" i="1"/>
  <c r="F150" i="1"/>
  <c r="H150" i="1"/>
  <c r="J150" i="1"/>
  <c r="K150" i="1"/>
  <c r="F151" i="1"/>
  <c r="H151" i="1"/>
  <c r="J151" i="1"/>
  <c r="K151" i="1"/>
  <c r="F152" i="1"/>
  <c r="H152" i="1"/>
  <c r="J152" i="1"/>
  <c r="K152" i="1"/>
  <c r="F153" i="1"/>
  <c r="H153" i="1"/>
  <c r="J153" i="1"/>
  <c r="K153" i="1"/>
  <c r="F154" i="1"/>
  <c r="H154" i="1"/>
  <c r="J154" i="1"/>
  <c r="K154" i="1"/>
  <c r="F155" i="1"/>
  <c r="H155" i="1"/>
  <c r="J155" i="1"/>
  <c r="K155" i="1"/>
  <c r="F156" i="1"/>
  <c r="H156" i="1"/>
  <c r="J156" i="1"/>
  <c r="K156" i="1"/>
  <c r="F157" i="1"/>
  <c r="H157" i="1"/>
  <c r="J157" i="1"/>
  <c r="K157" i="1"/>
  <c r="K106" i="1"/>
  <c r="J106" i="1"/>
  <c r="H106" i="1"/>
  <c r="F106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54" i="1"/>
  <c r="F55" i="1"/>
  <c r="H55" i="1"/>
  <c r="J55" i="1"/>
  <c r="K55" i="1"/>
  <c r="F56" i="1"/>
  <c r="H56" i="1"/>
  <c r="J56" i="1"/>
  <c r="K56" i="1"/>
  <c r="F57" i="1"/>
  <c r="H57" i="1"/>
  <c r="J57" i="1"/>
  <c r="K57" i="1"/>
  <c r="F58" i="1"/>
  <c r="H58" i="1"/>
  <c r="J58" i="1"/>
  <c r="K58" i="1"/>
  <c r="F59" i="1"/>
  <c r="H59" i="1"/>
  <c r="J59" i="1"/>
  <c r="K59" i="1"/>
  <c r="F60" i="1"/>
  <c r="H60" i="1"/>
  <c r="J60" i="1"/>
  <c r="K60" i="1"/>
  <c r="F61" i="1"/>
  <c r="H61" i="1"/>
  <c r="J61" i="1"/>
  <c r="K61" i="1"/>
  <c r="F62" i="1"/>
  <c r="H62" i="1"/>
  <c r="J62" i="1"/>
  <c r="K62" i="1"/>
  <c r="F63" i="1"/>
  <c r="H63" i="1"/>
  <c r="J63" i="1"/>
  <c r="K63" i="1"/>
  <c r="F64" i="1"/>
  <c r="H64" i="1"/>
  <c r="J64" i="1"/>
  <c r="K64" i="1"/>
  <c r="F65" i="1"/>
  <c r="H65" i="1"/>
  <c r="J65" i="1"/>
  <c r="K65" i="1"/>
  <c r="F66" i="1"/>
  <c r="H66" i="1"/>
  <c r="J66" i="1"/>
  <c r="K66" i="1"/>
  <c r="F67" i="1"/>
  <c r="H67" i="1"/>
  <c r="J67" i="1"/>
  <c r="K67" i="1"/>
  <c r="F68" i="1"/>
  <c r="H68" i="1"/>
  <c r="J68" i="1"/>
  <c r="K68" i="1"/>
  <c r="F69" i="1"/>
  <c r="H69" i="1"/>
  <c r="J69" i="1"/>
  <c r="K69" i="1"/>
  <c r="F70" i="1"/>
  <c r="H70" i="1"/>
  <c r="J70" i="1"/>
  <c r="K70" i="1"/>
  <c r="F71" i="1"/>
  <c r="H71" i="1"/>
  <c r="J71" i="1"/>
  <c r="K71" i="1"/>
  <c r="F72" i="1"/>
  <c r="H72" i="1"/>
  <c r="J72" i="1"/>
  <c r="K72" i="1"/>
  <c r="F73" i="1"/>
  <c r="H73" i="1"/>
  <c r="J73" i="1"/>
  <c r="K73" i="1"/>
  <c r="F74" i="1"/>
  <c r="H74" i="1"/>
  <c r="J74" i="1"/>
  <c r="K74" i="1"/>
  <c r="F75" i="1"/>
  <c r="H75" i="1"/>
  <c r="J75" i="1"/>
  <c r="K75" i="1"/>
  <c r="F76" i="1"/>
  <c r="H76" i="1"/>
  <c r="J76" i="1"/>
  <c r="K76" i="1"/>
  <c r="F77" i="1"/>
  <c r="H77" i="1"/>
  <c r="J77" i="1"/>
  <c r="K77" i="1"/>
  <c r="F78" i="1"/>
  <c r="H78" i="1"/>
  <c r="J78" i="1"/>
  <c r="K78" i="1"/>
  <c r="F79" i="1"/>
  <c r="H79" i="1"/>
  <c r="J79" i="1"/>
  <c r="K79" i="1"/>
  <c r="F80" i="1"/>
  <c r="H80" i="1"/>
  <c r="J80" i="1"/>
  <c r="K80" i="1"/>
  <c r="F81" i="1"/>
  <c r="H81" i="1"/>
  <c r="J81" i="1"/>
  <c r="K81" i="1"/>
  <c r="F82" i="1"/>
  <c r="H82" i="1"/>
  <c r="J82" i="1"/>
  <c r="K82" i="1"/>
  <c r="F83" i="1"/>
  <c r="H83" i="1"/>
  <c r="J83" i="1"/>
  <c r="K83" i="1"/>
  <c r="F84" i="1"/>
  <c r="H84" i="1"/>
  <c r="J84" i="1"/>
  <c r="K84" i="1"/>
  <c r="F85" i="1"/>
  <c r="H85" i="1"/>
  <c r="J85" i="1"/>
  <c r="K85" i="1"/>
  <c r="F86" i="1"/>
  <c r="H86" i="1"/>
  <c r="J86" i="1"/>
  <c r="K86" i="1"/>
  <c r="F87" i="1"/>
  <c r="H87" i="1"/>
  <c r="J87" i="1"/>
  <c r="K87" i="1"/>
  <c r="F88" i="1"/>
  <c r="H88" i="1"/>
  <c r="J88" i="1"/>
  <c r="K88" i="1"/>
  <c r="F89" i="1"/>
  <c r="H89" i="1"/>
  <c r="J89" i="1"/>
  <c r="K89" i="1"/>
  <c r="F90" i="1"/>
  <c r="H90" i="1"/>
  <c r="J90" i="1"/>
  <c r="K90" i="1"/>
  <c r="F91" i="1"/>
  <c r="H91" i="1"/>
  <c r="J91" i="1"/>
  <c r="K91" i="1"/>
  <c r="F92" i="1"/>
  <c r="H92" i="1"/>
  <c r="J92" i="1"/>
  <c r="K92" i="1"/>
  <c r="F93" i="1"/>
  <c r="H93" i="1"/>
  <c r="J93" i="1"/>
  <c r="K93" i="1"/>
  <c r="F94" i="1"/>
  <c r="H94" i="1"/>
  <c r="J94" i="1"/>
  <c r="K94" i="1"/>
  <c r="F95" i="1"/>
  <c r="H95" i="1"/>
  <c r="J95" i="1"/>
  <c r="K95" i="1"/>
  <c r="F96" i="1"/>
  <c r="H96" i="1"/>
  <c r="J96" i="1"/>
  <c r="K96" i="1"/>
  <c r="F97" i="1"/>
  <c r="H97" i="1"/>
  <c r="J97" i="1"/>
  <c r="K97" i="1"/>
  <c r="F98" i="1"/>
  <c r="H98" i="1"/>
  <c r="J98" i="1"/>
  <c r="K98" i="1"/>
  <c r="F99" i="1"/>
  <c r="H99" i="1"/>
  <c r="J99" i="1"/>
  <c r="K99" i="1"/>
  <c r="F100" i="1"/>
  <c r="H100" i="1"/>
  <c r="J100" i="1"/>
  <c r="K100" i="1"/>
  <c r="F101" i="1"/>
  <c r="H101" i="1"/>
  <c r="J101" i="1"/>
  <c r="K101" i="1"/>
  <c r="F102" i="1"/>
  <c r="H102" i="1"/>
  <c r="J102" i="1"/>
  <c r="K102" i="1"/>
  <c r="F103" i="1"/>
  <c r="H103" i="1"/>
  <c r="J103" i="1"/>
  <c r="K103" i="1"/>
  <c r="F104" i="1"/>
  <c r="H104" i="1"/>
  <c r="J104" i="1"/>
  <c r="K104" i="1"/>
  <c r="F105" i="1"/>
  <c r="H105" i="1"/>
  <c r="J105" i="1"/>
  <c r="K105" i="1"/>
  <c r="K54" i="1"/>
  <c r="J54" i="1"/>
  <c r="H54" i="1"/>
  <c r="F5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2" i="1"/>
  <c r="F4" i="3"/>
  <c r="I159" i="1" s="1"/>
  <c r="F5" i="3"/>
  <c r="F6" i="3"/>
  <c r="I109" i="1" s="1"/>
  <c r="F7" i="3"/>
  <c r="F8" i="3"/>
  <c r="I111" i="1" s="1"/>
  <c r="F9" i="3"/>
  <c r="I164" i="1" s="1"/>
  <c r="F10" i="3"/>
  <c r="I165" i="1" s="1"/>
  <c r="F11" i="3"/>
  <c r="I114" i="1" s="1"/>
  <c r="F12" i="3"/>
  <c r="I167" i="1" s="1"/>
  <c r="F13" i="3"/>
  <c r="F14" i="3"/>
  <c r="I169" i="1" s="1"/>
  <c r="F15" i="3"/>
  <c r="F16" i="3"/>
  <c r="I119" i="1" s="1"/>
  <c r="F17" i="3"/>
  <c r="I16" i="1" s="1"/>
  <c r="F18" i="3"/>
  <c r="I173" i="1" s="1"/>
  <c r="F19" i="3"/>
  <c r="I122" i="1" s="1"/>
  <c r="F20" i="3"/>
  <c r="I175" i="1" s="1"/>
  <c r="F21" i="3"/>
  <c r="F22" i="3"/>
  <c r="I125" i="1" s="1"/>
  <c r="F23" i="3"/>
  <c r="F24" i="3"/>
  <c r="I127" i="1" s="1"/>
  <c r="F25" i="3"/>
  <c r="F26" i="3"/>
  <c r="I181" i="1" s="1"/>
  <c r="F27" i="3"/>
  <c r="I130" i="1" s="1"/>
  <c r="F28" i="3"/>
  <c r="I183" i="1" s="1"/>
  <c r="F29" i="3"/>
  <c r="F30" i="3"/>
  <c r="I29" i="1" s="1"/>
  <c r="F31" i="3"/>
  <c r="F32" i="3"/>
  <c r="I135" i="1" s="1"/>
  <c r="F33" i="3"/>
  <c r="I188" i="1" s="1"/>
  <c r="F34" i="3"/>
  <c r="I189" i="1" s="1"/>
  <c r="F35" i="3"/>
  <c r="I138" i="1" s="1"/>
  <c r="F36" i="3"/>
  <c r="I191" i="1" s="1"/>
  <c r="F37" i="3"/>
  <c r="F38" i="3"/>
  <c r="I141" i="1" s="1"/>
  <c r="F39" i="3"/>
  <c r="F40" i="3"/>
  <c r="I143" i="1" s="1"/>
  <c r="F41" i="3"/>
  <c r="I196" i="1" s="1"/>
  <c r="F42" i="3"/>
  <c r="I197" i="1" s="1"/>
  <c r="F43" i="3"/>
  <c r="I146" i="1" s="1"/>
  <c r="F44" i="3"/>
  <c r="I199" i="1" s="1"/>
  <c r="F45" i="3"/>
  <c r="F46" i="3"/>
  <c r="I201" i="1" s="1"/>
  <c r="F47" i="3"/>
  <c r="I98" i="1" s="1"/>
  <c r="F48" i="3"/>
  <c r="I151" i="1" s="1"/>
  <c r="F49" i="3"/>
  <c r="I204" i="1" s="1"/>
  <c r="F50" i="3"/>
  <c r="I205" i="1" s="1"/>
  <c r="F51" i="3"/>
  <c r="I154" i="1" s="1"/>
  <c r="F52" i="3"/>
  <c r="I207" i="1" s="1"/>
  <c r="F53" i="3"/>
  <c r="F54" i="3"/>
  <c r="I157" i="1" s="1"/>
  <c r="F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" i="1"/>
  <c r="D2" i="1"/>
  <c r="I102" i="1" l="1"/>
  <c r="I94" i="1"/>
  <c r="I596" i="1"/>
  <c r="I648" i="1"/>
  <c r="I752" i="1"/>
  <c r="I856" i="1"/>
  <c r="I960" i="1"/>
  <c r="I1064" i="1"/>
  <c r="I492" i="1"/>
  <c r="I544" i="1"/>
  <c r="I700" i="1"/>
  <c r="I804" i="1"/>
  <c r="I908" i="1"/>
  <c r="I1012" i="1"/>
  <c r="I388" i="1"/>
  <c r="I232" i="1"/>
  <c r="I336" i="1"/>
  <c r="I284" i="1"/>
  <c r="I440" i="1"/>
  <c r="I32" i="1"/>
  <c r="I678" i="1"/>
  <c r="I782" i="1"/>
  <c r="I886" i="1"/>
  <c r="I990" i="1"/>
  <c r="I574" i="1"/>
  <c r="I626" i="1"/>
  <c r="I730" i="1"/>
  <c r="I834" i="1"/>
  <c r="I938" i="1"/>
  <c r="I1042" i="1"/>
  <c r="I522" i="1"/>
  <c r="I418" i="1"/>
  <c r="I366" i="1"/>
  <c r="I314" i="1"/>
  <c r="I210" i="1"/>
  <c r="I470" i="1"/>
  <c r="I262" i="1"/>
  <c r="I670" i="1"/>
  <c r="I774" i="1"/>
  <c r="I878" i="1"/>
  <c r="I982" i="1"/>
  <c r="I1086" i="1"/>
  <c r="I566" i="1"/>
  <c r="I722" i="1"/>
  <c r="I826" i="1"/>
  <c r="I930" i="1"/>
  <c r="I1034" i="1"/>
  <c r="I618" i="1"/>
  <c r="I462" i="1"/>
  <c r="I254" i="1"/>
  <c r="I358" i="1"/>
  <c r="I410" i="1"/>
  <c r="I514" i="1"/>
  <c r="I306" i="1"/>
  <c r="I662" i="1"/>
  <c r="I766" i="1"/>
  <c r="I870" i="1"/>
  <c r="I974" i="1"/>
  <c r="I1078" i="1"/>
  <c r="I558" i="1"/>
  <c r="I714" i="1"/>
  <c r="I818" i="1"/>
  <c r="I922" i="1"/>
  <c r="I1026" i="1"/>
  <c r="I610" i="1"/>
  <c r="I506" i="1"/>
  <c r="I454" i="1"/>
  <c r="I246" i="1"/>
  <c r="I350" i="1"/>
  <c r="I402" i="1"/>
  <c r="I298" i="1"/>
  <c r="I654" i="1"/>
  <c r="I758" i="1"/>
  <c r="I862" i="1"/>
  <c r="I966" i="1"/>
  <c r="I1070" i="1"/>
  <c r="I550" i="1"/>
  <c r="I706" i="1"/>
  <c r="I810" i="1"/>
  <c r="I914" i="1"/>
  <c r="I1018" i="1"/>
  <c r="I602" i="1"/>
  <c r="I498" i="1"/>
  <c r="I446" i="1"/>
  <c r="I238" i="1"/>
  <c r="I342" i="1"/>
  <c r="I394" i="1"/>
  <c r="I290" i="1"/>
  <c r="I646" i="1"/>
  <c r="I750" i="1"/>
  <c r="I854" i="1"/>
  <c r="I958" i="1"/>
  <c r="I1062" i="1"/>
  <c r="I542" i="1"/>
  <c r="I698" i="1"/>
  <c r="I802" i="1"/>
  <c r="I906" i="1"/>
  <c r="I1010" i="1"/>
  <c r="I594" i="1"/>
  <c r="I490" i="1"/>
  <c r="I438" i="1"/>
  <c r="I386" i="1"/>
  <c r="I230" i="1"/>
  <c r="I334" i="1"/>
  <c r="I282" i="1"/>
  <c r="I638" i="1"/>
  <c r="I742" i="1"/>
  <c r="I846" i="1"/>
  <c r="I950" i="1"/>
  <c r="I1054" i="1"/>
  <c r="I534" i="1"/>
  <c r="I690" i="1"/>
  <c r="I794" i="1"/>
  <c r="I898" i="1"/>
  <c r="I1002" i="1"/>
  <c r="I586" i="1"/>
  <c r="I482" i="1"/>
  <c r="I274" i="1"/>
  <c r="I430" i="1"/>
  <c r="I222" i="1"/>
  <c r="I378" i="1"/>
  <c r="I326" i="1"/>
  <c r="I630" i="1"/>
  <c r="I734" i="1"/>
  <c r="I838" i="1"/>
  <c r="I942" i="1"/>
  <c r="I1046" i="1"/>
  <c r="I526" i="1"/>
  <c r="I682" i="1"/>
  <c r="I786" i="1"/>
  <c r="I890" i="1"/>
  <c r="I994" i="1"/>
  <c r="I578" i="1"/>
  <c r="I474" i="1"/>
  <c r="I266" i="1"/>
  <c r="I422" i="1"/>
  <c r="I214" i="1"/>
  <c r="I370" i="1"/>
  <c r="I318" i="1"/>
  <c r="I46" i="1"/>
  <c r="I38" i="1"/>
  <c r="I30" i="1"/>
  <c r="I22" i="1"/>
  <c r="I14" i="1"/>
  <c r="I6" i="1"/>
  <c r="I103" i="1"/>
  <c r="I99" i="1"/>
  <c r="I95" i="1"/>
  <c r="I91" i="1"/>
  <c r="I87" i="1"/>
  <c r="I83" i="1"/>
  <c r="I79" i="1"/>
  <c r="I75" i="1"/>
  <c r="I71" i="1"/>
  <c r="I67" i="1"/>
  <c r="I63" i="1"/>
  <c r="I59" i="1"/>
  <c r="I55" i="1"/>
  <c r="I153" i="1"/>
  <c r="I149" i="1"/>
  <c r="I145" i="1"/>
  <c r="I137" i="1"/>
  <c r="I133" i="1"/>
  <c r="I129" i="1"/>
  <c r="I121" i="1"/>
  <c r="I117" i="1"/>
  <c r="I113" i="1"/>
  <c r="I203" i="1"/>
  <c r="I195" i="1"/>
  <c r="I187" i="1"/>
  <c r="I179" i="1"/>
  <c r="I171" i="1"/>
  <c r="I163" i="1"/>
  <c r="I593" i="1"/>
  <c r="I489" i="1"/>
  <c r="I645" i="1"/>
  <c r="I749" i="1"/>
  <c r="I853" i="1"/>
  <c r="I957" i="1"/>
  <c r="I1061" i="1"/>
  <c r="I697" i="1"/>
  <c r="I801" i="1"/>
  <c r="I905" i="1"/>
  <c r="I1009" i="1"/>
  <c r="I281" i="1"/>
  <c r="I437" i="1"/>
  <c r="I541" i="1"/>
  <c r="I385" i="1"/>
  <c r="I229" i="1"/>
  <c r="I333" i="1"/>
  <c r="I21" i="1"/>
  <c r="I588" i="1"/>
  <c r="I640" i="1"/>
  <c r="I744" i="1"/>
  <c r="I848" i="1"/>
  <c r="I952" i="1"/>
  <c r="I1056" i="1"/>
  <c r="I484" i="1"/>
  <c r="I536" i="1"/>
  <c r="I692" i="1"/>
  <c r="I796" i="1"/>
  <c r="I900" i="1"/>
  <c r="I1004" i="1"/>
  <c r="I380" i="1"/>
  <c r="I328" i="1"/>
  <c r="I276" i="1"/>
  <c r="I432" i="1"/>
  <c r="I224" i="1"/>
  <c r="I572" i="1"/>
  <c r="I728" i="1"/>
  <c r="I832" i="1"/>
  <c r="I936" i="1"/>
  <c r="I1040" i="1"/>
  <c r="I624" i="1"/>
  <c r="I676" i="1"/>
  <c r="I780" i="1"/>
  <c r="I884" i="1"/>
  <c r="I988" i="1"/>
  <c r="I1092" i="1"/>
  <c r="I416" i="1"/>
  <c r="I364" i="1"/>
  <c r="I520" i="1"/>
  <c r="I312" i="1"/>
  <c r="I468" i="1"/>
  <c r="I260" i="1"/>
  <c r="I564" i="1"/>
  <c r="I720" i="1"/>
  <c r="I824" i="1"/>
  <c r="I928" i="1"/>
  <c r="I1032" i="1"/>
  <c r="I616" i="1"/>
  <c r="I668" i="1"/>
  <c r="I772" i="1"/>
  <c r="I876" i="1"/>
  <c r="I980" i="1"/>
  <c r="I1084" i="1"/>
  <c r="I408" i="1"/>
  <c r="I356" i="1"/>
  <c r="I304" i="1"/>
  <c r="I512" i="1"/>
  <c r="I460" i="1"/>
  <c r="I252" i="1"/>
  <c r="I556" i="1"/>
  <c r="I712" i="1"/>
  <c r="I816" i="1"/>
  <c r="I920" i="1"/>
  <c r="I1024" i="1"/>
  <c r="I608" i="1"/>
  <c r="I660" i="1"/>
  <c r="I764" i="1"/>
  <c r="I868" i="1"/>
  <c r="I972" i="1"/>
  <c r="I1076" i="1"/>
  <c r="I400" i="1"/>
  <c r="I348" i="1"/>
  <c r="I296" i="1"/>
  <c r="I452" i="1"/>
  <c r="I244" i="1"/>
  <c r="I504" i="1"/>
  <c r="I548" i="1"/>
  <c r="I704" i="1"/>
  <c r="I808" i="1"/>
  <c r="I912" i="1"/>
  <c r="I1016" i="1"/>
  <c r="I496" i="1"/>
  <c r="I600" i="1"/>
  <c r="I652" i="1"/>
  <c r="I756" i="1"/>
  <c r="I860" i="1"/>
  <c r="I964" i="1"/>
  <c r="I1068" i="1"/>
  <c r="I392" i="1"/>
  <c r="I340" i="1"/>
  <c r="I288" i="1"/>
  <c r="I444" i="1"/>
  <c r="I236" i="1"/>
  <c r="I540" i="1"/>
  <c r="I696" i="1"/>
  <c r="I800" i="1"/>
  <c r="I904" i="1"/>
  <c r="I1008" i="1"/>
  <c r="I488" i="1"/>
  <c r="I592" i="1"/>
  <c r="I644" i="1"/>
  <c r="I748" i="1"/>
  <c r="I852" i="1"/>
  <c r="I956" i="1"/>
  <c r="I1060" i="1"/>
  <c r="I384" i="1"/>
  <c r="I332" i="1"/>
  <c r="I280" i="1"/>
  <c r="I436" i="1"/>
  <c r="I228" i="1"/>
  <c r="I532" i="1"/>
  <c r="I688" i="1"/>
  <c r="I792" i="1"/>
  <c r="I896" i="1"/>
  <c r="I1000" i="1"/>
  <c r="I480" i="1"/>
  <c r="I584" i="1"/>
  <c r="I636" i="1"/>
  <c r="I740" i="1"/>
  <c r="I844" i="1"/>
  <c r="I948" i="1"/>
  <c r="I1052" i="1"/>
  <c r="I376" i="1"/>
  <c r="I324" i="1"/>
  <c r="I272" i="1"/>
  <c r="I428" i="1"/>
  <c r="I220" i="1"/>
  <c r="I524" i="1"/>
  <c r="I680" i="1"/>
  <c r="I784" i="1"/>
  <c r="I888" i="1"/>
  <c r="I992" i="1"/>
  <c r="I472" i="1"/>
  <c r="I576" i="1"/>
  <c r="I628" i="1"/>
  <c r="I732" i="1"/>
  <c r="I836" i="1"/>
  <c r="I940" i="1"/>
  <c r="I1044" i="1"/>
  <c r="I368" i="1"/>
  <c r="I316" i="1"/>
  <c r="I264" i="1"/>
  <c r="I420" i="1"/>
  <c r="I212" i="1"/>
  <c r="I52" i="1"/>
  <c r="I44" i="1"/>
  <c r="I36" i="1"/>
  <c r="I28" i="1"/>
  <c r="I20" i="1"/>
  <c r="I12" i="1"/>
  <c r="I4" i="1"/>
  <c r="I104" i="1"/>
  <c r="I100" i="1"/>
  <c r="I96" i="1"/>
  <c r="I92" i="1"/>
  <c r="I88" i="1"/>
  <c r="I84" i="1"/>
  <c r="I80" i="1"/>
  <c r="I76" i="1"/>
  <c r="I72" i="1"/>
  <c r="I68" i="1"/>
  <c r="I64" i="1"/>
  <c r="I60" i="1"/>
  <c r="I56" i="1"/>
  <c r="I150" i="1"/>
  <c r="I142" i="1"/>
  <c r="I134" i="1"/>
  <c r="I126" i="1"/>
  <c r="I118" i="1"/>
  <c r="I110" i="1"/>
  <c r="I208" i="1"/>
  <c r="I200" i="1"/>
  <c r="I192" i="1"/>
  <c r="I184" i="1"/>
  <c r="I180" i="1"/>
  <c r="I176" i="1"/>
  <c r="I172" i="1"/>
  <c r="I168" i="1"/>
  <c r="I160" i="1"/>
  <c r="I604" i="1"/>
  <c r="I656" i="1"/>
  <c r="I760" i="1"/>
  <c r="I864" i="1"/>
  <c r="I968" i="1"/>
  <c r="I1072" i="1"/>
  <c r="I552" i="1"/>
  <c r="I708" i="1"/>
  <c r="I812" i="1"/>
  <c r="I916" i="1"/>
  <c r="I1020" i="1"/>
  <c r="I500" i="1"/>
  <c r="I396" i="1"/>
  <c r="I292" i="1"/>
  <c r="I448" i="1"/>
  <c r="I344" i="1"/>
  <c r="I240" i="1"/>
  <c r="I625" i="1"/>
  <c r="I521" i="1"/>
  <c r="I677" i="1"/>
  <c r="I781" i="1"/>
  <c r="I885" i="1"/>
  <c r="I989" i="1"/>
  <c r="I1093" i="1"/>
  <c r="I729" i="1"/>
  <c r="I833" i="1"/>
  <c r="I937" i="1"/>
  <c r="I1041" i="1"/>
  <c r="I573" i="1"/>
  <c r="I313" i="1"/>
  <c r="I469" i="1"/>
  <c r="I417" i="1"/>
  <c r="I365" i="1"/>
  <c r="I261" i="1"/>
  <c r="I601" i="1"/>
  <c r="I497" i="1"/>
  <c r="I653" i="1"/>
  <c r="I757" i="1"/>
  <c r="I861" i="1"/>
  <c r="I965" i="1"/>
  <c r="I1069" i="1"/>
  <c r="I705" i="1"/>
  <c r="I809" i="1"/>
  <c r="I913" i="1"/>
  <c r="I1017" i="1"/>
  <c r="I289" i="1"/>
  <c r="I445" i="1"/>
  <c r="I549" i="1"/>
  <c r="I393" i="1"/>
  <c r="I341" i="1"/>
  <c r="I237" i="1"/>
  <c r="I53" i="1"/>
  <c r="I675" i="1"/>
  <c r="I779" i="1"/>
  <c r="I883" i="1"/>
  <c r="I987" i="1"/>
  <c r="I1091" i="1"/>
  <c r="I571" i="1"/>
  <c r="I623" i="1"/>
  <c r="I935" i="1"/>
  <c r="I415" i="1"/>
  <c r="I259" i="1"/>
  <c r="I831" i="1"/>
  <c r="I519" i="1"/>
  <c r="I363" i="1"/>
  <c r="I1039" i="1"/>
  <c r="I727" i="1"/>
  <c r="I311" i="1"/>
  <c r="I467" i="1"/>
  <c r="I667" i="1"/>
  <c r="I771" i="1"/>
  <c r="I875" i="1"/>
  <c r="I979" i="1"/>
  <c r="I1083" i="1"/>
  <c r="I563" i="1"/>
  <c r="I615" i="1"/>
  <c r="I823" i="1"/>
  <c r="I407" i="1"/>
  <c r="I251" i="1"/>
  <c r="I1031" i="1"/>
  <c r="I355" i="1"/>
  <c r="I719" i="1"/>
  <c r="I511" i="1"/>
  <c r="I303" i="1"/>
  <c r="I927" i="1"/>
  <c r="I459" i="1"/>
  <c r="I659" i="1"/>
  <c r="I763" i="1"/>
  <c r="I867" i="1"/>
  <c r="I971" i="1"/>
  <c r="I1075" i="1"/>
  <c r="I555" i="1"/>
  <c r="I607" i="1"/>
  <c r="I503" i="1"/>
  <c r="I815" i="1"/>
  <c r="I399" i="1"/>
  <c r="I243" i="1"/>
  <c r="I1023" i="1"/>
  <c r="I711" i="1"/>
  <c r="I347" i="1"/>
  <c r="I919" i="1"/>
  <c r="I295" i="1"/>
  <c r="I451" i="1"/>
  <c r="I651" i="1"/>
  <c r="I755" i="1"/>
  <c r="I859" i="1"/>
  <c r="I963" i="1"/>
  <c r="I1067" i="1"/>
  <c r="I547" i="1"/>
  <c r="I599" i="1"/>
  <c r="I807" i="1"/>
  <c r="I1015" i="1"/>
  <c r="I391" i="1"/>
  <c r="I235" i="1"/>
  <c r="I703" i="1"/>
  <c r="I339" i="1"/>
  <c r="I911" i="1"/>
  <c r="I495" i="1"/>
  <c r="I287" i="1"/>
  <c r="I443" i="1"/>
  <c r="I643" i="1"/>
  <c r="I747" i="1"/>
  <c r="I851" i="1"/>
  <c r="I955" i="1"/>
  <c r="I1059" i="1"/>
  <c r="I539" i="1"/>
  <c r="I591" i="1"/>
  <c r="I1007" i="1"/>
  <c r="I695" i="1"/>
  <c r="I383" i="1"/>
  <c r="I227" i="1"/>
  <c r="I487" i="1"/>
  <c r="I331" i="1"/>
  <c r="I903" i="1"/>
  <c r="I279" i="1"/>
  <c r="I799" i="1"/>
  <c r="I435" i="1"/>
  <c r="I635" i="1"/>
  <c r="I739" i="1"/>
  <c r="I843" i="1"/>
  <c r="I947" i="1"/>
  <c r="I1051" i="1"/>
  <c r="I531" i="1"/>
  <c r="I583" i="1"/>
  <c r="I999" i="1"/>
  <c r="I687" i="1"/>
  <c r="I479" i="1"/>
  <c r="I375" i="1"/>
  <c r="I219" i="1"/>
  <c r="I895" i="1"/>
  <c r="I323" i="1"/>
  <c r="I791" i="1"/>
  <c r="I271" i="1"/>
  <c r="I427" i="1"/>
  <c r="I627" i="1"/>
  <c r="I731" i="1"/>
  <c r="I835" i="1"/>
  <c r="I939" i="1"/>
  <c r="I1043" i="1"/>
  <c r="I523" i="1"/>
  <c r="I575" i="1"/>
  <c r="I679" i="1"/>
  <c r="I887" i="1"/>
  <c r="I367" i="1"/>
  <c r="I211" i="1"/>
  <c r="I315" i="1"/>
  <c r="I783" i="1"/>
  <c r="I263" i="1"/>
  <c r="I991" i="1"/>
  <c r="I471" i="1"/>
  <c r="I419" i="1"/>
  <c r="I51" i="1"/>
  <c r="I43" i="1"/>
  <c r="I35" i="1"/>
  <c r="I27" i="1"/>
  <c r="I19" i="1"/>
  <c r="I11" i="1"/>
  <c r="I3" i="1"/>
  <c r="I106" i="1"/>
  <c r="I612" i="1"/>
  <c r="I664" i="1"/>
  <c r="I768" i="1"/>
  <c r="I872" i="1"/>
  <c r="I976" i="1"/>
  <c r="I1080" i="1"/>
  <c r="I560" i="1"/>
  <c r="I716" i="1"/>
  <c r="I820" i="1"/>
  <c r="I924" i="1"/>
  <c r="I1028" i="1"/>
  <c r="I404" i="1"/>
  <c r="I248" i="1"/>
  <c r="I300" i="1"/>
  <c r="I508" i="1"/>
  <c r="I456" i="1"/>
  <c r="I352" i="1"/>
  <c r="I609" i="1"/>
  <c r="I505" i="1"/>
  <c r="I661" i="1"/>
  <c r="I765" i="1"/>
  <c r="I869" i="1"/>
  <c r="I973" i="1"/>
  <c r="I1077" i="1"/>
  <c r="I713" i="1"/>
  <c r="I817" i="1"/>
  <c r="I921" i="1"/>
  <c r="I1025" i="1"/>
  <c r="I297" i="1"/>
  <c r="I453" i="1"/>
  <c r="I557" i="1"/>
  <c r="I401" i="1"/>
  <c r="I349" i="1"/>
  <c r="I245" i="1"/>
  <c r="I577" i="1"/>
  <c r="I473" i="1"/>
  <c r="I629" i="1"/>
  <c r="I733" i="1"/>
  <c r="I837" i="1"/>
  <c r="I941" i="1"/>
  <c r="I1045" i="1"/>
  <c r="I681" i="1"/>
  <c r="I785" i="1"/>
  <c r="I889" i="1"/>
  <c r="I993" i="1"/>
  <c r="I525" i="1"/>
  <c r="I265" i="1"/>
  <c r="I421" i="1"/>
  <c r="I369" i="1"/>
  <c r="I213" i="1"/>
  <c r="I317" i="1"/>
  <c r="I45" i="1"/>
  <c r="I13" i="1"/>
  <c r="I726" i="1"/>
  <c r="I830" i="1"/>
  <c r="I934" i="1"/>
  <c r="I1038" i="1"/>
  <c r="I622" i="1"/>
  <c r="I674" i="1"/>
  <c r="I778" i="1"/>
  <c r="I882" i="1"/>
  <c r="I986" i="1"/>
  <c r="I1090" i="1"/>
  <c r="I570" i="1"/>
  <c r="I310" i="1"/>
  <c r="I466" i="1"/>
  <c r="I414" i="1"/>
  <c r="I258" i="1"/>
  <c r="I518" i="1"/>
  <c r="I362" i="1"/>
  <c r="I718" i="1"/>
  <c r="I822" i="1"/>
  <c r="I926" i="1"/>
  <c r="I1030" i="1"/>
  <c r="I614" i="1"/>
  <c r="I666" i="1"/>
  <c r="I770" i="1"/>
  <c r="I874" i="1"/>
  <c r="I978" i="1"/>
  <c r="I1082" i="1"/>
  <c r="I562" i="1"/>
  <c r="I510" i="1"/>
  <c r="I458" i="1"/>
  <c r="I250" i="1"/>
  <c r="I406" i="1"/>
  <c r="I302" i="1"/>
  <c r="I354" i="1"/>
  <c r="I710" i="1"/>
  <c r="I814" i="1"/>
  <c r="I918" i="1"/>
  <c r="I1022" i="1"/>
  <c r="I606" i="1"/>
  <c r="I658" i="1"/>
  <c r="I762" i="1"/>
  <c r="I866" i="1"/>
  <c r="I970" i="1"/>
  <c r="I1074" i="1"/>
  <c r="I554" i="1"/>
  <c r="I502" i="1"/>
  <c r="I294" i="1"/>
  <c r="I450" i="1"/>
  <c r="I398" i="1"/>
  <c r="I242" i="1"/>
  <c r="I346" i="1"/>
  <c r="I702" i="1"/>
  <c r="I806" i="1"/>
  <c r="I910" i="1"/>
  <c r="I1014" i="1"/>
  <c r="I598" i="1"/>
  <c r="I650" i="1"/>
  <c r="I754" i="1"/>
  <c r="I858" i="1"/>
  <c r="I962" i="1"/>
  <c r="I1066" i="1"/>
  <c r="I546" i="1"/>
  <c r="I494" i="1"/>
  <c r="I442" i="1"/>
  <c r="I234" i="1"/>
  <c r="I390" i="1"/>
  <c r="I338" i="1"/>
  <c r="I286" i="1"/>
  <c r="I694" i="1"/>
  <c r="I798" i="1"/>
  <c r="I902" i="1"/>
  <c r="I1006" i="1"/>
  <c r="I590" i="1"/>
  <c r="I642" i="1"/>
  <c r="I746" i="1"/>
  <c r="I850" i="1"/>
  <c r="I954" i="1"/>
  <c r="I1058" i="1"/>
  <c r="I538" i="1"/>
  <c r="I486" i="1"/>
  <c r="I278" i="1"/>
  <c r="I434" i="1"/>
  <c r="I226" i="1"/>
  <c r="I382" i="1"/>
  <c r="I330" i="1"/>
  <c r="I686" i="1"/>
  <c r="I790" i="1"/>
  <c r="I894" i="1"/>
  <c r="I998" i="1"/>
  <c r="I582" i="1"/>
  <c r="I634" i="1"/>
  <c r="I738" i="1"/>
  <c r="I842" i="1"/>
  <c r="I946" i="1"/>
  <c r="I1050" i="1"/>
  <c r="I530" i="1"/>
  <c r="I478" i="1"/>
  <c r="I270" i="1"/>
  <c r="I426" i="1"/>
  <c r="I374" i="1"/>
  <c r="I218" i="1"/>
  <c r="I322" i="1"/>
  <c r="I2" i="1"/>
  <c r="I50" i="1"/>
  <c r="I42" i="1"/>
  <c r="I34" i="1"/>
  <c r="I26" i="1"/>
  <c r="I18" i="1"/>
  <c r="I10" i="1"/>
  <c r="I105" i="1"/>
  <c r="I101" i="1"/>
  <c r="I97" i="1"/>
  <c r="I93" i="1"/>
  <c r="I89" i="1"/>
  <c r="I85" i="1"/>
  <c r="I81" i="1"/>
  <c r="I77" i="1"/>
  <c r="I73" i="1"/>
  <c r="I69" i="1"/>
  <c r="I65" i="1"/>
  <c r="I61" i="1"/>
  <c r="I57" i="1"/>
  <c r="I155" i="1"/>
  <c r="I147" i="1"/>
  <c r="I139" i="1"/>
  <c r="I131" i="1"/>
  <c r="I123" i="1"/>
  <c r="I115" i="1"/>
  <c r="I107" i="1"/>
  <c r="I209" i="1"/>
  <c r="I193" i="1"/>
  <c r="I185" i="1"/>
  <c r="I177" i="1"/>
  <c r="I161" i="1"/>
  <c r="I620" i="1"/>
  <c r="I672" i="1"/>
  <c r="I776" i="1"/>
  <c r="I880" i="1"/>
  <c r="I984" i="1"/>
  <c r="I1088" i="1"/>
  <c r="I568" i="1"/>
  <c r="I724" i="1"/>
  <c r="I828" i="1"/>
  <c r="I932" i="1"/>
  <c r="I1036" i="1"/>
  <c r="I412" i="1"/>
  <c r="I516" i="1"/>
  <c r="I308" i="1"/>
  <c r="I464" i="1"/>
  <c r="I360" i="1"/>
  <c r="I256" i="1"/>
  <c r="I617" i="1"/>
  <c r="I513" i="1"/>
  <c r="I669" i="1"/>
  <c r="I773" i="1"/>
  <c r="I877" i="1"/>
  <c r="I981" i="1"/>
  <c r="I1085" i="1"/>
  <c r="I721" i="1"/>
  <c r="I825" i="1"/>
  <c r="I929" i="1"/>
  <c r="I1033" i="1"/>
  <c r="I305" i="1"/>
  <c r="I461" i="1"/>
  <c r="I409" i="1"/>
  <c r="I357" i="1"/>
  <c r="I253" i="1"/>
  <c r="I565" i="1"/>
  <c r="I585" i="1"/>
  <c r="I481" i="1"/>
  <c r="I637" i="1"/>
  <c r="I741" i="1"/>
  <c r="I845" i="1"/>
  <c r="I949" i="1"/>
  <c r="I1053" i="1"/>
  <c r="I689" i="1"/>
  <c r="I793" i="1"/>
  <c r="I897" i="1"/>
  <c r="I1001" i="1"/>
  <c r="I273" i="1"/>
  <c r="I533" i="1"/>
  <c r="I429" i="1"/>
  <c r="I377" i="1"/>
  <c r="I221" i="1"/>
  <c r="I325" i="1"/>
  <c r="I37" i="1"/>
  <c r="I5" i="1"/>
  <c r="I569" i="1"/>
  <c r="I517" i="1"/>
  <c r="I725" i="1"/>
  <c r="I829" i="1"/>
  <c r="I933" i="1"/>
  <c r="I1037" i="1"/>
  <c r="I673" i="1"/>
  <c r="I777" i="1"/>
  <c r="I881" i="1"/>
  <c r="I985" i="1"/>
  <c r="I1089" i="1"/>
  <c r="I361" i="1"/>
  <c r="I309" i="1"/>
  <c r="I621" i="1"/>
  <c r="I465" i="1"/>
  <c r="I413" i="1"/>
  <c r="I257" i="1"/>
  <c r="I561" i="1"/>
  <c r="I509" i="1"/>
  <c r="I717" i="1"/>
  <c r="I821" i="1"/>
  <c r="I925" i="1"/>
  <c r="I1029" i="1"/>
  <c r="I665" i="1"/>
  <c r="I769" i="1"/>
  <c r="I873" i="1"/>
  <c r="I977" i="1"/>
  <c r="I1081" i="1"/>
  <c r="I613" i="1"/>
  <c r="I353" i="1"/>
  <c r="I301" i="1"/>
  <c r="I457" i="1"/>
  <c r="I405" i="1"/>
  <c r="I249" i="1"/>
  <c r="I553" i="1"/>
  <c r="I501" i="1"/>
  <c r="I709" i="1"/>
  <c r="I813" i="1"/>
  <c r="I917" i="1"/>
  <c r="I1021" i="1"/>
  <c r="I657" i="1"/>
  <c r="I761" i="1"/>
  <c r="I865" i="1"/>
  <c r="I969" i="1"/>
  <c r="I1073" i="1"/>
  <c r="I605" i="1"/>
  <c r="I345" i="1"/>
  <c r="I293" i="1"/>
  <c r="I449" i="1"/>
  <c r="I397" i="1"/>
  <c r="I241" i="1"/>
  <c r="I545" i="1"/>
  <c r="I493" i="1"/>
  <c r="I701" i="1"/>
  <c r="I805" i="1"/>
  <c r="I909" i="1"/>
  <c r="I1013" i="1"/>
  <c r="I649" i="1"/>
  <c r="I753" i="1"/>
  <c r="I857" i="1"/>
  <c r="I961" i="1"/>
  <c r="I1065" i="1"/>
  <c r="I597" i="1"/>
  <c r="I285" i="1"/>
  <c r="I441" i="1"/>
  <c r="I389" i="1"/>
  <c r="I233" i="1"/>
  <c r="I337" i="1"/>
  <c r="I537" i="1"/>
  <c r="I485" i="1"/>
  <c r="I693" i="1"/>
  <c r="I797" i="1"/>
  <c r="I901" i="1"/>
  <c r="I1005" i="1"/>
  <c r="I641" i="1"/>
  <c r="I745" i="1"/>
  <c r="I849" i="1"/>
  <c r="I953" i="1"/>
  <c r="I1057" i="1"/>
  <c r="I277" i="1"/>
  <c r="I433" i="1"/>
  <c r="I381" i="1"/>
  <c r="I225" i="1"/>
  <c r="I589" i="1"/>
  <c r="I329" i="1"/>
  <c r="I529" i="1"/>
  <c r="I477" i="1"/>
  <c r="I685" i="1"/>
  <c r="I789" i="1"/>
  <c r="I893" i="1"/>
  <c r="I997" i="1"/>
  <c r="I581" i="1"/>
  <c r="I633" i="1"/>
  <c r="I737" i="1"/>
  <c r="I841" i="1"/>
  <c r="I945" i="1"/>
  <c r="I1049" i="1"/>
  <c r="I269" i="1"/>
  <c r="I425" i="1"/>
  <c r="I373" i="1"/>
  <c r="I217" i="1"/>
  <c r="I321" i="1"/>
  <c r="I49" i="1"/>
  <c r="I41" i="1"/>
  <c r="I33" i="1"/>
  <c r="I25" i="1"/>
  <c r="I17" i="1"/>
  <c r="I9" i="1"/>
  <c r="I580" i="1"/>
  <c r="I632" i="1"/>
  <c r="I736" i="1"/>
  <c r="I840" i="1"/>
  <c r="I944" i="1"/>
  <c r="I1048" i="1"/>
  <c r="I476" i="1"/>
  <c r="I528" i="1"/>
  <c r="I684" i="1"/>
  <c r="I788" i="1"/>
  <c r="I892" i="1"/>
  <c r="I996" i="1"/>
  <c r="I372" i="1"/>
  <c r="I216" i="1"/>
  <c r="I320" i="1"/>
  <c r="I268" i="1"/>
  <c r="I424" i="1"/>
  <c r="I40" i="1"/>
  <c r="I24" i="1"/>
  <c r="I90" i="1"/>
  <c r="I86" i="1"/>
  <c r="I82" i="1"/>
  <c r="I78" i="1"/>
  <c r="I74" i="1"/>
  <c r="I70" i="1"/>
  <c r="I66" i="1"/>
  <c r="I62" i="1"/>
  <c r="I58" i="1"/>
  <c r="I156" i="1"/>
  <c r="I152" i="1"/>
  <c r="I148" i="1"/>
  <c r="I144" i="1"/>
  <c r="I140" i="1"/>
  <c r="I136" i="1"/>
  <c r="I132" i="1"/>
  <c r="I128" i="1"/>
  <c r="I124" i="1"/>
  <c r="I120" i="1"/>
  <c r="I116" i="1"/>
  <c r="I112" i="1"/>
  <c r="I108" i="1"/>
  <c r="I206" i="1"/>
  <c r="I202" i="1"/>
  <c r="I198" i="1"/>
  <c r="I194" i="1"/>
  <c r="I190" i="1"/>
  <c r="I186" i="1"/>
  <c r="I182" i="1"/>
  <c r="I178" i="1"/>
  <c r="I174" i="1"/>
  <c r="I170" i="1"/>
  <c r="I166" i="1"/>
  <c r="I162" i="1"/>
  <c r="I48" i="1"/>
  <c r="I8" i="1"/>
  <c r="I723" i="1"/>
  <c r="I827" i="1"/>
  <c r="I931" i="1"/>
  <c r="I1035" i="1"/>
  <c r="I619" i="1"/>
  <c r="I567" i="1"/>
  <c r="I359" i="1"/>
  <c r="I879" i="1"/>
  <c r="I411" i="1"/>
  <c r="I255" i="1"/>
  <c r="I1087" i="1"/>
  <c r="I775" i="1"/>
  <c r="I515" i="1"/>
  <c r="I983" i="1"/>
  <c r="I307" i="1"/>
  <c r="I671" i="1"/>
  <c r="I463" i="1"/>
  <c r="I715" i="1"/>
  <c r="I819" i="1"/>
  <c r="I923" i="1"/>
  <c r="I1027" i="1"/>
  <c r="I611" i="1"/>
  <c r="I559" i="1"/>
  <c r="I871" i="1"/>
  <c r="I351" i="1"/>
  <c r="I1079" i="1"/>
  <c r="I403" i="1"/>
  <c r="I247" i="1"/>
  <c r="I767" i="1"/>
  <c r="I975" i="1"/>
  <c r="I663" i="1"/>
  <c r="I299" i="1"/>
  <c r="I507" i="1"/>
  <c r="I455" i="1"/>
  <c r="I707" i="1"/>
  <c r="I811" i="1"/>
  <c r="I915" i="1"/>
  <c r="I1019" i="1"/>
  <c r="I603" i="1"/>
  <c r="I551" i="1"/>
  <c r="I343" i="1"/>
  <c r="I1071" i="1"/>
  <c r="I759" i="1"/>
  <c r="I499" i="1"/>
  <c r="I395" i="1"/>
  <c r="I239" i="1"/>
  <c r="I967" i="1"/>
  <c r="I655" i="1"/>
  <c r="I291" i="1"/>
  <c r="I863" i="1"/>
  <c r="I447" i="1"/>
  <c r="I699" i="1"/>
  <c r="I803" i="1"/>
  <c r="I907" i="1"/>
  <c r="I1011" i="1"/>
  <c r="I595" i="1"/>
  <c r="I543" i="1"/>
  <c r="I1063" i="1"/>
  <c r="I491" i="1"/>
  <c r="I751" i="1"/>
  <c r="I387" i="1"/>
  <c r="I231" i="1"/>
  <c r="I959" i="1"/>
  <c r="I335" i="1"/>
  <c r="I647" i="1"/>
  <c r="I855" i="1"/>
  <c r="I283" i="1"/>
  <c r="I439" i="1"/>
  <c r="I691" i="1"/>
  <c r="I795" i="1"/>
  <c r="I899" i="1"/>
  <c r="I1003" i="1"/>
  <c r="I587" i="1"/>
  <c r="I535" i="1"/>
  <c r="I743" i="1"/>
  <c r="I951" i="1"/>
  <c r="I379" i="1"/>
  <c r="I223" i="1"/>
  <c r="I639" i="1"/>
  <c r="I327" i="1"/>
  <c r="I847" i="1"/>
  <c r="I483" i="1"/>
  <c r="I275" i="1"/>
  <c r="I1055" i="1"/>
  <c r="I431" i="1"/>
  <c r="I683" i="1"/>
  <c r="I787" i="1"/>
  <c r="I891" i="1"/>
  <c r="I995" i="1"/>
  <c r="I579" i="1"/>
  <c r="I527" i="1"/>
  <c r="I943" i="1"/>
  <c r="I631" i="1"/>
  <c r="I371" i="1"/>
  <c r="I215" i="1"/>
  <c r="I319" i="1"/>
  <c r="I839" i="1"/>
  <c r="I475" i="1"/>
  <c r="I1047" i="1"/>
  <c r="I267" i="1"/>
  <c r="I735" i="1"/>
  <c r="I423" i="1"/>
  <c r="I47" i="1"/>
  <c r="I39" i="1"/>
  <c r="I31" i="1"/>
  <c r="I23" i="1"/>
  <c r="I15" i="1"/>
  <c r="I7" i="1"/>
  <c r="I54" i="1"/>
  <c r="I158" i="1"/>
</calcChain>
</file>

<file path=xl/sharedStrings.xml><?xml version="1.0" encoding="utf-8"?>
<sst xmlns="http://schemas.openxmlformats.org/spreadsheetml/2006/main" count="6629" uniqueCount="50">
  <si>
    <t>Part number</t>
  </si>
  <si>
    <t>Month</t>
  </si>
  <si>
    <t>Type</t>
  </si>
  <si>
    <t>Client</t>
  </si>
  <si>
    <t>Holliday</t>
  </si>
  <si>
    <t>Module cost</t>
  </si>
  <si>
    <t>Registered Vehicles Variation (M-1)</t>
  </si>
  <si>
    <t>Initial previewed volume</t>
  </si>
  <si>
    <t>Confirmed volume</t>
  </si>
  <si>
    <t>Leadtime preview</t>
  </si>
  <si>
    <t>Interest rate (M-1)</t>
  </si>
  <si>
    <t>Inflation (M-1)</t>
  </si>
  <si>
    <t>Production Week (W0)</t>
  </si>
  <si>
    <t>First Preview Week</t>
  </si>
  <si>
    <t>Year</t>
  </si>
  <si>
    <t>Week</t>
  </si>
  <si>
    <t>Module</t>
  </si>
  <si>
    <t>Cost</t>
  </si>
  <si>
    <t>Interest rate</t>
  </si>
  <si>
    <t>Calender</t>
  </si>
  <si>
    <t>ECB</t>
  </si>
  <si>
    <t>SAP ZMCALCOS</t>
  </si>
  <si>
    <t>Inflation</t>
  </si>
  <si>
    <t>Regist. Vehicles</t>
  </si>
  <si>
    <t>Trading Economics</t>
  </si>
  <si>
    <t>Month/Year</t>
  </si>
  <si>
    <t>Registered</t>
  </si>
  <si>
    <t>Federauto</t>
  </si>
  <si>
    <t>Volume's cut (Percentage remainder)</t>
  </si>
  <si>
    <t>A</t>
  </si>
  <si>
    <t>B</t>
  </si>
  <si>
    <t>D</t>
  </si>
  <si>
    <t>C</t>
  </si>
  <si>
    <t>E</t>
  </si>
  <si>
    <t>F</t>
  </si>
  <si>
    <t>G</t>
  </si>
  <si>
    <t>H</t>
  </si>
  <si>
    <t>I</t>
  </si>
  <si>
    <t>J</t>
  </si>
  <si>
    <t>K</t>
  </si>
  <si>
    <t>L</t>
  </si>
  <si>
    <t>N</t>
  </si>
  <si>
    <t>O</t>
  </si>
  <si>
    <t>P</t>
  </si>
  <si>
    <t>Q</t>
  </si>
  <si>
    <t>R</t>
  </si>
  <si>
    <t>S</t>
  </si>
  <si>
    <t>T</t>
  </si>
  <si>
    <t>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</si>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</sst>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1" fontId="0" fillId="0" borderId="0" xfId="0" applyNumberFormat="1"/>
    <xf numFmtId="17" fontId="0" fillId="0" borderId="0" xfId="0" applyNumberFormat="1" applyAlignment="1">
      <alignment horizontal="center"/>
    </xf>
    <xf numFmtId="0" fontId="1" fillId="2" borderId="0" xfId="0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applyNumberFormat="1" applyFont="1" applyAlignment="1">
      <alignment horizontal="center"/>
    </xf>
    <xf numFmtId="2" fontId="0" fillId="3" borderId="0" xfId="0" applyNumberFormat="1" applyFill="1"/>
    <xf numFmtId="49" fontId="0" fillId="0" borderId="0" xfId="0" applyNumberFormat="1" applyFont="1"/>
    <xf numFmtId="0" fontId="0" fillId="0" borderId="0" xfId="0" applyFont="1" applyAlignment="1">
      <alignment horizontal="center"/>
    </xf>
    <xf numFmtId="0" fontId="0" fillId="0" borderId="0" xfId="0" applyFont="1"/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264-E490-45E0-BDA0-B9E6B89B7034}">
  <dimension ref="A1:O1093"/>
  <sheetViews>
    <sheetView zoomScale="85" zoomScaleNormal="85" workbookViewId="0">
      <pane ySplit="1" topLeftCell="A1061" activePane="bottomLeft" state="frozen"/>
      <selection pane="bottomLeft" activeCell="A2" sqref="A2:C1093"/>
    </sheetView>
  </sheetViews>
  <sheetFormatPr defaultRowHeight="14.4" x14ac:dyDescent="0.3"/>
  <cols>
    <col min="1" max="1" width="11.6640625" style="13" bestFit="1" customWidth="1"/>
    <col min="2" max="2" width="5.109375" style="12" bestFit="1" customWidth="1"/>
    <col min="3" max="3" width="11.33203125" style="12" bestFit="1" customWidth="1"/>
    <col min="4" max="4" width="18" style="6" bestFit="1" customWidth="1"/>
    <col min="5" max="5" width="21.109375" style="6" bestFit="1" customWidth="1"/>
    <col min="6" max="6" width="6.77734375" style="6" bestFit="1" customWidth="1"/>
    <col min="7" max="7" width="8" style="6" bestFit="1" customWidth="1"/>
    <col min="8" max="8" width="11.6640625" style="5" bestFit="1" customWidth="1"/>
    <col min="9" max="9" width="32.33203125" style="6" bestFit="1" customWidth="1"/>
    <col min="10" max="10" width="17.21875" style="5" bestFit="1" customWidth="1"/>
    <col min="11" max="11" width="13.77734375" style="5" bestFit="1" customWidth="1"/>
    <col min="12" max="12" width="23" style="6" bestFit="1" customWidth="1"/>
    <col min="13" max="13" width="17.33203125" style="6" bestFit="1" customWidth="1"/>
    <col min="14" max="14" width="16.77734375" style="6" bestFit="1" customWidth="1"/>
    <col min="15" max="15" width="33.44140625" style="5" bestFit="1" customWidth="1"/>
  </cols>
  <sheetData>
    <row r="1" spans="1:15" s="8" customFormat="1" x14ac:dyDescent="0.3">
      <c r="A1" s="18" t="s">
        <v>0</v>
      </c>
      <c r="B1" s="11" t="s">
        <v>2</v>
      </c>
      <c r="C1" s="11" t="s">
        <v>3</v>
      </c>
      <c r="D1" s="10" t="s">
        <v>13</v>
      </c>
      <c r="E1" s="10" t="s">
        <v>12</v>
      </c>
      <c r="F1" s="10" t="s">
        <v>1</v>
      </c>
      <c r="G1" s="10" t="s">
        <v>4</v>
      </c>
      <c r="H1" s="9" t="s">
        <v>5</v>
      </c>
      <c r="I1" s="10" t="s">
        <v>6</v>
      </c>
      <c r="J1" s="9" t="s">
        <v>10</v>
      </c>
      <c r="K1" s="9" t="s">
        <v>11</v>
      </c>
      <c r="L1" s="10" t="s">
        <v>7</v>
      </c>
      <c r="M1" s="10" t="s">
        <v>8</v>
      </c>
      <c r="N1" s="10" t="s">
        <v>9</v>
      </c>
      <c r="O1" s="9" t="s">
        <v>28</v>
      </c>
    </row>
    <row r="2" spans="1:15" x14ac:dyDescent="0.3">
      <c r="A2" s="15" t="s">
        <v>32</v>
      </c>
      <c r="B2" s="12" t="s">
        <v>29</v>
      </c>
      <c r="C2" s="12" t="s">
        <v>29</v>
      </c>
      <c r="D2" s="6">
        <f>IF(E2-N2&lt;0,E2-N2+52,E2-N2)</f>
        <v>12</v>
      </c>
      <c r="E2" s="6">
        <v>27</v>
      </c>
      <c r="F2" s="6">
        <f>VLOOKUP($E2,Sheet3!$B$3:$D$54,2,0)</f>
        <v>7</v>
      </c>
      <c r="G2" s="6">
        <f>VLOOKUP($E2,Sheet3!$B$3:$G$54,3,FALSE)</f>
        <v>0</v>
      </c>
      <c r="H2" s="5">
        <f>VLOOKUP($A2,Sheet3!$I$3:$J$38,2,0)</f>
        <v>27.57</v>
      </c>
      <c r="I2" s="6">
        <f>VLOOKUP($E2,Sheet3!$B$3:$G$54,5,0)</f>
        <v>124806</v>
      </c>
      <c r="J2" s="5">
        <f>VLOOKUP($E2,Sheet3!$B$3:$G$54,4,0)</f>
        <v>4.5</v>
      </c>
      <c r="K2" s="5">
        <f>VLOOKUP($E2,Sheet3!$B$3:$G$54,6,0)</f>
        <v>1.3</v>
      </c>
      <c r="L2" s="6">
        <v>4770</v>
      </c>
      <c r="M2" s="6">
        <v>1620</v>
      </c>
      <c r="N2" s="6">
        <v>15</v>
      </c>
      <c r="O2" s="14">
        <f>M2/L2</f>
        <v>0.33962264150943394</v>
      </c>
    </row>
    <row r="3" spans="1:15" x14ac:dyDescent="0.3">
      <c r="A3" s="15" t="s">
        <v>32</v>
      </c>
      <c r="B3" s="12" t="s">
        <v>29</v>
      </c>
      <c r="C3" s="12" t="s">
        <v>29</v>
      </c>
      <c r="D3" s="6">
        <f t="shared" ref="D3:D65" si="0">IF(E3-N3&lt;0,E3-N3+52,E3-N3)</f>
        <v>12</v>
      </c>
      <c r="E3" s="6">
        <v>28</v>
      </c>
      <c r="F3" s="6">
        <f>VLOOKUP($E3,Sheet3!$B$3:$D$54,2,0)</f>
        <v>7</v>
      </c>
      <c r="G3" s="6">
        <f>VLOOKUP($E3,Sheet3!$B$3:$G$54,3,FALSE)</f>
        <v>0</v>
      </c>
      <c r="H3" s="5">
        <f>VLOOKUP($A3,Sheet3!$I$3:$J$38,2,0)</f>
        <v>27.57</v>
      </c>
      <c r="I3" s="6">
        <f>VLOOKUP($E3,Sheet3!$B$3:$G$54,5,0)</f>
        <v>124806</v>
      </c>
      <c r="J3" s="5">
        <f>VLOOKUP($E3,Sheet3!$B$3:$G$54,4,0)</f>
        <v>4.5</v>
      </c>
      <c r="K3" s="5">
        <f>VLOOKUP($E3,Sheet3!$B$3:$G$54,6,0)</f>
        <v>1.3</v>
      </c>
      <c r="L3" s="6">
        <v>4770</v>
      </c>
      <c r="M3" s="6">
        <v>2070</v>
      </c>
      <c r="N3" s="6">
        <v>16</v>
      </c>
      <c r="O3" s="14">
        <f t="shared" ref="O3:O65" si="1">M3/L3</f>
        <v>0.43396226415094341</v>
      </c>
    </row>
    <row r="4" spans="1:15" x14ac:dyDescent="0.3">
      <c r="A4" s="15" t="s">
        <v>32</v>
      </c>
      <c r="B4" s="12" t="s">
        <v>29</v>
      </c>
      <c r="C4" s="12" t="s">
        <v>29</v>
      </c>
      <c r="D4" s="6">
        <f t="shared" si="0"/>
        <v>12</v>
      </c>
      <c r="E4" s="6">
        <v>29</v>
      </c>
      <c r="F4" s="6">
        <f>VLOOKUP($E4,Sheet3!$B$3:$D$54,2,0)</f>
        <v>7</v>
      </c>
      <c r="G4" s="6">
        <f>VLOOKUP($E4,Sheet3!$B$3:$G$54,3,FALSE)</f>
        <v>0</v>
      </c>
      <c r="H4" s="5">
        <f>VLOOKUP($A4,Sheet3!$I$3:$J$38,2,0)</f>
        <v>27.57</v>
      </c>
      <c r="I4" s="6">
        <f>VLOOKUP($E4,Sheet3!$B$3:$G$54,5,0)</f>
        <v>124806</v>
      </c>
      <c r="J4" s="5">
        <f>VLOOKUP($E4,Sheet3!$B$3:$G$54,4,0)</f>
        <v>4.5</v>
      </c>
      <c r="K4" s="5">
        <f>VLOOKUP($E4,Sheet3!$B$3:$G$54,6,0)</f>
        <v>1.3</v>
      </c>
      <c r="L4" s="6">
        <v>4860</v>
      </c>
      <c r="M4" s="6">
        <v>2880</v>
      </c>
      <c r="N4" s="6">
        <v>17</v>
      </c>
      <c r="O4" s="14">
        <f t="shared" si="1"/>
        <v>0.59259259259259256</v>
      </c>
    </row>
    <row r="5" spans="1:15" x14ac:dyDescent="0.3">
      <c r="A5" s="15" t="s">
        <v>32</v>
      </c>
      <c r="B5" s="12" t="s">
        <v>29</v>
      </c>
      <c r="C5" s="12" t="s">
        <v>29</v>
      </c>
      <c r="D5" s="6">
        <f t="shared" si="0"/>
        <v>12</v>
      </c>
      <c r="E5" s="6">
        <v>30</v>
      </c>
      <c r="F5" s="6">
        <f>VLOOKUP($E5,Sheet3!$B$3:$D$54,2,0)</f>
        <v>7</v>
      </c>
      <c r="G5" s="6">
        <f>VLOOKUP($E5,Sheet3!$B$3:$G$54,3,FALSE)</f>
        <v>0</v>
      </c>
      <c r="H5" s="5">
        <f>VLOOKUP($A5,Sheet3!$I$3:$J$38,2,0)</f>
        <v>27.57</v>
      </c>
      <c r="I5" s="6">
        <f>VLOOKUP($E5,Sheet3!$B$3:$G$54,5,0)</f>
        <v>124806</v>
      </c>
      <c r="J5" s="5">
        <f>VLOOKUP($E5,Sheet3!$B$3:$G$54,4,0)</f>
        <v>4.5</v>
      </c>
      <c r="K5" s="5">
        <f>VLOOKUP($E5,Sheet3!$B$3:$G$54,6,0)</f>
        <v>1.3</v>
      </c>
      <c r="L5" s="6">
        <v>4770</v>
      </c>
      <c r="M5" s="6">
        <v>2700</v>
      </c>
      <c r="N5" s="6">
        <v>18</v>
      </c>
      <c r="O5" s="14">
        <f t="shared" si="1"/>
        <v>0.56603773584905659</v>
      </c>
    </row>
    <row r="6" spans="1:15" x14ac:dyDescent="0.3">
      <c r="A6" s="15" t="s">
        <v>32</v>
      </c>
      <c r="B6" s="12" t="s">
        <v>29</v>
      </c>
      <c r="C6" s="12" t="s">
        <v>29</v>
      </c>
      <c r="D6" s="6">
        <f t="shared" si="0"/>
        <v>12</v>
      </c>
      <c r="E6" s="6">
        <v>31</v>
      </c>
      <c r="F6" s="6">
        <f>VLOOKUP($E6,Sheet3!$B$3:$D$54,2,0)</f>
        <v>7</v>
      </c>
      <c r="G6" s="6">
        <f>VLOOKUP($E6,Sheet3!$B$3:$G$54,3,FALSE)</f>
        <v>0</v>
      </c>
      <c r="H6" s="5">
        <f>VLOOKUP($A6,Sheet3!$I$3:$J$38,2,0)</f>
        <v>27.57</v>
      </c>
      <c r="I6" s="6">
        <f>VLOOKUP($E6,Sheet3!$B$3:$G$54,5,0)</f>
        <v>124806</v>
      </c>
      <c r="J6" s="5">
        <f>VLOOKUP($E6,Sheet3!$B$3:$G$54,4,0)</f>
        <v>4.5</v>
      </c>
      <c r="K6" s="5">
        <f>VLOOKUP($E6,Sheet3!$B$3:$G$54,6,0)</f>
        <v>1.3</v>
      </c>
      <c r="L6" s="6">
        <v>3960</v>
      </c>
      <c r="M6" s="6">
        <v>2790</v>
      </c>
      <c r="N6" s="6">
        <v>19</v>
      </c>
      <c r="O6" s="14">
        <f t="shared" si="1"/>
        <v>0.70454545454545459</v>
      </c>
    </row>
    <row r="7" spans="1:15" x14ac:dyDescent="0.3">
      <c r="A7" s="15" t="s">
        <v>32</v>
      </c>
      <c r="B7" s="12" t="s">
        <v>29</v>
      </c>
      <c r="C7" s="12" t="s">
        <v>29</v>
      </c>
      <c r="D7" s="6">
        <f t="shared" si="0"/>
        <v>14</v>
      </c>
      <c r="E7" s="6">
        <v>32</v>
      </c>
      <c r="F7" s="6">
        <f>VLOOKUP($E7,Sheet3!$B$3:$D$54,2,0)</f>
        <v>8</v>
      </c>
      <c r="G7" s="6">
        <f>VLOOKUP($E7,Sheet3!$B$3:$G$54,3,FALSE)</f>
        <v>1</v>
      </c>
      <c r="H7" s="5">
        <f>VLOOKUP($A7,Sheet3!$I$3:$J$38,2,0)</f>
        <v>27.57</v>
      </c>
      <c r="I7" s="6">
        <f>VLOOKUP($E7,Sheet3!$B$3:$G$54,5,0)</f>
        <v>69121</v>
      </c>
      <c r="J7" s="5">
        <f>VLOOKUP($E7,Sheet3!$B$3:$G$54,4,0)</f>
        <v>4.5</v>
      </c>
      <c r="K7" s="5">
        <f>VLOOKUP($E7,Sheet3!$B$3:$G$54,6,0)</f>
        <v>1.1000000000000001</v>
      </c>
      <c r="L7" s="6">
        <v>0</v>
      </c>
      <c r="M7" s="6">
        <v>0</v>
      </c>
      <c r="N7" s="6">
        <v>18</v>
      </c>
      <c r="O7" s="14" t="e">
        <f t="shared" si="1"/>
        <v>#DIV/0!</v>
      </c>
    </row>
    <row r="8" spans="1:15" x14ac:dyDescent="0.3">
      <c r="A8" s="15" t="s">
        <v>32</v>
      </c>
      <c r="B8" s="12" t="s">
        <v>29</v>
      </c>
      <c r="C8" s="12" t="s">
        <v>29</v>
      </c>
      <c r="D8" s="6">
        <f t="shared" si="0"/>
        <v>15</v>
      </c>
      <c r="E8" s="6">
        <v>33</v>
      </c>
      <c r="F8" s="6">
        <f>VLOOKUP($E8,Sheet3!$B$3:$D$54,2,0)</f>
        <v>8</v>
      </c>
      <c r="G8" s="6">
        <f>VLOOKUP($E8,Sheet3!$B$3:$G$54,3,FALSE)</f>
        <v>1</v>
      </c>
      <c r="H8" s="5">
        <f>VLOOKUP($A8,Sheet3!$I$3:$J$38,2,0)</f>
        <v>27.57</v>
      </c>
      <c r="I8" s="6">
        <f>VLOOKUP($E8,Sheet3!$B$3:$G$54,5,0)</f>
        <v>69121</v>
      </c>
      <c r="J8" s="5">
        <f>VLOOKUP($E8,Sheet3!$B$3:$G$54,4,0)</f>
        <v>4.5</v>
      </c>
      <c r="K8" s="5">
        <f>VLOOKUP($E8,Sheet3!$B$3:$G$54,6,0)</f>
        <v>1.1000000000000001</v>
      </c>
      <c r="L8" s="6">
        <v>0</v>
      </c>
      <c r="M8" s="6">
        <v>0</v>
      </c>
      <c r="N8" s="6">
        <v>18</v>
      </c>
      <c r="O8" s="14" t="e">
        <f t="shared" si="1"/>
        <v>#DIV/0!</v>
      </c>
    </row>
    <row r="9" spans="1:15" x14ac:dyDescent="0.3">
      <c r="A9" s="15" t="s">
        <v>32</v>
      </c>
      <c r="B9" s="12" t="s">
        <v>29</v>
      </c>
      <c r="C9" s="12" t="s">
        <v>29</v>
      </c>
      <c r="D9" s="6">
        <f t="shared" si="0"/>
        <v>15</v>
      </c>
      <c r="E9" s="6">
        <v>34</v>
      </c>
      <c r="F9" s="6">
        <f>VLOOKUP($E9,Sheet3!$B$3:$D$54,2,0)</f>
        <v>8</v>
      </c>
      <c r="G9" s="6">
        <f>VLOOKUP($E9,Sheet3!$B$3:$G$54,3,FALSE)</f>
        <v>0</v>
      </c>
      <c r="H9" s="5">
        <f>VLOOKUP($A9,Sheet3!$I$3:$J$38,2,0)</f>
        <v>27.57</v>
      </c>
      <c r="I9" s="6">
        <f>VLOOKUP($E9,Sheet3!$B$3:$G$54,5,0)</f>
        <v>69121</v>
      </c>
      <c r="J9" s="5">
        <f>VLOOKUP($E9,Sheet3!$B$3:$G$54,4,0)</f>
        <v>4.5</v>
      </c>
      <c r="K9" s="5">
        <f>VLOOKUP($E9,Sheet3!$B$3:$G$54,6,0)</f>
        <v>1.1000000000000001</v>
      </c>
      <c r="L9" s="6">
        <v>2880</v>
      </c>
      <c r="M9" s="6">
        <v>0</v>
      </c>
      <c r="N9" s="6">
        <v>19</v>
      </c>
      <c r="O9" s="14">
        <f t="shared" si="1"/>
        <v>0</v>
      </c>
    </row>
    <row r="10" spans="1:15" x14ac:dyDescent="0.3">
      <c r="A10" s="15" t="s">
        <v>32</v>
      </c>
      <c r="B10" s="12" t="s">
        <v>29</v>
      </c>
      <c r="C10" s="12" t="s">
        <v>29</v>
      </c>
      <c r="D10" s="6">
        <f t="shared" si="0"/>
        <v>15</v>
      </c>
      <c r="E10" s="6">
        <v>35</v>
      </c>
      <c r="F10" s="6">
        <f>VLOOKUP($E10,Sheet3!$B$3:$D$54,2,0)</f>
        <v>8</v>
      </c>
      <c r="G10" s="6">
        <f>VLOOKUP($E10,Sheet3!$B$3:$G$54,3,0)</f>
        <v>0</v>
      </c>
      <c r="H10" s="5">
        <f>VLOOKUP($A10,Sheet3!$I$3:$J$38,2,0)</f>
        <v>27.57</v>
      </c>
      <c r="I10" s="6">
        <f>VLOOKUP($E10,Sheet3!$B$3:$G$54,5,0)</f>
        <v>69121</v>
      </c>
      <c r="J10" s="5">
        <f>VLOOKUP($E10,Sheet3!$B$3:$G$54,4,0)</f>
        <v>4.5</v>
      </c>
      <c r="K10" s="5">
        <f>VLOOKUP($E10,Sheet3!$B$3:$G$54,6,0)</f>
        <v>1.1000000000000001</v>
      </c>
      <c r="L10" s="6">
        <v>3586</v>
      </c>
      <c r="M10" s="6">
        <v>3420</v>
      </c>
      <c r="N10" s="6">
        <v>20</v>
      </c>
      <c r="O10" s="14">
        <f t="shared" si="1"/>
        <v>0.95370886781929731</v>
      </c>
    </row>
    <row r="11" spans="1:15" x14ac:dyDescent="0.3">
      <c r="A11" s="15" t="s">
        <v>32</v>
      </c>
      <c r="B11" s="12" t="s">
        <v>29</v>
      </c>
      <c r="C11" s="12" t="s">
        <v>29</v>
      </c>
      <c r="D11" s="6">
        <f t="shared" si="0"/>
        <v>23</v>
      </c>
      <c r="E11" s="6">
        <v>36</v>
      </c>
      <c r="F11" s="6">
        <f>VLOOKUP($E11,Sheet3!$B$3:$D$54,2,0)</f>
        <v>9</v>
      </c>
      <c r="G11" s="6">
        <f>VLOOKUP($E11,Sheet3!$B$3:$G$54,3,0)</f>
        <v>0</v>
      </c>
      <c r="H11" s="5">
        <f>VLOOKUP($A11,Sheet3!$I$3:$J$38,2,0)</f>
        <v>27.57</v>
      </c>
      <c r="I11" s="6">
        <f>VLOOKUP($E11,Sheet3!$B$3:$G$54,5,0)</f>
        <v>121666</v>
      </c>
      <c r="J11" s="5">
        <f>VLOOKUP($E11,Sheet3!$B$3:$G$54,4,0)</f>
        <v>4.5</v>
      </c>
      <c r="K11" s="5">
        <f>VLOOKUP($E11,Sheet3!$B$3:$G$54,6,0)</f>
        <v>0.7</v>
      </c>
      <c r="L11" s="6">
        <v>4680</v>
      </c>
      <c r="M11" s="6">
        <v>3240</v>
      </c>
      <c r="N11" s="6">
        <v>13</v>
      </c>
      <c r="O11" s="14">
        <f t="shared" si="1"/>
        <v>0.69230769230769229</v>
      </c>
    </row>
    <row r="12" spans="1:15" x14ac:dyDescent="0.3">
      <c r="A12" s="15" t="s">
        <v>32</v>
      </c>
      <c r="B12" s="12" t="s">
        <v>29</v>
      </c>
      <c r="C12" s="12" t="s">
        <v>29</v>
      </c>
      <c r="D12" s="6">
        <f t="shared" si="0"/>
        <v>23</v>
      </c>
      <c r="E12" s="6">
        <v>37</v>
      </c>
      <c r="F12" s="6">
        <f>VLOOKUP($E12,Sheet3!$B$3:$D$54,2,0)</f>
        <v>9</v>
      </c>
      <c r="G12" s="6">
        <f>VLOOKUP($E12,Sheet3!$B$3:$G$54,3,0)</f>
        <v>0</v>
      </c>
      <c r="H12" s="5">
        <f>VLOOKUP($A12,Sheet3!$I$3:$J$38,2,0)</f>
        <v>27.57</v>
      </c>
      <c r="I12" s="6">
        <f>VLOOKUP($E12,Sheet3!$B$3:$G$54,5,0)</f>
        <v>121666</v>
      </c>
      <c r="J12" s="5">
        <f>VLOOKUP($E12,Sheet3!$B$3:$G$54,4,0)</f>
        <v>4.5</v>
      </c>
      <c r="K12" s="5">
        <f>VLOOKUP($E12,Sheet3!$B$3:$G$54,6,0)</f>
        <v>0.7</v>
      </c>
      <c r="L12" s="6">
        <v>4770</v>
      </c>
      <c r="M12" s="6">
        <v>2340</v>
      </c>
      <c r="N12" s="6">
        <v>14</v>
      </c>
      <c r="O12" s="14">
        <f t="shared" si="1"/>
        <v>0.49056603773584906</v>
      </c>
    </row>
    <row r="13" spans="1:15" x14ac:dyDescent="0.3">
      <c r="A13" s="15" t="s">
        <v>32</v>
      </c>
      <c r="B13" s="12" t="s">
        <v>29</v>
      </c>
      <c r="C13" s="12" t="s">
        <v>29</v>
      </c>
      <c r="D13" s="6">
        <f t="shared" si="0"/>
        <v>23</v>
      </c>
      <c r="E13" s="6">
        <v>38</v>
      </c>
      <c r="F13" s="6">
        <f>VLOOKUP($E13,Sheet3!$B$3:$D$54,2,0)</f>
        <v>9</v>
      </c>
      <c r="G13" s="6">
        <f>VLOOKUP($E13,Sheet3!$B$3:$G$54,3,0)</f>
        <v>0</v>
      </c>
      <c r="H13" s="5">
        <f>VLOOKUP($A13,Sheet3!$I$3:$J$38,2,0)</f>
        <v>27.57</v>
      </c>
      <c r="I13" s="6">
        <f>VLOOKUP($E13,Sheet3!$B$3:$G$54,5,0)</f>
        <v>121666</v>
      </c>
      <c r="J13" s="5">
        <f>VLOOKUP($E13,Sheet3!$B$3:$G$54,4,0)</f>
        <v>3.9</v>
      </c>
      <c r="K13" s="5">
        <f>VLOOKUP($E13,Sheet3!$B$3:$G$54,6,0)</f>
        <v>0.7</v>
      </c>
      <c r="L13" s="6">
        <v>3600</v>
      </c>
      <c r="M13" s="6">
        <v>3960</v>
      </c>
      <c r="N13" s="6">
        <v>15</v>
      </c>
      <c r="O13" s="14">
        <f t="shared" si="1"/>
        <v>1.1000000000000001</v>
      </c>
    </row>
    <row r="14" spans="1:15" x14ac:dyDescent="0.3">
      <c r="A14" s="15" t="s">
        <v>32</v>
      </c>
      <c r="B14" s="12" t="s">
        <v>29</v>
      </c>
      <c r="C14" s="12" t="s">
        <v>29</v>
      </c>
      <c r="D14" s="6">
        <f t="shared" si="0"/>
        <v>23</v>
      </c>
      <c r="E14" s="6">
        <v>39</v>
      </c>
      <c r="F14" s="6">
        <f>VLOOKUP($E14,Sheet3!$B$3:$D$54,2,0)</f>
        <v>9</v>
      </c>
      <c r="G14" s="6">
        <f>VLOOKUP($E14,Sheet3!$B$3:$G$54,3,0)</f>
        <v>0</v>
      </c>
      <c r="H14" s="5">
        <f>VLOOKUP($A14,Sheet3!$I$3:$J$38,2,0)</f>
        <v>27.57</v>
      </c>
      <c r="I14" s="6">
        <f>VLOOKUP($E14,Sheet3!$B$3:$G$54,5,0)</f>
        <v>121666</v>
      </c>
      <c r="J14" s="5">
        <f>VLOOKUP($E14,Sheet3!$B$3:$G$54,4,0)</f>
        <v>3.9</v>
      </c>
      <c r="K14" s="5">
        <f>VLOOKUP($E14,Sheet3!$B$3:$G$54,6,0)</f>
        <v>0.7</v>
      </c>
      <c r="L14" s="6">
        <v>3600</v>
      </c>
      <c r="M14" s="6">
        <v>3690</v>
      </c>
      <c r="N14" s="6">
        <v>16</v>
      </c>
      <c r="O14" s="14">
        <f t="shared" si="1"/>
        <v>1.0249999999999999</v>
      </c>
    </row>
    <row r="15" spans="1:15" x14ac:dyDescent="0.3">
      <c r="A15" s="15" t="s">
        <v>32</v>
      </c>
      <c r="B15" s="12" t="s">
        <v>29</v>
      </c>
      <c r="C15" s="12" t="s">
        <v>29</v>
      </c>
      <c r="D15" s="6">
        <f t="shared" si="0"/>
        <v>27</v>
      </c>
      <c r="E15" s="6">
        <v>40</v>
      </c>
      <c r="F15" s="6">
        <f>VLOOKUP($E15,Sheet3!$B$3:$D$54,2,0)</f>
        <v>9</v>
      </c>
      <c r="G15" s="6">
        <f>VLOOKUP($E15,Sheet3!$B$3:$G$54,3,0)</f>
        <v>0</v>
      </c>
      <c r="H15" s="5">
        <f>VLOOKUP($A15,Sheet3!$I$3:$J$38,2,0)</f>
        <v>27.57</v>
      </c>
      <c r="I15" s="6">
        <f>VLOOKUP($E15,Sheet3!$B$3:$G$54,5,0)</f>
        <v>121666</v>
      </c>
      <c r="J15" s="5">
        <f>VLOOKUP($E15,Sheet3!$B$3:$G$54,4,0)</f>
        <v>3.9</v>
      </c>
      <c r="K15" s="5">
        <f>VLOOKUP($E15,Sheet3!$B$3:$G$54,6,0)</f>
        <v>0.7</v>
      </c>
      <c r="L15" s="6">
        <v>3600</v>
      </c>
      <c r="M15" s="6">
        <v>2520</v>
      </c>
      <c r="N15" s="6">
        <v>13</v>
      </c>
      <c r="O15" s="14">
        <f t="shared" si="1"/>
        <v>0.7</v>
      </c>
    </row>
    <row r="16" spans="1:15" x14ac:dyDescent="0.3">
      <c r="A16" s="15" t="s">
        <v>32</v>
      </c>
      <c r="B16" s="12" t="s">
        <v>29</v>
      </c>
      <c r="C16" s="12" t="s">
        <v>29</v>
      </c>
      <c r="D16" s="6">
        <f t="shared" si="0"/>
        <v>27</v>
      </c>
      <c r="E16" s="6">
        <v>41</v>
      </c>
      <c r="F16" s="6">
        <f>VLOOKUP($E16,Sheet3!$B$3:$D$54,2,0)</f>
        <v>10</v>
      </c>
      <c r="G16" s="6">
        <f>VLOOKUP($E16,Sheet3!$B$3:$G$54,3,0)</f>
        <v>0</v>
      </c>
      <c r="H16" s="5">
        <f>VLOOKUP($A16,Sheet3!$I$3:$J$38,2,0)</f>
        <v>27.57</v>
      </c>
      <c r="I16" s="6">
        <f>VLOOKUP($E16,Sheet3!$B$3:$G$54,5,0)</f>
        <v>126488</v>
      </c>
      <c r="J16" s="5">
        <f>VLOOKUP($E16,Sheet3!$B$3:$G$54,4,0)</f>
        <v>3.9</v>
      </c>
      <c r="K16" s="5">
        <f>VLOOKUP($E16,Sheet3!$B$3:$G$54,6,0)</f>
        <v>0.9</v>
      </c>
      <c r="L16" s="6">
        <v>3600</v>
      </c>
      <c r="M16" s="6">
        <v>1080</v>
      </c>
      <c r="N16" s="6">
        <v>14</v>
      </c>
      <c r="O16" s="14">
        <f t="shared" si="1"/>
        <v>0.3</v>
      </c>
    </row>
    <row r="17" spans="1:15" x14ac:dyDescent="0.3">
      <c r="A17" s="15" t="s">
        <v>32</v>
      </c>
      <c r="B17" s="12" t="s">
        <v>29</v>
      </c>
      <c r="C17" s="12" t="s">
        <v>29</v>
      </c>
      <c r="D17" s="6">
        <f t="shared" si="0"/>
        <v>27</v>
      </c>
      <c r="E17" s="6">
        <v>42</v>
      </c>
      <c r="F17" s="6">
        <f>VLOOKUP($E17,Sheet3!$B$3:$D$54,2,0)</f>
        <v>10</v>
      </c>
      <c r="G17" s="6">
        <f>VLOOKUP($E17,Sheet3!$B$3:$G$54,3,0)</f>
        <v>0</v>
      </c>
      <c r="H17" s="5">
        <f>VLOOKUP($A17,Sheet3!$I$3:$J$38,2,0)</f>
        <v>27.57</v>
      </c>
      <c r="I17" s="6">
        <f>VLOOKUP($E17,Sheet3!$B$3:$G$54,5,0)</f>
        <v>126488</v>
      </c>
      <c r="J17" s="5">
        <f>VLOOKUP($E17,Sheet3!$B$3:$G$54,4,0)</f>
        <v>3.9</v>
      </c>
      <c r="K17" s="5">
        <f>VLOOKUP($E17,Sheet3!$B$3:$G$54,6,0)</f>
        <v>0.9</v>
      </c>
      <c r="L17" s="6">
        <v>3600</v>
      </c>
      <c r="M17" s="6">
        <v>2250</v>
      </c>
      <c r="N17" s="6">
        <v>15</v>
      </c>
      <c r="O17" s="14">
        <f t="shared" si="1"/>
        <v>0.625</v>
      </c>
    </row>
    <row r="18" spans="1:15" x14ac:dyDescent="0.3">
      <c r="A18" s="15" t="s">
        <v>32</v>
      </c>
      <c r="B18" s="12" t="s">
        <v>29</v>
      </c>
      <c r="C18" s="12" t="s">
        <v>29</v>
      </c>
      <c r="D18" s="6">
        <f t="shared" si="0"/>
        <v>27</v>
      </c>
      <c r="E18" s="6">
        <v>43</v>
      </c>
      <c r="F18" s="6">
        <f>VLOOKUP($E18,Sheet3!$B$3:$D$54,2,0)</f>
        <v>10</v>
      </c>
      <c r="G18" s="6">
        <f>VLOOKUP($E18,Sheet3!$B$3:$G$54,3,0)</f>
        <v>0</v>
      </c>
      <c r="H18" s="5">
        <f>VLOOKUP($A18,Sheet3!$I$3:$J$38,2,0)</f>
        <v>27.57</v>
      </c>
      <c r="I18" s="6">
        <f>VLOOKUP($E18,Sheet3!$B$3:$G$54,5,0)</f>
        <v>126488</v>
      </c>
      <c r="J18" s="5">
        <f>VLOOKUP($E18,Sheet3!$B$3:$G$54,4,0)</f>
        <v>3.65</v>
      </c>
      <c r="K18" s="5">
        <f>VLOOKUP($E18,Sheet3!$B$3:$G$54,6,0)</f>
        <v>0.9</v>
      </c>
      <c r="L18" s="6">
        <v>3600</v>
      </c>
      <c r="M18" s="6">
        <v>2700</v>
      </c>
      <c r="N18" s="6">
        <v>16</v>
      </c>
      <c r="O18" s="14">
        <f t="shared" si="1"/>
        <v>0.75</v>
      </c>
    </row>
    <row r="19" spans="1:15" x14ac:dyDescent="0.3">
      <c r="A19" s="15" t="s">
        <v>32</v>
      </c>
      <c r="B19" s="12" t="s">
        <v>29</v>
      </c>
      <c r="C19" s="12" t="s">
        <v>29</v>
      </c>
      <c r="D19" s="6">
        <f t="shared" si="0"/>
        <v>27</v>
      </c>
      <c r="E19" s="6">
        <v>44</v>
      </c>
      <c r="F19" s="6">
        <f>VLOOKUP($E19,Sheet3!$B$3:$D$54,2,0)</f>
        <v>10</v>
      </c>
      <c r="G19" s="6">
        <f>VLOOKUP($E19,Sheet3!$B$3:$G$54,3,0)</f>
        <v>1</v>
      </c>
      <c r="H19" s="5">
        <f>VLOOKUP($A19,Sheet3!$I$3:$J$38,2,0)</f>
        <v>27.57</v>
      </c>
      <c r="I19" s="6">
        <f>VLOOKUP($E19,Sheet3!$B$3:$G$54,5,0)</f>
        <v>126488</v>
      </c>
      <c r="J19" s="5">
        <f>VLOOKUP($E19,Sheet3!$B$3:$G$54,4,0)</f>
        <v>3.65</v>
      </c>
      <c r="K19" s="5">
        <f>VLOOKUP($E19,Sheet3!$B$3:$G$54,6,0)</f>
        <v>0.9</v>
      </c>
      <c r="L19" s="6">
        <v>2430</v>
      </c>
      <c r="M19" s="6">
        <v>0</v>
      </c>
      <c r="N19" s="6">
        <v>17</v>
      </c>
      <c r="O19" s="14">
        <f t="shared" si="1"/>
        <v>0</v>
      </c>
    </row>
    <row r="20" spans="1:15" x14ac:dyDescent="0.3">
      <c r="A20" s="15" t="s">
        <v>32</v>
      </c>
      <c r="B20" s="12" t="s">
        <v>29</v>
      </c>
      <c r="C20" s="12" t="s">
        <v>29</v>
      </c>
      <c r="D20" s="6">
        <f t="shared" si="0"/>
        <v>36</v>
      </c>
      <c r="E20" s="6">
        <v>45</v>
      </c>
      <c r="F20" s="6">
        <f>VLOOKUP($E20,Sheet3!$B$3:$D$54,2,0)</f>
        <v>11</v>
      </c>
      <c r="G20" s="6">
        <f>VLOOKUP($E20,Sheet3!$B$3:$G$54,3,0)</f>
        <v>0</v>
      </c>
      <c r="H20" s="5">
        <f>VLOOKUP($A20,Sheet3!$I$3:$J$38,2,0)</f>
        <v>27.57</v>
      </c>
      <c r="I20" s="6">
        <f>VLOOKUP($E20,Sheet3!$B$3:$G$54,5,0)</f>
        <v>124251</v>
      </c>
      <c r="J20" s="5">
        <f>VLOOKUP($E20,Sheet3!$B$3:$G$54,4,0)</f>
        <v>3.65</v>
      </c>
      <c r="K20" s="5">
        <f>VLOOKUP($E20,Sheet3!$B$3:$G$54,6,0)</f>
        <v>1.3</v>
      </c>
      <c r="L20" s="6">
        <v>3060</v>
      </c>
      <c r="M20" s="6">
        <v>2610</v>
      </c>
      <c r="N20" s="6">
        <v>9</v>
      </c>
      <c r="O20" s="14">
        <f t="shared" si="1"/>
        <v>0.8529411764705882</v>
      </c>
    </row>
    <row r="21" spans="1:15" x14ac:dyDescent="0.3">
      <c r="A21" s="15" t="s">
        <v>32</v>
      </c>
      <c r="B21" s="12" t="s">
        <v>29</v>
      </c>
      <c r="C21" s="12" t="s">
        <v>29</v>
      </c>
      <c r="D21" s="6">
        <f t="shared" si="0"/>
        <v>36</v>
      </c>
      <c r="E21" s="6">
        <v>46</v>
      </c>
      <c r="F21" s="6">
        <f>VLOOKUP($E21,Sheet3!$B$3:$D$54,2,0)</f>
        <v>11</v>
      </c>
      <c r="G21" s="6">
        <f>VLOOKUP($E21,Sheet3!$B$3:$G$54,3,0)</f>
        <v>0</v>
      </c>
      <c r="H21" s="5">
        <f>VLOOKUP($A21,Sheet3!$I$3:$J$38,2,0)</f>
        <v>27.57</v>
      </c>
      <c r="I21" s="6">
        <f>VLOOKUP($E21,Sheet3!$B$3:$G$54,5,0)</f>
        <v>124251</v>
      </c>
      <c r="J21" s="5">
        <f>VLOOKUP($E21,Sheet3!$B$3:$G$54,4,0)</f>
        <v>3.65</v>
      </c>
      <c r="K21" s="5">
        <f>VLOOKUP($E21,Sheet3!$B$3:$G$54,6,0)</f>
        <v>1.3</v>
      </c>
      <c r="L21" s="6">
        <v>3060</v>
      </c>
      <c r="M21" s="6">
        <v>2970</v>
      </c>
      <c r="N21" s="6">
        <v>10</v>
      </c>
      <c r="O21" s="14">
        <f t="shared" si="1"/>
        <v>0.97058823529411764</v>
      </c>
    </row>
    <row r="22" spans="1:15" x14ac:dyDescent="0.3">
      <c r="A22" s="15" t="s">
        <v>32</v>
      </c>
      <c r="B22" s="12" t="s">
        <v>29</v>
      </c>
      <c r="C22" s="12" t="s">
        <v>29</v>
      </c>
      <c r="D22" s="6">
        <f t="shared" si="0"/>
        <v>36</v>
      </c>
      <c r="E22" s="6">
        <v>47</v>
      </c>
      <c r="F22" s="6">
        <f>VLOOKUP($E22,Sheet3!$B$3:$D$54,2,0)</f>
        <v>11</v>
      </c>
      <c r="G22" s="6">
        <f>VLOOKUP($E22,Sheet3!$B$3:$G$54,3,0)</f>
        <v>0</v>
      </c>
      <c r="H22" s="5">
        <f>VLOOKUP($A22,Sheet3!$I$3:$J$38,2,0)</f>
        <v>27.57</v>
      </c>
      <c r="I22" s="6">
        <f>VLOOKUP($E22,Sheet3!$B$3:$G$54,5,0)</f>
        <v>124251</v>
      </c>
      <c r="J22" s="5">
        <f>VLOOKUP($E22,Sheet3!$B$3:$G$54,4,0)</f>
        <v>3.65</v>
      </c>
      <c r="K22" s="5">
        <f>VLOOKUP($E22,Sheet3!$B$3:$G$54,6,0)</f>
        <v>1.3</v>
      </c>
      <c r="L22" s="6">
        <v>3060</v>
      </c>
      <c r="M22" s="6">
        <v>3150</v>
      </c>
      <c r="N22" s="6">
        <v>11</v>
      </c>
      <c r="O22" s="14">
        <f t="shared" si="1"/>
        <v>1.0294117647058822</v>
      </c>
    </row>
    <row r="23" spans="1:15" x14ac:dyDescent="0.3">
      <c r="A23" s="15" t="s">
        <v>32</v>
      </c>
      <c r="B23" s="12" t="s">
        <v>29</v>
      </c>
      <c r="C23" s="12" t="s">
        <v>29</v>
      </c>
      <c r="D23" s="6">
        <f t="shared" si="0"/>
        <v>36</v>
      </c>
      <c r="E23" s="6">
        <v>48</v>
      </c>
      <c r="F23" s="6">
        <f>VLOOKUP($E23,Sheet3!$B$3:$D$54,2,0)</f>
        <v>11</v>
      </c>
      <c r="G23" s="6">
        <f>VLOOKUP($E23,Sheet3!$B$3:$G$54,3,0)</f>
        <v>0</v>
      </c>
      <c r="H23" s="5">
        <f>VLOOKUP($A23,Sheet3!$I$3:$J$38,2,0)</f>
        <v>27.57</v>
      </c>
      <c r="I23" s="6">
        <f>VLOOKUP($E23,Sheet3!$B$3:$G$54,5,0)</f>
        <v>124251</v>
      </c>
      <c r="J23" s="5">
        <f>VLOOKUP($E23,Sheet3!$B$3:$G$54,4,0)</f>
        <v>3.65</v>
      </c>
      <c r="K23" s="5">
        <f>VLOOKUP($E23,Sheet3!$B$3:$G$54,6,0)</f>
        <v>1.3</v>
      </c>
      <c r="L23" s="6">
        <v>3060</v>
      </c>
      <c r="M23" s="6">
        <v>3240</v>
      </c>
      <c r="N23" s="6">
        <v>12</v>
      </c>
      <c r="O23" s="14">
        <f t="shared" si="1"/>
        <v>1.0588235294117647</v>
      </c>
    </row>
    <row r="24" spans="1:15" x14ac:dyDescent="0.3">
      <c r="A24" s="15" t="s">
        <v>32</v>
      </c>
      <c r="B24" s="12" t="s">
        <v>29</v>
      </c>
      <c r="C24" s="12" t="s">
        <v>29</v>
      </c>
      <c r="D24" s="6">
        <f t="shared" si="0"/>
        <v>38</v>
      </c>
      <c r="E24" s="6">
        <v>49</v>
      </c>
      <c r="F24" s="6">
        <f>VLOOKUP($E24,Sheet3!$B$3:$D$54,2,0)</f>
        <v>12</v>
      </c>
      <c r="G24" s="6">
        <f>VLOOKUP($E24,Sheet3!$B$3:$G$54,3,0)</f>
        <v>1</v>
      </c>
      <c r="H24" s="5">
        <f>VLOOKUP($A24,Sheet3!$I$3:$J$38,2,0)</f>
        <v>27.57</v>
      </c>
      <c r="I24" s="6">
        <f>VLOOKUP($E24,Sheet3!$B$3:$G$54,5,0)</f>
        <v>105715</v>
      </c>
      <c r="J24" s="5">
        <f>VLOOKUP($E24,Sheet3!$B$3:$G$54,4,0)</f>
        <v>3.65</v>
      </c>
      <c r="K24" s="5">
        <f>VLOOKUP($E24,Sheet3!$B$3:$G$54,6,0)</f>
        <v>1.3</v>
      </c>
      <c r="L24" s="6">
        <v>1260</v>
      </c>
      <c r="M24" s="6">
        <v>2700</v>
      </c>
      <c r="N24" s="6">
        <v>11</v>
      </c>
      <c r="O24" s="14">
        <f t="shared" si="1"/>
        <v>2.1428571428571428</v>
      </c>
    </row>
    <row r="25" spans="1:15" x14ac:dyDescent="0.3">
      <c r="A25" s="15" t="s">
        <v>32</v>
      </c>
      <c r="B25" s="12" t="s">
        <v>29</v>
      </c>
      <c r="C25" s="12" t="s">
        <v>29</v>
      </c>
      <c r="D25" s="6">
        <f t="shared" si="0"/>
        <v>39</v>
      </c>
      <c r="E25" s="6">
        <v>50</v>
      </c>
      <c r="F25" s="6">
        <f>VLOOKUP($E25,Sheet3!$B$3:$D$54,2,0)</f>
        <v>12</v>
      </c>
      <c r="G25" s="6">
        <f>VLOOKUP($E25,Sheet3!$B$3:$G$54,3,0)</f>
        <v>0</v>
      </c>
      <c r="H25" s="5">
        <f>VLOOKUP($A25,Sheet3!$I$3:$J$38,2,0)</f>
        <v>27.57</v>
      </c>
      <c r="I25" s="6">
        <f>VLOOKUP($E25,Sheet3!$B$3:$G$54,5,0)</f>
        <v>105715</v>
      </c>
      <c r="J25" s="5">
        <f>VLOOKUP($E25,Sheet3!$B$3:$G$54,4,0)</f>
        <v>3.4</v>
      </c>
      <c r="K25" s="5">
        <f>VLOOKUP($E25,Sheet3!$B$3:$G$54,6,0)</f>
        <v>1.3</v>
      </c>
      <c r="L25" s="6">
        <v>3060</v>
      </c>
      <c r="M25" s="6">
        <v>0</v>
      </c>
      <c r="N25" s="6">
        <v>11</v>
      </c>
      <c r="O25" s="14">
        <f t="shared" si="1"/>
        <v>0</v>
      </c>
    </row>
    <row r="26" spans="1:15" x14ac:dyDescent="0.3">
      <c r="A26" s="15" t="s">
        <v>32</v>
      </c>
      <c r="B26" s="12" t="s">
        <v>29</v>
      </c>
      <c r="C26" s="12" t="s">
        <v>29</v>
      </c>
      <c r="D26" s="6">
        <f t="shared" si="0"/>
        <v>38</v>
      </c>
      <c r="E26" s="6">
        <v>51</v>
      </c>
      <c r="F26" s="6">
        <f>VLOOKUP($E26,Sheet3!$B$3:$D$54,2,0)</f>
        <v>12</v>
      </c>
      <c r="G26" s="6">
        <f>VLOOKUP($E26,Sheet3!$B$3:$G$54,3,0)</f>
        <v>0</v>
      </c>
      <c r="H26" s="5">
        <f>VLOOKUP($A26,Sheet3!$I$3:$J$38,2,0)</f>
        <v>27.57</v>
      </c>
      <c r="I26" s="6">
        <f>VLOOKUP($E26,Sheet3!$B$3:$G$54,5,0)</f>
        <v>105715</v>
      </c>
      <c r="J26" s="5">
        <f>VLOOKUP($E26,Sheet3!$B$3:$G$54,4,0)</f>
        <v>3.4</v>
      </c>
      <c r="K26" s="5">
        <f>VLOOKUP($E26,Sheet3!$B$3:$G$54,6,0)</f>
        <v>1.3</v>
      </c>
      <c r="L26" s="6">
        <v>3060</v>
      </c>
      <c r="M26" s="6">
        <v>0</v>
      </c>
      <c r="N26" s="6">
        <v>13</v>
      </c>
      <c r="O26" s="14">
        <f t="shared" si="1"/>
        <v>0</v>
      </c>
    </row>
    <row r="27" spans="1:15" x14ac:dyDescent="0.3">
      <c r="A27" s="15" t="s">
        <v>32</v>
      </c>
      <c r="B27" s="12" t="s">
        <v>29</v>
      </c>
      <c r="C27" s="12" t="s">
        <v>29</v>
      </c>
      <c r="D27" s="6">
        <f t="shared" si="0"/>
        <v>38</v>
      </c>
      <c r="E27" s="6">
        <v>52</v>
      </c>
      <c r="F27" s="6">
        <f>VLOOKUP($E27,Sheet3!$B$3:$D$54,2,0)</f>
        <v>12</v>
      </c>
      <c r="G27" s="6">
        <f>VLOOKUP($E27,Sheet3!$B$3:$G$54,3,0)</f>
        <v>1</v>
      </c>
      <c r="H27" s="5">
        <f>VLOOKUP($A27,Sheet3!$I$3:$J$38,2,0)</f>
        <v>27.57</v>
      </c>
      <c r="I27" s="6">
        <f>VLOOKUP($E27,Sheet3!$B$3:$G$54,5,0)</f>
        <v>105715</v>
      </c>
      <c r="J27" s="5">
        <f>VLOOKUP($E27,Sheet3!$B$3:$G$54,4,0)</f>
        <v>3.4</v>
      </c>
      <c r="K27" s="5">
        <f>VLOOKUP($E27,Sheet3!$B$3:$G$54,6,0)</f>
        <v>1.3</v>
      </c>
      <c r="L27" s="6">
        <v>630</v>
      </c>
      <c r="M27" s="6">
        <v>0</v>
      </c>
      <c r="N27" s="6">
        <v>14</v>
      </c>
      <c r="O27" s="14">
        <f t="shared" si="1"/>
        <v>0</v>
      </c>
    </row>
    <row r="28" spans="1:15" x14ac:dyDescent="0.3">
      <c r="A28" s="15" t="s">
        <v>32</v>
      </c>
      <c r="B28" s="12" t="s">
        <v>29</v>
      </c>
      <c r="C28" s="12" t="s">
        <v>29</v>
      </c>
      <c r="D28" s="6">
        <f t="shared" si="0"/>
        <v>41</v>
      </c>
      <c r="E28" s="6">
        <v>1</v>
      </c>
      <c r="F28" s="6">
        <f>VLOOKUP($E28,Sheet3!$B$3:$D$54,2,0)</f>
        <v>12</v>
      </c>
      <c r="G28" s="6">
        <f>VLOOKUP($E28,Sheet3!$B$3:$G$54,3,0)</f>
        <v>1</v>
      </c>
      <c r="H28" s="5">
        <f>VLOOKUP($A28,Sheet3!$I$3:$J$38,2,0)</f>
        <v>27.57</v>
      </c>
      <c r="I28" s="6">
        <f>VLOOKUP($E28,Sheet3!$B$3:$G$54,5,0)</f>
        <v>105715</v>
      </c>
      <c r="J28" s="5">
        <f>VLOOKUP($E28,Sheet3!$B$3:$G$54,4,0)</f>
        <v>3.4</v>
      </c>
      <c r="K28" s="5">
        <f>VLOOKUP($E28,Sheet3!$B$3:$G$54,6,0)</f>
        <v>1.3</v>
      </c>
      <c r="L28" s="6">
        <v>3060</v>
      </c>
      <c r="M28" s="6">
        <v>0</v>
      </c>
      <c r="N28" s="6">
        <v>12</v>
      </c>
      <c r="O28" s="14">
        <f t="shared" si="1"/>
        <v>0</v>
      </c>
    </row>
    <row r="29" spans="1:15" x14ac:dyDescent="0.3">
      <c r="A29" s="15" t="s">
        <v>32</v>
      </c>
      <c r="B29" s="12" t="s">
        <v>29</v>
      </c>
      <c r="C29" s="12" t="s">
        <v>29</v>
      </c>
      <c r="D29" s="6">
        <f t="shared" si="0"/>
        <v>42</v>
      </c>
      <c r="E29" s="6">
        <v>2</v>
      </c>
      <c r="F29" s="6">
        <f>VLOOKUP($E29,Sheet3!$B$3:$D$54,2,0)</f>
        <v>1</v>
      </c>
      <c r="G29" s="6">
        <f>VLOOKUP($E29,Sheet3!$B$3:$G$54,3,0)</f>
        <v>1</v>
      </c>
      <c r="H29" s="5">
        <f>VLOOKUP($A29,Sheet3!$I$3:$J$38,2,0)</f>
        <v>27.57</v>
      </c>
      <c r="I29" s="6">
        <f>VLOOKUP($E29,Sheet3!$B$3:$G$54,5,0)</f>
        <v>133692</v>
      </c>
      <c r="J29" s="5">
        <f>VLOOKUP($E29,Sheet3!$B$3:$G$54,4,0)</f>
        <v>3.4</v>
      </c>
      <c r="K29" s="5">
        <f>VLOOKUP($E29,Sheet3!$B$3:$G$54,6,0)</f>
        <v>1.5</v>
      </c>
      <c r="L29" s="6">
        <v>0</v>
      </c>
      <c r="M29" s="6">
        <v>0</v>
      </c>
      <c r="N29" s="6">
        <v>12</v>
      </c>
      <c r="O29" s="14" t="e">
        <f t="shared" si="1"/>
        <v>#DIV/0!</v>
      </c>
    </row>
    <row r="30" spans="1:15" x14ac:dyDescent="0.3">
      <c r="A30" s="15" t="s">
        <v>32</v>
      </c>
      <c r="B30" s="12" t="s">
        <v>29</v>
      </c>
      <c r="C30" s="12" t="s">
        <v>29</v>
      </c>
      <c r="D30" s="6">
        <f t="shared" si="0"/>
        <v>43</v>
      </c>
      <c r="E30" s="6">
        <v>3</v>
      </c>
      <c r="F30" s="6">
        <f>VLOOKUP($E30,Sheet3!$B$3:$D$54,2,0)</f>
        <v>1</v>
      </c>
      <c r="G30" s="6">
        <f>VLOOKUP($E30,Sheet3!$B$3:$G$54,3,0)</f>
        <v>0</v>
      </c>
      <c r="H30" s="5">
        <f>VLOOKUP($A30,Sheet3!$I$3:$J$38,2,0)</f>
        <v>27.57</v>
      </c>
      <c r="I30" s="6">
        <f>VLOOKUP($E30,Sheet3!$B$3:$G$54,5,0)</f>
        <v>133692</v>
      </c>
      <c r="J30" s="5">
        <f>VLOOKUP($E30,Sheet3!$B$3:$G$54,4,0)</f>
        <v>3.4</v>
      </c>
      <c r="K30" s="5">
        <f>VLOOKUP($E30,Sheet3!$B$3:$G$54,6,0)</f>
        <v>1.5</v>
      </c>
      <c r="L30" s="6">
        <v>3690</v>
      </c>
      <c r="M30" s="6">
        <v>1440</v>
      </c>
      <c r="N30" s="6">
        <v>12</v>
      </c>
      <c r="O30" s="14">
        <f t="shared" si="1"/>
        <v>0.3902439024390244</v>
      </c>
    </row>
    <row r="31" spans="1:15" x14ac:dyDescent="0.3">
      <c r="A31" s="15" t="s">
        <v>32</v>
      </c>
      <c r="B31" s="12" t="s">
        <v>29</v>
      </c>
      <c r="C31" s="12" t="s">
        <v>29</v>
      </c>
      <c r="D31" s="6">
        <f t="shared" si="0"/>
        <v>43</v>
      </c>
      <c r="E31" s="6">
        <v>4</v>
      </c>
      <c r="F31" s="6">
        <f>VLOOKUP($E31,Sheet3!$B$3:$D$54,2,0)</f>
        <v>1</v>
      </c>
      <c r="G31" s="6">
        <f>VLOOKUP($E31,Sheet3!$B$3:$G$54,3,0)</f>
        <v>0</v>
      </c>
      <c r="H31" s="5">
        <f>VLOOKUP($A31,Sheet3!$I$3:$J$38,2,0)</f>
        <v>27.57</v>
      </c>
      <c r="I31" s="6">
        <f>VLOOKUP($E31,Sheet3!$B$3:$G$54,5,0)</f>
        <v>133692</v>
      </c>
      <c r="J31" s="5">
        <f>VLOOKUP($E31,Sheet3!$B$3:$G$54,4,0)</f>
        <v>3.4</v>
      </c>
      <c r="K31" s="5">
        <f>VLOOKUP($E31,Sheet3!$B$3:$G$54,6,0)</f>
        <v>1.5</v>
      </c>
      <c r="L31" s="6">
        <v>3600</v>
      </c>
      <c r="M31" s="6">
        <v>2340</v>
      </c>
      <c r="N31" s="6">
        <v>13</v>
      </c>
      <c r="O31" s="14">
        <f t="shared" si="1"/>
        <v>0.65</v>
      </c>
    </row>
    <row r="32" spans="1:15" x14ac:dyDescent="0.3">
      <c r="A32" s="15" t="s">
        <v>32</v>
      </c>
      <c r="B32" s="12" t="s">
        <v>29</v>
      </c>
      <c r="C32" s="12" t="s">
        <v>29</v>
      </c>
      <c r="D32" s="6">
        <f t="shared" si="0"/>
        <v>43</v>
      </c>
      <c r="E32" s="6">
        <v>5</v>
      </c>
      <c r="F32" s="6">
        <f>VLOOKUP($E32,Sheet3!$B$3:$D$54,2,0)</f>
        <v>1</v>
      </c>
      <c r="G32" s="6">
        <f>VLOOKUP($E32,Sheet3!$B$3:$G$54,3,0)</f>
        <v>0</v>
      </c>
      <c r="H32" s="5">
        <f>VLOOKUP($A32,Sheet3!$I$3:$J$38,2,0)</f>
        <v>27.57</v>
      </c>
      <c r="I32" s="6">
        <f>VLOOKUP($E32,Sheet3!$B$3:$G$54,5,0)</f>
        <v>133692</v>
      </c>
      <c r="J32" s="5">
        <f>VLOOKUP($E32,Sheet3!$B$3:$G$54,4,0)</f>
        <v>3.4</v>
      </c>
      <c r="K32" s="5">
        <f>VLOOKUP($E32,Sheet3!$B$3:$G$54,6,0)</f>
        <v>1.5</v>
      </c>
      <c r="L32" s="6">
        <v>3690</v>
      </c>
      <c r="M32" s="6">
        <v>0</v>
      </c>
      <c r="N32" s="6">
        <v>14</v>
      </c>
      <c r="O32" s="14">
        <f t="shared" si="1"/>
        <v>0</v>
      </c>
    </row>
    <row r="33" spans="1:15" x14ac:dyDescent="0.3">
      <c r="A33" s="15" t="s">
        <v>32</v>
      </c>
      <c r="B33" s="12" t="s">
        <v>29</v>
      </c>
      <c r="C33" s="12" t="s">
        <v>29</v>
      </c>
      <c r="D33" s="6">
        <f t="shared" si="0"/>
        <v>49</v>
      </c>
      <c r="E33" s="6">
        <v>6</v>
      </c>
      <c r="F33" s="6">
        <f>VLOOKUP($E33,Sheet3!$B$3:$D$54,2,0)</f>
        <v>2</v>
      </c>
      <c r="G33" s="6">
        <f>VLOOKUP($E33,Sheet3!$B$3:$G$54,3,0)</f>
        <v>0</v>
      </c>
      <c r="H33" s="5">
        <f>VLOOKUP($A33,Sheet3!$I$3:$J$38,2,0)</f>
        <v>27.57</v>
      </c>
      <c r="I33" s="6">
        <f>VLOOKUP($E33,Sheet3!$B$3:$G$54,5,0)</f>
        <v>137922</v>
      </c>
      <c r="J33" s="5">
        <f>VLOOKUP($E33,Sheet3!$B$3:$G$54,4,0)</f>
        <v>3.15</v>
      </c>
      <c r="K33" s="5">
        <f>VLOOKUP($E33,Sheet3!$B$3:$G$54,6,0)</f>
        <v>1.6</v>
      </c>
      <c r="L33" s="6">
        <v>2430</v>
      </c>
      <c r="M33" s="6">
        <v>3690</v>
      </c>
      <c r="N33" s="6">
        <v>9</v>
      </c>
      <c r="O33" s="14">
        <f t="shared" si="1"/>
        <v>1.5185185185185186</v>
      </c>
    </row>
    <row r="34" spans="1:15" x14ac:dyDescent="0.3">
      <c r="A34" s="15" t="s">
        <v>32</v>
      </c>
      <c r="B34" s="12" t="s">
        <v>29</v>
      </c>
      <c r="C34" s="12" t="s">
        <v>29</v>
      </c>
      <c r="D34" s="6">
        <f t="shared" si="0"/>
        <v>49</v>
      </c>
      <c r="E34" s="6">
        <v>7</v>
      </c>
      <c r="F34" s="6">
        <f>VLOOKUP($E34,Sheet3!$B$3:$D$54,2,0)</f>
        <v>2</v>
      </c>
      <c r="G34" s="6">
        <f>VLOOKUP($E34,Sheet3!$B$3:$G$54,3,0)</f>
        <v>0</v>
      </c>
      <c r="H34" s="5">
        <f>VLOOKUP($A34,Sheet3!$I$3:$J$38,2,0)</f>
        <v>27.57</v>
      </c>
      <c r="I34" s="6">
        <f>VLOOKUP($E34,Sheet3!$B$3:$G$54,5,0)</f>
        <v>137922</v>
      </c>
      <c r="J34" s="5">
        <f>VLOOKUP($E34,Sheet3!$B$3:$G$54,4,0)</f>
        <v>3.15</v>
      </c>
      <c r="K34" s="5">
        <f>VLOOKUP($E34,Sheet3!$B$3:$G$54,6,0)</f>
        <v>1.6</v>
      </c>
      <c r="L34" s="6">
        <v>2520</v>
      </c>
      <c r="M34" s="6">
        <v>3330</v>
      </c>
      <c r="N34" s="6">
        <v>10</v>
      </c>
      <c r="O34" s="14">
        <f t="shared" si="1"/>
        <v>1.3214285714285714</v>
      </c>
    </row>
    <row r="35" spans="1:15" x14ac:dyDescent="0.3">
      <c r="A35" s="15" t="s">
        <v>32</v>
      </c>
      <c r="B35" s="12" t="s">
        <v>29</v>
      </c>
      <c r="C35" s="12" t="s">
        <v>29</v>
      </c>
      <c r="D35" s="6">
        <f t="shared" si="0"/>
        <v>49</v>
      </c>
      <c r="E35" s="6">
        <v>8</v>
      </c>
      <c r="F35" s="6">
        <f>VLOOKUP($E35,Sheet3!$B$3:$D$54,2,0)</f>
        <v>2</v>
      </c>
      <c r="G35" s="6">
        <f>VLOOKUP($E35,Sheet3!$B$3:$G$54,3,0)</f>
        <v>0</v>
      </c>
      <c r="H35" s="5">
        <f>VLOOKUP($A35,Sheet3!$I$3:$J$38,2,0)</f>
        <v>27.57</v>
      </c>
      <c r="I35" s="6">
        <f>VLOOKUP($E35,Sheet3!$B$3:$G$54,5,0)</f>
        <v>137922</v>
      </c>
      <c r="J35" s="5">
        <f>VLOOKUP($E35,Sheet3!$B$3:$G$54,4,0)</f>
        <v>3.15</v>
      </c>
      <c r="K35" s="5">
        <f>VLOOKUP($E35,Sheet3!$B$3:$G$54,6,0)</f>
        <v>1.6</v>
      </c>
      <c r="L35" s="6">
        <v>2430</v>
      </c>
      <c r="M35" s="6">
        <v>3510</v>
      </c>
      <c r="N35" s="6">
        <v>11</v>
      </c>
      <c r="O35" s="14">
        <f t="shared" si="1"/>
        <v>1.4444444444444444</v>
      </c>
    </row>
    <row r="36" spans="1:15" x14ac:dyDescent="0.3">
      <c r="A36" s="15" t="s">
        <v>32</v>
      </c>
      <c r="B36" s="12" t="s">
        <v>29</v>
      </c>
      <c r="C36" s="12" t="s">
        <v>29</v>
      </c>
      <c r="D36" s="6">
        <f t="shared" si="0"/>
        <v>49</v>
      </c>
      <c r="E36" s="6">
        <v>9</v>
      </c>
      <c r="F36" s="6">
        <f>VLOOKUP($E36,Sheet3!$B$3:$D$54,2,0)</f>
        <v>2</v>
      </c>
      <c r="G36" s="6">
        <f>VLOOKUP($E36,Sheet3!$B$3:$G$54,3,0)</f>
        <v>0</v>
      </c>
      <c r="H36" s="5">
        <f>VLOOKUP($A36,Sheet3!$I$3:$J$38,2,0)</f>
        <v>27.57</v>
      </c>
      <c r="I36" s="6">
        <f>VLOOKUP($E36,Sheet3!$B$3:$G$54,5,0)</f>
        <v>137922</v>
      </c>
      <c r="J36" s="5">
        <f>VLOOKUP($E36,Sheet3!$B$3:$G$54,4,0)</f>
        <v>3.15</v>
      </c>
      <c r="K36" s="5">
        <f>VLOOKUP($E36,Sheet3!$B$3:$G$54,6,0)</f>
        <v>1.6</v>
      </c>
      <c r="L36" s="6">
        <v>2520</v>
      </c>
      <c r="M36" s="6">
        <v>3420</v>
      </c>
      <c r="N36" s="6">
        <v>12</v>
      </c>
      <c r="O36" s="14">
        <f t="shared" si="1"/>
        <v>1.3571428571428572</v>
      </c>
    </row>
    <row r="37" spans="1:15" x14ac:dyDescent="0.3">
      <c r="A37" s="15" t="s">
        <v>32</v>
      </c>
      <c r="B37" s="12" t="s">
        <v>29</v>
      </c>
      <c r="C37" s="12" t="s">
        <v>29</v>
      </c>
      <c r="D37" s="6">
        <f t="shared" si="0"/>
        <v>1</v>
      </c>
      <c r="E37" s="6">
        <v>10</v>
      </c>
      <c r="F37" s="6">
        <f>VLOOKUP($E37,Sheet3!$B$3:$D$54,2,0)</f>
        <v>3</v>
      </c>
      <c r="G37" s="6">
        <f>VLOOKUP($E37,Sheet3!$B$3:$G$54,3,0)</f>
        <v>0</v>
      </c>
      <c r="H37" s="5">
        <f>VLOOKUP($A37,Sheet3!$I$3:$J$38,2,0)</f>
        <v>27.57</v>
      </c>
      <c r="I37" s="6">
        <f>VLOOKUP($E37,Sheet3!$B$3:$G$54,5,0)</f>
        <v>172223</v>
      </c>
      <c r="J37" s="5">
        <f>VLOOKUP($E37,Sheet3!$B$3:$G$54,4,0)</f>
        <v>3.15</v>
      </c>
      <c r="K37" s="5">
        <f>VLOOKUP($E37,Sheet3!$B$3:$G$54,6,0)</f>
        <v>1.9</v>
      </c>
      <c r="L37" s="6">
        <v>2070</v>
      </c>
      <c r="M37" s="6">
        <v>3060</v>
      </c>
      <c r="N37" s="6">
        <v>9</v>
      </c>
      <c r="O37" s="14">
        <f t="shared" si="1"/>
        <v>1.4782608695652173</v>
      </c>
    </row>
    <row r="38" spans="1:15" x14ac:dyDescent="0.3">
      <c r="A38" s="15" t="s">
        <v>32</v>
      </c>
      <c r="B38" s="12" t="s">
        <v>29</v>
      </c>
      <c r="C38" s="12" t="s">
        <v>29</v>
      </c>
      <c r="D38" s="6">
        <f t="shared" si="0"/>
        <v>1</v>
      </c>
      <c r="E38" s="6">
        <v>11</v>
      </c>
      <c r="F38" s="6">
        <f>VLOOKUP($E38,Sheet3!$B$3:$D$54,2,0)</f>
        <v>3</v>
      </c>
      <c r="G38" s="6">
        <f>VLOOKUP($E38,Sheet3!$B$3:$G$54,3,0)</f>
        <v>0</v>
      </c>
      <c r="H38" s="5">
        <f>VLOOKUP($A38,Sheet3!$I$3:$J$38,2,0)</f>
        <v>27.57</v>
      </c>
      <c r="I38" s="6">
        <f>VLOOKUP($E38,Sheet3!$B$3:$G$54,5,0)</f>
        <v>172223</v>
      </c>
      <c r="J38" s="5">
        <f>VLOOKUP($E38,Sheet3!$B$3:$G$54,4,0)</f>
        <v>2.9</v>
      </c>
      <c r="K38" s="5">
        <f>VLOOKUP($E38,Sheet3!$B$3:$G$54,6,0)</f>
        <v>1.9</v>
      </c>
      <c r="L38" s="6">
        <v>2160</v>
      </c>
      <c r="M38" s="6">
        <v>2880</v>
      </c>
      <c r="N38" s="6">
        <v>10</v>
      </c>
      <c r="O38" s="14">
        <f t="shared" si="1"/>
        <v>1.3333333333333333</v>
      </c>
    </row>
    <row r="39" spans="1:15" x14ac:dyDescent="0.3">
      <c r="A39" s="15" t="s">
        <v>32</v>
      </c>
      <c r="B39" s="12" t="s">
        <v>29</v>
      </c>
      <c r="C39" s="12" t="s">
        <v>29</v>
      </c>
      <c r="D39" s="6">
        <f t="shared" si="0"/>
        <v>1</v>
      </c>
      <c r="E39" s="6">
        <v>12</v>
      </c>
      <c r="F39" s="6">
        <f>VLOOKUP($E39,Sheet3!$B$3:$D$54,2,0)</f>
        <v>3</v>
      </c>
      <c r="G39" s="6">
        <f>VLOOKUP($E39,Sheet3!$B$3:$G$54,3,0)</f>
        <v>0</v>
      </c>
      <c r="H39" s="5">
        <f>VLOOKUP($A39,Sheet3!$I$3:$J$38,2,0)</f>
        <v>27.57</v>
      </c>
      <c r="I39" s="6">
        <f>VLOOKUP($E39,Sheet3!$B$3:$G$54,5,0)</f>
        <v>172223</v>
      </c>
      <c r="J39" s="5">
        <f>VLOOKUP($E39,Sheet3!$B$3:$G$54,4,0)</f>
        <v>2.9</v>
      </c>
      <c r="K39" s="5">
        <f>VLOOKUP($E39,Sheet3!$B$3:$G$54,6,0)</f>
        <v>1.9</v>
      </c>
      <c r="L39" s="6">
        <v>2160</v>
      </c>
      <c r="M39" s="6">
        <v>3780</v>
      </c>
      <c r="N39" s="6">
        <v>11</v>
      </c>
      <c r="O39" s="14">
        <f t="shared" si="1"/>
        <v>1.75</v>
      </c>
    </row>
    <row r="40" spans="1:15" x14ac:dyDescent="0.3">
      <c r="A40" s="15" t="s">
        <v>32</v>
      </c>
      <c r="B40" s="12" t="s">
        <v>29</v>
      </c>
      <c r="C40" s="12" t="s">
        <v>29</v>
      </c>
      <c r="D40" s="6">
        <f t="shared" si="0"/>
        <v>1</v>
      </c>
      <c r="E40" s="6">
        <v>13</v>
      </c>
      <c r="F40" s="6">
        <f>VLOOKUP($E40,Sheet3!$B$3:$D$54,2,0)</f>
        <v>3</v>
      </c>
      <c r="G40" s="6">
        <f>VLOOKUP($E40,Sheet3!$B$3:$G$54,3,0)</f>
        <v>0</v>
      </c>
      <c r="H40" s="5">
        <f>VLOOKUP($A40,Sheet3!$I$3:$J$38,2,0)</f>
        <v>27.57</v>
      </c>
      <c r="I40" s="6">
        <f>VLOOKUP($E40,Sheet3!$B$3:$G$54,5,0)</f>
        <v>172223</v>
      </c>
      <c r="J40" s="5">
        <f>VLOOKUP($E40,Sheet3!$B$3:$G$54,4,0)</f>
        <v>2.9</v>
      </c>
      <c r="K40" s="5">
        <f>VLOOKUP($E40,Sheet3!$B$3:$G$54,6,0)</f>
        <v>1.9</v>
      </c>
      <c r="L40" s="6">
        <v>2160</v>
      </c>
      <c r="M40" s="6">
        <v>3780</v>
      </c>
      <c r="N40" s="6">
        <v>12</v>
      </c>
      <c r="O40" s="14">
        <f t="shared" si="1"/>
        <v>1.75</v>
      </c>
    </row>
    <row r="41" spans="1:15" x14ac:dyDescent="0.3">
      <c r="A41" s="15" t="s">
        <v>32</v>
      </c>
      <c r="B41" s="12" t="s">
        <v>29</v>
      </c>
      <c r="C41" s="12" t="s">
        <v>29</v>
      </c>
      <c r="D41" s="6">
        <f t="shared" si="0"/>
        <v>1</v>
      </c>
      <c r="E41" s="6">
        <v>14</v>
      </c>
      <c r="F41" s="6">
        <f>VLOOKUP($E41,Sheet3!$B$3:$D$54,2,0)</f>
        <v>3</v>
      </c>
      <c r="G41" s="6">
        <f>VLOOKUP($E41,Sheet3!$B$3:$G$54,3,0)</f>
        <v>0</v>
      </c>
      <c r="H41" s="5">
        <f>VLOOKUP($A41,Sheet3!$I$3:$J$38,2,0)</f>
        <v>27.57</v>
      </c>
      <c r="I41" s="6">
        <f>VLOOKUP($E41,Sheet3!$B$3:$G$54,5,0)</f>
        <v>172223</v>
      </c>
      <c r="J41" s="5">
        <f>VLOOKUP($E41,Sheet3!$B$3:$G$54,4,0)</f>
        <v>2.9</v>
      </c>
      <c r="K41" s="5">
        <f>VLOOKUP($E41,Sheet3!$B$3:$G$54,6,0)</f>
        <v>1.9</v>
      </c>
      <c r="L41" s="6">
        <v>1620</v>
      </c>
      <c r="M41" s="6">
        <v>2790</v>
      </c>
      <c r="N41" s="6">
        <v>13</v>
      </c>
      <c r="O41" s="14">
        <f t="shared" si="1"/>
        <v>1.7222222222222223</v>
      </c>
    </row>
    <row r="42" spans="1:15" x14ac:dyDescent="0.3">
      <c r="A42" s="15" t="s">
        <v>32</v>
      </c>
      <c r="B42" s="12" t="s">
        <v>29</v>
      </c>
      <c r="C42" s="12" t="s">
        <v>29</v>
      </c>
      <c r="D42" s="6">
        <f t="shared" si="0"/>
        <v>5</v>
      </c>
      <c r="E42" s="6">
        <v>15</v>
      </c>
      <c r="F42" s="6">
        <f>VLOOKUP($E42,Sheet3!$B$3:$D$54,2,0)</f>
        <v>4</v>
      </c>
      <c r="G42" s="6">
        <f>VLOOKUP($E42,Sheet3!$B$3:$G$54,3,0)</f>
        <v>0</v>
      </c>
      <c r="H42" s="5">
        <f>VLOOKUP($A42,Sheet3!$I$3:$J$38,2,0)</f>
        <v>27.57</v>
      </c>
      <c r="I42" s="6">
        <f>VLOOKUP($E42,Sheet3!$B$3:$G$54,5,0)</f>
        <v>139084</v>
      </c>
      <c r="J42" s="5">
        <f>VLOOKUP($E42,Sheet3!$B$3:$G$54,4,0)</f>
        <v>2.9</v>
      </c>
      <c r="K42" s="5">
        <f>VLOOKUP($E42,Sheet3!$B$3:$G$54,6,0)</f>
        <v>1.9</v>
      </c>
      <c r="L42" s="6">
        <v>2430</v>
      </c>
      <c r="M42" s="6">
        <v>3240</v>
      </c>
      <c r="N42" s="6">
        <v>10</v>
      </c>
      <c r="O42" s="14">
        <f t="shared" si="1"/>
        <v>1.3333333333333333</v>
      </c>
    </row>
    <row r="43" spans="1:15" x14ac:dyDescent="0.3">
      <c r="A43" s="15" t="s">
        <v>32</v>
      </c>
      <c r="B43" s="12" t="s">
        <v>29</v>
      </c>
      <c r="C43" s="12" t="s">
        <v>29</v>
      </c>
      <c r="D43" s="6">
        <f t="shared" si="0"/>
        <v>5</v>
      </c>
      <c r="E43" s="6">
        <v>16</v>
      </c>
      <c r="F43" s="6">
        <f>VLOOKUP($E43,Sheet3!$B$3:$D$54,2,0)</f>
        <v>4</v>
      </c>
      <c r="G43" s="6">
        <f>VLOOKUP($E43,Sheet3!$B$3:$G$54,3,0)</f>
        <v>0</v>
      </c>
      <c r="H43" s="5">
        <f>VLOOKUP($A43,Sheet3!$I$3:$J$38,2,0)</f>
        <v>27.57</v>
      </c>
      <c r="I43" s="6">
        <f>VLOOKUP($E43,Sheet3!$B$3:$G$54,5,0)</f>
        <v>139084</v>
      </c>
      <c r="J43" s="5">
        <f>VLOOKUP($E43,Sheet3!$B$3:$G$54,4,0)</f>
        <v>2.9</v>
      </c>
      <c r="K43" s="5">
        <f>VLOOKUP($E43,Sheet3!$B$3:$G$54,6,0)</f>
        <v>1.9</v>
      </c>
      <c r="L43" s="6">
        <v>1530</v>
      </c>
      <c r="M43" s="6">
        <v>2430</v>
      </c>
      <c r="N43" s="6">
        <v>11</v>
      </c>
      <c r="O43" s="14">
        <f t="shared" si="1"/>
        <v>1.588235294117647</v>
      </c>
    </row>
    <row r="44" spans="1:15" x14ac:dyDescent="0.3">
      <c r="A44" s="15" t="s">
        <v>32</v>
      </c>
      <c r="B44" s="12" t="s">
        <v>29</v>
      </c>
      <c r="C44" s="12" t="s">
        <v>29</v>
      </c>
      <c r="D44" s="6">
        <f t="shared" si="0"/>
        <v>5</v>
      </c>
      <c r="E44" s="6">
        <v>17</v>
      </c>
      <c r="F44" s="6">
        <f>VLOOKUP($E44,Sheet3!$B$3:$D$54,2,0)</f>
        <v>4</v>
      </c>
      <c r="G44" s="6">
        <f>VLOOKUP($E44,Sheet3!$B$3:$G$54,3,0)</f>
        <v>1</v>
      </c>
      <c r="H44" s="5">
        <f>VLOOKUP($A44,Sheet3!$I$3:$J$38,2,0)</f>
        <v>27.57</v>
      </c>
      <c r="I44" s="6">
        <f>VLOOKUP($E44,Sheet3!$B$3:$G$54,5,0)</f>
        <v>139084</v>
      </c>
      <c r="J44" s="5">
        <f>VLOOKUP($E44,Sheet3!$B$3:$G$54,4,0)</f>
        <v>2.65</v>
      </c>
      <c r="K44" s="5">
        <f>VLOOKUP($E44,Sheet3!$B$3:$G$54,6,0)</f>
        <v>1.9</v>
      </c>
      <c r="L44" s="6">
        <v>0</v>
      </c>
      <c r="M44" s="6">
        <v>1800</v>
      </c>
      <c r="N44" s="6">
        <v>12</v>
      </c>
      <c r="O44" s="14" t="e">
        <f t="shared" si="1"/>
        <v>#DIV/0!</v>
      </c>
    </row>
    <row r="45" spans="1:15" x14ac:dyDescent="0.3">
      <c r="A45" s="15" t="s">
        <v>32</v>
      </c>
      <c r="B45" s="12" t="s">
        <v>29</v>
      </c>
      <c r="C45" s="12" t="s">
        <v>29</v>
      </c>
      <c r="D45" s="6">
        <f t="shared" si="0"/>
        <v>6</v>
      </c>
      <c r="E45" s="6">
        <v>18</v>
      </c>
      <c r="F45" s="6">
        <f>VLOOKUP($E45,Sheet3!$B$3:$D$54,2,0)</f>
        <v>4</v>
      </c>
      <c r="G45" s="6">
        <f>VLOOKUP($E45,Sheet3!$B$3:$G$54,3,0)</f>
        <v>1</v>
      </c>
      <c r="H45" s="5">
        <f>VLOOKUP($A45,Sheet3!$I$3:$J$38,2,0)</f>
        <v>27.57</v>
      </c>
      <c r="I45" s="6">
        <f>VLOOKUP($E45,Sheet3!$B$3:$G$54,5,0)</f>
        <v>139084</v>
      </c>
      <c r="J45" s="5">
        <f>VLOOKUP($E45,Sheet3!$B$3:$G$54,4,0)</f>
        <v>2.65</v>
      </c>
      <c r="K45" s="5">
        <f>VLOOKUP($E45,Sheet3!$B$3:$G$54,6,0)</f>
        <v>1.9</v>
      </c>
      <c r="L45" s="6">
        <v>1890</v>
      </c>
      <c r="M45" s="6">
        <v>2160</v>
      </c>
      <c r="N45" s="6">
        <v>12</v>
      </c>
      <c r="O45" s="14">
        <f t="shared" si="1"/>
        <v>1.1428571428571428</v>
      </c>
    </row>
    <row r="46" spans="1:15" x14ac:dyDescent="0.3">
      <c r="A46" s="15" t="s">
        <v>32</v>
      </c>
      <c r="B46" s="12" t="s">
        <v>29</v>
      </c>
      <c r="C46" s="12" t="s">
        <v>29</v>
      </c>
      <c r="D46" s="6">
        <f t="shared" si="0"/>
        <v>7</v>
      </c>
      <c r="E46" s="6">
        <v>19</v>
      </c>
      <c r="F46" s="6">
        <f>VLOOKUP($E46,Sheet3!$B$3:$D$54,2,0)</f>
        <v>5</v>
      </c>
      <c r="G46" s="6">
        <f>VLOOKUP($E46,Sheet3!$B$3:$G$54,3,0)</f>
        <v>0</v>
      </c>
      <c r="H46" s="5">
        <f>VLOOKUP($A46,Sheet3!$I$3:$J$38,2,0)</f>
        <v>27.57</v>
      </c>
      <c r="I46" s="6">
        <f>VLOOKUP($E46,Sheet3!$B$3:$G$54,5,0)</f>
        <v>139390</v>
      </c>
      <c r="J46" s="5">
        <f>VLOOKUP($E46,Sheet3!$B$3:$G$54,4,0)</f>
        <v>2.65</v>
      </c>
      <c r="K46" s="5">
        <f>VLOOKUP($E46,Sheet3!$B$3:$G$54,6,0)</f>
        <v>1.6</v>
      </c>
      <c r="L46" s="6">
        <v>2790</v>
      </c>
      <c r="M46" s="6">
        <v>2790</v>
      </c>
      <c r="N46" s="6">
        <v>12</v>
      </c>
      <c r="O46" s="14">
        <f t="shared" si="1"/>
        <v>1</v>
      </c>
    </row>
    <row r="47" spans="1:15" x14ac:dyDescent="0.3">
      <c r="A47" s="15" t="s">
        <v>32</v>
      </c>
      <c r="B47" s="12" t="s">
        <v>29</v>
      </c>
      <c r="C47" s="12" t="s">
        <v>29</v>
      </c>
      <c r="D47" s="6">
        <f t="shared" si="0"/>
        <v>7</v>
      </c>
      <c r="E47" s="6">
        <v>20</v>
      </c>
      <c r="F47" s="6">
        <f>VLOOKUP($E47,Sheet3!$B$3:$D$54,2,0)</f>
        <v>5</v>
      </c>
      <c r="G47" s="6">
        <f>VLOOKUP($E47,Sheet3!$B$3:$G$54,3,0)</f>
        <v>0</v>
      </c>
      <c r="H47" s="5">
        <f>VLOOKUP($A47,Sheet3!$I$3:$J$38,2,0)</f>
        <v>27.57</v>
      </c>
      <c r="I47" s="6">
        <f>VLOOKUP($E47,Sheet3!$B$3:$G$54,5,0)</f>
        <v>139390</v>
      </c>
      <c r="J47" s="5">
        <f>VLOOKUP($E47,Sheet3!$B$3:$G$54,4,0)</f>
        <v>2.65</v>
      </c>
      <c r="K47" s="5">
        <f>VLOOKUP($E47,Sheet3!$B$3:$G$54,6,0)</f>
        <v>1.6</v>
      </c>
      <c r="L47" s="6">
        <v>1080</v>
      </c>
      <c r="M47" s="6">
        <v>3330</v>
      </c>
      <c r="N47" s="6">
        <v>13</v>
      </c>
      <c r="O47" s="14">
        <f t="shared" si="1"/>
        <v>3.0833333333333335</v>
      </c>
    </row>
    <row r="48" spans="1:15" x14ac:dyDescent="0.3">
      <c r="A48" s="15" t="s">
        <v>32</v>
      </c>
      <c r="B48" s="12" t="s">
        <v>29</v>
      </c>
      <c r="C48" s="12" t="s">
        <v>29</v>
      </c>
      <c r="D48" s="6">
        <f t="shared" si="0"/>
        <v>7</v>
      </c>
      <c r="E48" s="6">
        <v>21</v>
      </c>
      <c r="F48" s="6">
        <f>VLOOKUP($E48,Sheet3!$B$3:$D$54,2,0)</f>
        <v>5</v>
      </c>
      <c r="G48" s="6">
        <f>VLOOKUP($E48,Sheet3!$B$3:$G$54,3,0)</f>
        <v>0</v>
      </c>
      <c r="H48" s="5">
        <f>VLOOKUP($A48,Sheet3!$I$3:$J$38,2,0)</f>
        <v>27.57</v>
      </c>
      <c r="I48" s="6">
        <f>VLOOKUP($E48,Sheet3!$B$3:$G$54,5,0)</f>
        <v>139390</v>
      </c>
      <c r="J48" s="5">
        <f>VLOOKUP($E48,Sheet3!$B$3:$G$54,4,0)</f>
        <v>2.65</v>
      </c>
      <c r="K48" s="5">
        <f>VLOOKUP($E48,Sheet3!$B$3:$G$54,6,0)</f>
        <v>1.6</v>
      </c>
      <c r="L48" s="6">
        <v>2520</v>
      </c>
      <c r="M48" s="6">
        <v>3420</v>
      </c>
      <c r="N48" s="6">
        <v>14</v>
      </c>
      <c r="O48" s="14">
        <f t="shared" si="1"/>
        <v>1.3571428571428572</v>
      </c>
    </row>
    <row r="49" spans="1:15" x14ac:dyDescent="0.3">
      <c r="A49" s="15" t="s">
        <v>32</v>
      </c>
      <c r="B49" s="12" t="s">
        <v>29</v>
      </c>
      <c r="C49" s="12" t="s">
        <v>29</v>
      </c>
      <c r="D49" s="6">
        <f t="shared" si="0"/>
        <v>7</v>
      </c>
      <c r="E49" s="6">
        <v>22</v>
      </c>
      <c r="F49" s="6">
        <f>VLOOKUP($E49,Sheet3!$B$3:$D$54,2,0)</f>
        <v>5</v>
      </c>
      <c r="G49" s="6">
        <f>VLOOKUP($E49,Sheet3!$B$3:$G$54,3,0)</f>
        <v>0</v>
      </c>
      <c r="H49" s="5">
        <f>VLOOKUP($A49,Sheet3!$I$3:$J$38,2,0)</f>
        <v>27.57</v>
      </c>
      <c r="I49" s="6">
        <f>VLOOKUP($E49,Sheet3!$B$3:$G$54,5,0)</f>
        <v>139390</v>
      </c>
      <c r="J49" s="5">
        <f>VLOOKUP($E49,Sheet3!$B$3:$G$54,4,0)</f>
        <v>2.65</v>
      </c>
      <c r="K49" s="5">
        <f>VLOOKUP($E49,Sheet3!$B$3:$G$54,6,0)</f>
        <v>1.6</v>
      </c>
      <c r="L49" s="6">
        <v>2430</v>
      </c>
      <c r="M49" s="6">
        <v>3420</v>
      </c>
      <c r="N49" s="6">
        <v>15</v>
      </c>
      <c r="O49" s="14">
        <f t="shared" si="1"/>
        <v>1.4074074074074074</v>
      </c>
    </row>
    <row r="50" spans="1:15" x14ac:dyDescent="0.3">
      <c r="A50" s="15" t="s">
        <v>32</v>
      </c>
      <c r="B50" s="12" t="s">
        <v>29</v>
      </c>
      <c r="C50" s="12" t="s">
        <v>29</v>
      </c>
      <c r="D50" s="6">
        <f t="shared" si="0"/>
        <v>11</v>
      </c>
      <c r="E50" s="6">
        <v>23</v>
      </c>
      <c r="F50" s="6">
        <f>VLOOKUP($E50,Sheet3!$B$3:$D$54,2,0)</f>
        <v>5</v>
      </c>
      <c r="G50" s="6">
        <f>VLOOKUP($E50,Sheet3!$B$3:$G$54,3,0)</f>
        <v>1</v>
      </c>
      <c r="H50" s="5">
        <f>VLOOKUP($A50,Sheet3!$I$3:$J$38,2,0)</f>
        <v>27.57</v>
      </c>
      <c r="I50" s="6">
        <f>VLOOKUP($E50,Sheet3!$B$3:$G$54,5,0)</f>
        <v>139390</v>
      </c>
      <c r="J50" s="5">
        <f>VLOOKUP($E50,Sheet3!$B$3:$G$54,4,0)</f>
        <v>2.4</v>
      </c>
      <c r="K50" s="5">
        <f>VLOOKUP($E50,Sheet3!$B$3:$G$54,6,0)</f>
        <v>1.6</v>
      </c>
      <c r="L50" s="6">
        <v>1440</v>
      </c>
      <c r="M50" s="6">
        <v>3060</v>
      </c>
      <c r="N50" s="6">
        <v>12</v>
      </c>
      <c r="O50" s="14">
        <f t="shared" si="1"/>
        <v>2.125</v>
      </c>
    </row>
    <row r="51" spans="1:15" x14ac:dyDescent="0.3">
      <c r="A51" s="15" t="s">
        <v>32</v>
      </c>
      <c r="B51" s="12" t="s">
        <v>29</v>
      </c>
      <c r="C51" s="12" t="s">
        <v>29</v>
      </c>
      <c r="D51" s="6">
        <f t="shared" si="0"/>
        <v>11</v>
      </c>
      <c r="E51" s="6">
        <v>24</v>
      </c>
      <c r="F51" s="6">
        <f>VLOOKUP($E51,Sheet3!$B$3:$D$54,2,0)</f>
        <v>6</v>
      </c>
      <c r="G51" s="6">
        <f>VLOOKUP($E51,Sheet3!$B$3:$G$54,3,0)</f>
        <v>0</v>
      </c>
      <c r="H51" s="5">
        <f>VLOOKUP($A51,Sheet3!$I$3:$J$38,2,0)</f>
        <v>27.57</v>
      </c>
      <c r="I51" s="6">
        <f>VLOOKUP($E51,Sheet3!$B$3:$G$54,5,0)</f>
        <v>132191</v>
      </c>
      <c r="J51" s="5">
        <f>VLOOKUP($E51,Sheet3!$B$3:$G$54,4,0)</f>
        <v>2.4</v>
      </c>
      <c r="K51" s="5">
        <f>VLOOKUP($E51,Sheet3!$B$3:$G$54,6,0)</f>
        <v>1.7</v>
      </c>
      <c r="L51" s="6">
        <v>2520</v>
      </c>
      <c r="M51" s="6">
        <v>2880</v>
      </c>
      <c r="N51" s="6">
        <v>13</v>
      </c>
      <c r="O51" s="14">
        <f t="shared" si="1"/>
        <v>1.1428571428571428</v>
      </c>
    </row>
    <row r="52" spans="1:15" x14ac:dyDescent="0.3">
      <c r="A52" s="15" t="s">
        <v>32</v>
      </c>
      <c r="B52" s="12" t="s">
        <v>29</v>
      </c>
      <c r="C52" s="12" t="s">
        <v>29</v>
      </c>
      <c r="D52" s="6">
        <f t="shared" si="0"/>
        <v>11</v>
      </c>
      <c r="E52" s="6">
        <v>25</v>
      </c>
      <c r="F52" s="6">
        <f>VLOOKUP($E52,Sheet3!$B$3:$D$54,2,0)</f>
        <v>6</v>
      </c>
      <c r="G52" s="6">
        <f>VLOOKUP($E52,Sheet3!$B$3:$G$54,3,0)</f>
        <v>0</v>
      </c>
      <c r="H52" s="5">
        <f>VLOOKUP($A52,Sheet3!$I$3:$J$38,2,0)</f>
        <v>27.57</v>
      </c>
      <c r="I52" s="6">
        <f>VLOOKUP($E52,Sheet3!$B$3:$G$54,5,0)</f>
        <v>132191</v>
      </c>
      <c r="J52" s="5">
        <f>VLOOKUP($E52,Sheet3!$B$3:$G$54,4,0)</f>
        <v>2.4</v>
      </c>
      <c r="K52" s="5">
        <f>VLOOKUP($E52,Sheet3!$B$3:$G$54,6,0)</f>
        <v>1.7</v>
      </c>
      <c r="L52" s="6">
        <v>2520</v>
      </c>
      <c r="M52" s="6">
        <v>3510</v>
      </c>
      <c r="N52" s="6">
        <v>14</v>
      </c>
      <c r="O52" s="14">
        <f t="shared" si="1"/>
        <v>1.3928571428571428</v>
      </c>
    </row>
    <row r="53" spans="1:15" x14ac:dyDescent="0.3">
      <c r="A53" s="15" t="s">
        <v>32</v>
      </c>
      <c r="B53" s="12" t="s">
        <v>29</v>
      </c>
      <c r="C53" s="12" t="s">
        <v>29</v>
      </c>
      <c r="D53" s="6">
        <f t="shared" si="0"/>
        <v>11</v>
      </c>
      <c r="E53" s="6">
        <v>26</v>
      </c>
      <c r="F53" s="6">
        <f>VLOOKUP($E53,Sheet3!$B$3:$D$54,2,0)</f>
        <v>6</v>
      </c>
      <c r="G53" s="6">
        <f>VLOOKUP($E53,Sheet3!$B$3:$G$54,3,0)</f>
        <v>0</v>
      </c>
      <c r="H53" s="5">
        <f>VLOOKUP($A53,Sheet3!$I$3:$J$38,2,0)</f>
        <v>27.57</v>
      </c>
      <c r="I53" s="6">
        <f>VLOOKUP($E53,Sheet3!$B$3:$G$54,5,0)</f>
        <v>132191</v>
      </c>
      <c r="J53" s="5">
        <f>VLOOKUP($E53,Sheet3!$B$3:$G$54,4,0)</f>
        <v>2.4</v>
      </c>
      <c r="K53" s="5">
        <f>VLOOKUP($E53,Sheet3!$B$3:$G$54,6,0)</f>
        <v>1.7</v>
      </c>
      <c r="L53" s="6">
        <v>2430</v>
      </c>
      <c r="M53" s="6">
        <v>1980</v>
      </c>
      <c r="N53" s="6">
        <v>15</v>
      </c>
      <c r="O53" s="14">
        <f t="shared" si="1"/>
        <v>0.81481481481481477</v>
      </c>
    </row>
    <row r="54" spans="1:15" x14ac:dyDescent="0.3">
      <c r="A54" s="15" t="s">
        <v>31</v>
      </c>
      <c r="B54" s="12" t="s">
        <v>29</v>
      </c>
      <c r="C54" s="12" t="s">
        <v>29</v>
      </c>
      <c r="D54" s="6">
        <f t="shared" si="0"/>
        <v>12</v>
      </c>
      <c r="E54" s="6">
        <v>27</v>
      </c>
      <c r="F54" s="6">
        <f>VLOOKUP($E54,Sheet3!$B$3:$D$54,2,0)</f>
        <v>7</v>
      </c>
      <c r="G54" s="6">
        <f>VLOOKUP($E54,Sheet3!$B$3:$G$54,3,0)</f>
        <v>0</v>
      </c>
      <c r="H54" s="5">
        <f>VLOOKUP($A54,Sheet3!$I$3:$J$38,2,0)</f>
        <v>23.37</v>
      </c>
      <c r="I54" s="6">
        <f>VLOOKUP($E54,Sheet3!$B$3:$G$54,5,0)</f>
        <v>124806</v>
      </c>
      <c r="J54" s="5">
        <f>VLOOKUP($E54,Sheet3!$B$3:$G$54,4,0)</f>
        <v>4.5</v>
      </c>
      <c r="K54" s="5">
        <f>VLOOKUP($E54,Sheet3!$B$3:$G$54,6,0)</f>
        <v>1.3</v>
      </c>
      <c r="L54" s="6">
        <v>4770</v>
      </c>
      <c r="M54" s="6">
        <v>1620</v>
      </c>
      <c r="N54" s="6">
        <v>15</v>
      </c>
      <c r="O54" s="14">
        <f t="shared" si="1"/>
        <v>0.33962264150943394</v>
      </c>
    </row>
    <row r="55" spans="1:15" x14ac:dyDescent="0.3">
      <c r="A55" s="15" t="s">
        <v>31</v>
      </c>
      <c r="B55" s="12" t="s">
        <v>29</v>
      </c>
      <c r="C55" s="12" t="s">
        <v>29</v>
      </c>
      <c r="D55" s="6">
        <f t="shared" si="0"/>
        <v>12</v>
      </c>
      <c r="E55" s="6">
        <v>28</v>
      </c>
      <c r="F55" s="6">
        <f>VLOOKUP($E55,Sheet3!$B$3:$D$54,2,0)</f>
        <v>7</v>
      </c>
      <c r="G55" s="6">
        <f>VLOOKUP($E55,Sheet3!$B$3:$G$54,3,0)</f>
        <v>0</v>
      </c>
      <c r="H55" s="5">
        <f>VLOOKUP($A55,Sheet3!$I$3:$J$38,2,0)</f>
        <v>23.37</v>
      </c>
      <c r="I55" s="6">
        <f>VLOOKUP($E55,Sheet3!$B$3:$G$54,5,0)</f>
        <v>124806</v>
      </c>
      <c r="J55" s="5">
        <f>VLOOKUP($E55,Sheet3!$B$3:$G$54,4,0)</f>
        <v>4.5</v>
      </c>
      <c r="K55" s="5">
        <f>VLOOKUP($E55,Sheet3!$B$3:$G$54,6,0)</f>
        <v>1.3</v>
      </c>
      <c r="L55" s="6">
        <v>4770</v>
      </c>
      <c r="M55" s="6">
        <v>2070</v>
      </c>
      <c r="N55" s="6">
        <v>16</v>
      </c>
      <c r="O55" s="14">
        <f t="shared" si="1"/>
        <v>0.43396226415094341</v>
      </c>
    </row>
    <row r="56" spans="1:15" x14ac:dyDescent="0.3">
      <c r="A56" s="15" t="s">
        <v>31</v>
      </c>
      <c r="B56" s="12" t="s">
        <v>29</v>
      </c>
      <c r="C56" s="12" t="s">
        <v>29</v>
      </c>
      <c r="D56" s="6">
        <f t="shared" si="0"/>
        <v>12</v>
      </c>
      <c r="E56" s="6">
        <v>29</v>
      </c>
      <c r="F56" s="6">
        <f>VLOOKUP($E56,Sheet3!$B$3:$D$54,2,0)</f>
        <v>7</v>
      </c>
      <c r="G56" s="6">
        <f>VLOOKUP($E56,Sheet3!$B$3:$G$54,3,0)</f>
        <v>0</v>
      </c>
      <c r="H56" s="5">
        <f>VLOOKUP($A56,Sheet3!$I$3:$J$38,2,0)</f>
        <v>23.37</v>
      </c>
      <c r="I56" s="6">
        <f>VLOOKUP($E56,Sheet3!$B$3:$G$54,5,0)</f>
        <v>124806</v>
      </c>
      <c r="J56" s="5">
        <f>VLOOKUP($E56,Sheet3!$B$3:$G$54,4,0)</f>
        <v>4.5</v>
      </c>
      <c r="K56" s="5">
        <f>VLOOKUP($E56,Sheet3!$B$3:$G$54,6,0)</f>
        <v>1.3</v>
      </c>
      <c r="L56" s="6">
        <v>4860</v>
      </c>
      <c r="M56" s="6">
        <v>2880</v>
      </c>
      <c r="N56" s="6">
        <v>17</v>
      </c>
      <c r="O56" s="14">
        <f t="shared" si="1"/>
        <v>0.59259259259259256</v>
      </c>
    </row>
    <row r="57" spans="1:15" x14ac:dyDescent="0.3">
      <c r="A57" s="15" t="s">
        <v>31</v>
      </c>
      <c r="B57" s="12" t="s">
        <v>29</v>
      </c>
      <c r="C57" s="12" t="s">
        <v>29</v>
      </c>
      <c r="D57" s="6">
        <f t="shared" si="0"/>
        <v>12</v>
      </c>
      <c r="E57" s="6">
        <v>30</v>
      </c>
      <c r="F57" s="6">
        <f>VLOOKUP($E57,Sheet3!$B$3:$D$54,2,0)</f>
        <v>7</v>
      </c>
      <c r="G57" s="6">
        <f>VLOOKUP($E57,Sheet3!$B$3:$G$54,3,0)</f>
        <v>0</v>
      </c>
      <c r="H57" s="5">
        <f>VLOOKUP($A57,Sheet3!$I$3:$J$38,2,0)</f>
        <v>23.37</v>
      </c>
      <c r="I57" s="6">
        <f>VLOOKUP($E57,Sheet3!$B$3:$G$54,5,0)</f>
        <v>124806</v>
      </c>
      <c r="J57" s="5">
        <f>VLOOKUP($E57,Sheet3!$B$3:$G$54,4,0)</f>
        <v>4.5</v>
      </c>
      <c r="K57" s="5">
        <f>VLOOKUP($E57,Sheet3!$B$3:$G$54,6,0)</f>
        <v>1.3</v>
      </c>
      <c r="L57" s="6">
        <v>4770</v>
      </c>
      <c r="M57" s="6">
        <v>2700</v>
      </c>
      <c r="N57" s="6">
        <v>18</v>
      </c>
      <c r="O57" s="14">
        <f t="shared" si="1"/>
        <v>0.56603773584905659</v>
      </c>
    </row>
    <row r="58" spans="1:15" x14ac:dyDescent="0.3">
      <c r="A58" s="15" t="s">
        <v>31</v>
      </c>
      <c r="B58" s="12" t="s">
        <v>29</v>
      </c>
      <c r="C58" s="12" t="s">
        <v>29</v>
      </c>
      <c r="D58" s="6">
        <f t="shared" si="0"/>
        <v>12</v>
      </c>
      <c r="E58" s="6">
        <v>31</v>
      </c>
      <c r="F58" s="6">
        <f>VLOOKUP($E58,Sheet3!$B$3:$D$54,2,0)</f>
        <v>7</v>
      </c>
      <c r="G58" s="6">
        <f>VLOOKUP($E58,Sheet3!$B$3:$G$54,3,0)</f>
        <v>0</v>
      </c>
      <c r="H58" s="5">
        <f>VLOOKUP($A58,Sheet3!$I$3:$J$38,2,0)</f>
        <v>23.37</v>
      </c>
      <c r="I58" s="6">
        <f>VLOOKUP($E58,Sheet3!$B$3:$G$54,5,0)</f>
        <v>124806</v>
      </c>
      <c r="J58" s="5">
        <f>VLOOKUP($E58,Sheet3!$B$3:$G$54,4,0)</f>
        <v>4.5</v>
      </c>
      <c r="K58" s="5">
        <f>VLOOKUP($E58,Sheet3!$B$3:$G$54,6,0)</f>
        <v>1.3</v>
      </c>
      <c r="L58" s="6">
        <v>3960</v>
      </c>
      <c r="M58" s="6">
        <v>2790</v>
      </c>
      <c r="N58" s="6">
        <v>19</v>
      </c>
      <c r="O58" s="14">
        <f t="shared" si="1"/>
        <v>0.70454545454545459</v>
      </c>
    </row>
    <row r="59" spans="1:15" x14ac:dyDescent="0.3">
      <c r="A59" s="15" t="s">
        <v>31</v>
      </c>
      <c r="B59" s="12" t="s">
        <v>29</v>
      </c>
      <c r="C59" s="12" t="s">
        <v>29</v>
      </c>
      <c r="D59" s="6">
        <f t="shared" si="0"/>
        <v>14</v>
      </c>
      <c r="E59" s="6">
        <v>32</v>
      </c>
      <c r="F59" s="6">
        <f>VLOOKUP($E59,Sheet3!$B$3:$D$54,2,0)</f>
        <v>8</v>
      </c>
      <c r="G59" s="6">
        <f>VLOOKUP($E59,Sheet3!$B$3:$G$54,3,0)</f>
        <v>1</v>
      </c>
      <c r="H59" s="5">
        <f>VLOOKUP($A59,Sheet3!$I$3:$J$38,2,0)</f>
        <v>23.37</v>
      </c>
      <c r="I59" s="6">
        <f>VLOOKUP($E59,Sheet3!$B$3:$G$54,5,0)</f>
        <v>69121</v>
      </c>
      <c r="J59" s="5">
        <f>VLOOKUP($E59,Sheet3!$B$3:$G$54,4,0)</f>
        <v>4.5</v>
      </c>
      <c r="K59" s="5">
        <f>VLOOKUP($E59,Sheet3!$B$3:$G$54,6,0)</f>
        <v>1.1000000000000001</v>
      </c>
      <c r="L59" s="6">
        <v>0</v>
      </c>
      <c r="M59" s="6">
        <v>0</v>
      </c>
      <c r="N59" s="6">
        <v>18</v>
      </c>
      <c r="O59" s="14" t="e">
        <f t="shared" si="1"/>
        <v>#DIV/0!</v>
      </c>
    </row>
    <row r="60" spans="1:15" x14ac:dyDescent="0.3">
      <c r="A60" s="15" t="s">
        <v>31</v>
      </c>
      <c r="B60" s="12" t="s">
        <v>29</v>
      </c>
      <c r="C60" s="12" t="s">
        <v>29</v>
      </c>
      <c r="D60" s="6">
        <f t="shared" si="0"/>
        <v>15</v>
      </c>
      <c r="E60" s="6">
        <v>33</v>
      </c>
      <c r="F60" s="6">
        <f>VLOOKUP($E60,Sheet3!$B$3:$D$54,2,0)</f>
        <v>8</v>
      </c>
      <c r="G60" s="6">
        <f>VLOOKUP($E60,Sheet3!$B$3:$G$54,3,0)</f>
        <v>1</v>
      </c>
      <c r="H60" s="5">
        <f>VLOOKUP($A60,Sheet3!$I$3:$J$38,2,0)</f>
        <v>23.37</v>
      </c>
      <c r="I60" s="6">
        <f>VLOOKUP($E60,Sheet3!$B$3:$G$54,5,0)</f>
        <v>69121</v>
      </c>
      <c r="J60" s="5">
        <f>VLOOKUP($E60,Sheet3!$B$3:$G$54,4,0)</f>
        <v>4.5</v>
      </c>
      <c r="K60" s="5">
        <f>VLOOKUP($E60,Sheet3!$B$3:$G$54,6,0)</f>
        <v>1.1000000000000001</v>
      </c>
      <c r="L60" s="6">
        <v>0</v>
      </c>
      <c r="M60" s="6">
        <v>0</v>
      </c>
      <c r="N60" s="6">
        <v>18</v>
      </c>
      <c r="O60" s="14" t="e">
        <f t="shared" si="1"/>
        <v>#DIV/0!</v>
      </c>
    </row>
    <row r="61" spans="1:15" x14ac:dyDescent="0.3">
      <c r="A61" s="15" t="s">
        <v>31</v>
      </c>
      <c r="B61" s="12" t="s">
        <v>29</v>
      </c>
      <c r="C61" s="12" t="s">
        <v>29</v>
      </c>
      <c r="D61" s="6">
        <f t="shared" si="0"/>
        <v>15</v>
      </c>
      <c r="E61" s="6">
        <v>34</v>
      </c>
      <c r="F61" s="6">
        <f>VLOOKUP($E61,Sheet3!$B$3:$D$54,2,0)</f>
        <v>8</v>
      </c>
      <c r="G61" s="6">
        <f>VLOOKUP($E61,Sheet3!$B$3:$G$54,3,0)</f>
        <v>0</v>
      </c>
      <c r="H61" s="5">
        <f>VLOOKUP($A61,Sheet3!$I$3:$J$38,2,0)</f>
        <v>23.37</v>
      </c>
      <c r="I61" s="6">
        <f>VLOOKUP($E61,Sheet3!$B$3:$G$54,5,0)</f>
        <v>69121</v>
      </c>
      <c r="J61" s="5">
        <f>VLOOKUP($E61,Sheet3!$B$3:$G$54,4,0)</f>
        <v>4.5</v>
      </c>
      <c r="K61" s="5">
        <f>VLOOKUP($E61,Sheet3!$B$3:$G$54,6,0)</f>
        <v>1.1000000000000001</v>
      </c>
      <c r="L61" s="6">
        <v>2880</v>
      </c>
      <c r="M61" s="6">
        <v>0</v>
      </c>
      <c r="N61" s="6">
        <v>19</v>
      </c>
      <c r="O61" s="14">
        <f t="shared" si="1"/>
        <v>0</v>
      </c>
    </row>
    <row r="62" spans="1:15" x14ac:dyDescent="0.3">
      <c r="A62" s="15" t="s">
        <v>31</v>
      </c>
      <c r="B62" s="12" t="s">
        <v>29</v>
      </c>
      <c r="C62" s="12" t="s">
        <v>29</v>
      </c>
      <c r="D62" s="6">
        <f t="shared" si="0"/>
        <v>15</v>
      </c>
      <c r="E62" s="6">
        <v>35</v>
      </c>
      <c r="F62" s="6">
        <f>VLOOKUP($E62,Sheet3!$B$3:$D$54,2,0)</f>
        <v>8</v>
      </c>
      <c r="G62" s="6">
        <f>VLOOKUP($E62,Sheet3!$B$3:$G$54,3,0)</f>
        <v>0</v>
      </c>
      <c r="H62" s="5">
        <f>VLOOKUP($A62,Sheet3!$I$3:$J$38,2,0)</f>
        <v>23.37</v>
      </c>
      <c r="I62" s="6">
        <f>VLOOKUP($E62,Sheet3!$B$3:$G$54,5,0)</f>
        <v>69121</v>
      </c>
      <c r="J62" s="5">
        <f>VLOOKUP($E62,Sheet3!$B$3:$G$54,4,0)</f>
        <v>4.5</v>
      </c>
      <c r="K62" s="5">
        <f>VLOOKUP($E62,Sheet3!$B$3:$G$54,6,0)</f>
        <v>1.1000000000000001</v>
      </c>
      <c r="L62" s="6">
        <v>3586</v>
      </c>
      <c r="M62" s="6">
        <v>3600</v>
      </c>
      <c r="N62" s="6">
        <v>20</v>
      </c>
      <c r="O62" s="14">
        <f t="shared" si="1"/>
        <v>1.0039040713887339</v>
      </c>
    </row>
    <row r="63" spans="1:15" x14ac:dyDescent="0.3">
      <c r="A63" s="15" t="s">
        <v>31</v>
      </c>
      <c r="B63" s="12" t="s">
        <v>29</v>
      </c>
      <c r="C63" s="12" t="s">
        <v>29</v>
      </c>
      <c r="D63" s="6">
        <f t="shared" si="0"/>
        <v>23</v>
      </c>
      <c r="E63" s="6">
        <v>36</v>
      </c>
      <c r="F63" s="6">
        <f>VLOOKUP($E63,Sheet3!$B$3:$D$54,2,0)</f>
        <v>9</v>
      </c>
      <c r="G63" s="6">
        <f>VLOOKUP($E63,Sheet3!$B$3:$G$54,3,0)</f>
        <v>0</v>
      </c>
      <c r="H63" s="5">
        <f>VLOOKUP($A63,Sheet3!$I$3:$J$38,2,0)</f>
        <v>23.37</v>
      </c>
      <c r="I63" s="6">
        <f>VLOOKUP($E63,Sheet3!$B$3:$G$54,5,0)</f>
        <v>121666</v>
      </c>
      <c r="J63" s="5">
        <f>VLOOKUP($E63,Sheet3!$B$3:$G$54,4,0)</f>
        <v>4.5</v>
      </c>
      <c r="K63" s="5">
        <f>VLOOKUP($E63,Sheet3!$B$3:$G$54,6,0)</f>
        <v>0.7</v>
      </c>
      <c r="L63" s="6">
        <v>4680</v>
      </c>
      <c r="M63" s="6">
        <v>3060</v>
      </c>
      <c r="N63" s="6">
        <v>13</v>
      </c>
      <c r="O63" s="14">
        <f t="shared" si="1"/>
        <v>0.65384615384615385</v>
      </c>
    </row>
    <row r="64" spans="1:15" x14ac:dyDescent="0.3">
      <c r="A64" s="15" t="s">
        <v>31</v>
      </c>
      <c r="B64" s="12" t="s">
        <v>29</v>
      </c>
      <c r="C64" s="12" t="s">
        <v>29</v>
      </c>
      <c r="D64" s="6">
        <f t="shared" si="0"/>
        <v>23</v>
      </c>
      <c r="E64" s="6">
        <v>37</v>
      </c>
      <c r="F64" s="6">
        <f>VLOOKUP($E64,Sheet3!$B$3:$D$54,2,0)</f>
        <v>9</v>
      </c>
      <c r="G64" s="6">
        <f>VLOOKUP($E64,Sheet3!$B$3:$G$54,3,0)</f>
        <v>0</v>
      </c>
      <c r="H64" s="5">
        <f>VLOOKUP($A64,Sheet3!$I$3:$J$38,2,0)</f>
        <v>23.37</v>
      </c>
      <c r="I64" s="6">
        <f>VLOOKUP($E64,Sheet3!$B$3:$G$54,5,0)</f>
        <v>121666</v>
      </c>
      <c r="J64" s="5">
        <f>VLOOKUP($E64,Sheet3!$B$3:$G$54,4,0)</f>
        <v>4.5</v>
      </c>
      <c r="K64" s="5">
        <f>VLOOKUP($E64,Sheet3!$B$3:$G$54,6,0)</f>
        <v>0.7</v>
      </c>
      <c r="L64" s="6">
        <v>4770</v>
      </c>
      <c r="M64" s="6">
        <v>2340</v>
      </c>
      <c r="N64" s="6">
        <v>14</v>
      </c>
      <c r="O64" s="14">
        <f t="shared" si="1"/>
        <v>0.49056603773584906</v>
      </c>
    </row>
    <row r="65" spans="1:15" x14ac:dyDescent="0.3">
      <c r="A65" s="15" t="s">
        <v>31</v>
      </c>
      <c r="B65" s="12" t="s">
        <v>29</v>
      </c>
      <c r="C65" s="12" t="s">
        <v>29</v>
      </c>
      <c r="D65" s="6">
        <f t="shared" si="0"/>
        <v>23</v>
      </c>
      <c r="E65" s="6">
        <v>38</v>
      </c>
      <c r="F65" s="6">
        <f>VLOOKUP($E65,Sheet3!$B$3:$D$54,2,0)</f>
        <v>9</v>
      </c>
      <c r="G65" s="6">
        <f>VLOOKUP($E65,Sheet3!$B$3:$G$54,3,0)</f>
        <v>0</v>
      </c>
      <c r="H65" s="5">
        <f>VLOOKUP($A65,Sheet3!$I$3:$J$38,2,0)</f>
        <v>23.37</v>
      </c>
      <c r="I65" s="6">
        <f>VLOOKUP($E65,Sheet3!$B$3:$G$54,5,0)</f>
        <v>121666</v>
      </c>
      <c r="J65" s="5">
        <f>VLOOKUP($E65,Sheet3!$B$3:$G$54,4,0)</f>
        <v>3.9</v>
      </c>
      <c r="K65" s="5">
        <f>VLOOKUP($E65,Sheet3!$B$3:$G$54,6,0)</f>
        <v>0.7</v>
      </c>
      <c r="L65" s="6">
        <v>3600</v>
      </c>
      <c r="M65" s="6">
        <v>3960</v>
      </c>
      <c r="N65" s="6">
        <v>15</v>
      </c>
      <c r="O65" s="14">
        <f t="shared" si="1"/>
        <v>1.1000000000000001</v>
      </c>
    </row>
    <row r="66" spans="1:15" x14ac:dyDescent="0.3">
      <c r="A66" s="15" t="s">
        <v>31</v>
      </c>
      <c r="B66" s="12" t="s">
        <v>29</v>
      </c>
      <c r="C66" s="12" t="s">
        <v>29</v>
      </c>
      <c r="D66" s="6">
        <f t="shared" ref="D66:D128" si="2">IF(E66-N66&lt;0,E66-N66+52,E66-N66)</f>
        <v>23</v>
      </c>
      <c r="E66" s="6">
        <v>39</v>
      </c>
      <c r="F66" s="6">
        <f>VLOOKUP($E66,Sheet3!$B$3:$D$54,2,0)</f>
        <v>9</v>
      </c>
      <c r="G66" s="6">
        <f>VLOOKUP($E66,Sheet3!$B$3:$G$54,3,0)</f>
        <v>0</v>
      </c>
      <c r="H66" s="5">
        <f>VLOOKUP($A66,Sheet3!$I$3:$J$38,2,0)</f>
        <v>23.37</v>
      </c>
      <c r="I66" s="6">
        <f>VLOOKUP($E66,Sheet3!$B$3:$G$54,5,0)</f>
        <v>121666</v>
      </c>
      <c r="J66" s="5">
        <f>VLOOKUP($E66,Sheet3!$B$3:$G$54,4,0)</f>
        <v>3.9</v>
      </c>
      <c r="K66" s="5">
        <f>VLOOKUP($E66,Sheet3!$B$3:$G$54,6,0)</f>
        <v>0.7</v>
      </c>
      <c r="L66" s="6">
        <v>3600</v>
      </c>
      <c r="M66" s="6">
        <v>3690</v>
      </c>
      <c r="N66" s="6">
        <v>16</v>
      </c>
      <c r="O66" s="14">
        <f t="shared" ref="O66:O128" si="3">M66/L66</f>
        <v>1.0249999999999999</v>
      </c>
    </row>
    <row r="67" spans="1:15" x14ac:dyDescent="0.3">
      <c r="A67" s="15" t="s">
        <v>31</v>
      </c>
      <c r="B67" s="12" t="s">
        <v>29</v>
      </c>
      <c r="C67" s="12" t="s">
        <v>29</v>
      </c>
      <c r="D67" s="6">
        <f t="shared" si="2"/>
        <v>27</v>
      </c>
      <c r="E67" s="6">
        <v>40</v>
      </c>
      <c r="F67" s="6">
        <f>VLOOKUP($E67,Sheet3!$B$3:$D$54,2,0)</f>
        <v>9</v>
      </c>
      <c r="G67" s="6">
        <f>VLOOKUP($E67,Sheet3!$B$3:$G$54,3,0)</f>
        <v>0</v>
      </c>
      <c r="H67" s="5">
        <f>VLOOKUP($A67,Sheet3!$I$3:$J$38,2,0)</f>
        <v>23.37</v>
      </c>
      <c r="I67" s="6">
        <f>VLOOKUP($E67,Sheet3!$B$3:$G$54,5,0)</f>
        <v>121666</v>
      </c>
      <c r="J67" s="5">
        <f>VLOOKUP($E67,Sheet3!$B$3:$G$54,4,0)</f>
        <v>3.9</v>
      </c>
      <c r="K67" s="5">
        <f>VLOOKUP($E67,Sheet3!$B$3:$G$54,6,0)</f>
        <v>0.7</v>
      </c>
      <c r="L67" s="6">
        <v>3600</v>
      </c>
      <c r="M67" s="6">
        <v>2520</v>
      </c>
      <c r="N67" s="6">
        <v>13</v>
      </c>
      <c r="O67" s="14">
        <f t="shared" si="3"/>
        <v>0.7</v>
      </c>
    </row>
    <row r="68" spans="1:15" x14ac:dyDescent="0.3">
      <c r="A68" s="15" t="s">
        <v>31</v>
      </c>
      <c r="B68" s="12" t="s">
        <v>29</v>
      </c>
      <c r="C68" s="12" t="s">
        <v>29</v>
      </c>
      <c r="D68" s="6">
        <f t="shared" si="2"/>
        <v>27</v>
      </c>
      <c r="E68" s="6">
        <v>41</v>
      </c>
      <c r="F68" s="6">
        <f>VLOOKUP($E68,Sheet3!$B$3:$D$54,2,0)</f>
        <v>10</v>
      </c>
      <c r="G68" s="6">
        <f>VLOOKUP($E68,Sheet3!$B$3:$G$54,3,0)</f>
        <v>0</v>
      </c>
      <c r="H68" s="5">
        <f>VLOOKUP($A68,Sheet3!$I$3:$J$38,2,0)</f>
        <v>23.37</v>
      </c>
      <c r="I68" s="6">
        <f>VLOOKUP($E68,Sheet3!$B$3:$G$54,5,0)</f>
        <v>126488</v>
      </c>
      <c r="J68" s="5">
        <f>VLOOKUP($E68,Sheet3!$B$3:$G$54,4,0)</f>
        <v>3.9</v>
      </c>
      <c r="K68" s="5">
        <f>VLOOKUP($E68,Sheet3!$B$3:$G$54,6,0)</f>
        <v>0.9</v>
      </c>
      <c r="L68" s="6">
        <v>3600</v>
      </c>
      <c r="M68" s="6">
        <v>1080</v>
      </c>
      <c r="N68" s="6">
        <v>14</v>
      </c>
      <c r="O68" s="14">
        <f t="shared" si="3"/>
        <v>0.3</v>
      </c>
    </row>
    <row r="69" spans="1:15" x14ac:dyDescent="0.3">
      <c r="A69" s="15" t="s">
        <v>31</v>
      </c>
      <c r="B69" s="12" t="s">
        <v>29</v>
      </c>
      <c r="C69" s="12" t="s">
        <v>29</v>
      </c>
      <c r="D69" s="6">
        <f t="shared" si="2"/>
        <v>27</v>
      </c>
      <c r="E69" s="6">
        <v>42</v>
      </c>
      <c r="F69" s="6">
        <f>VLOOKUP($E69,Sheet3!$B$3:$D$54,2,0)</f>
        <v>10</v>
      </c>
      <c r="G69" s="6">
        <f>VLOOKUP($E69,Sheet3!$B$3:$G$54,3,0)</f>
        <v>0</v>
      </c>
      <c r="H69" s="5">
        <f>VLOOKUP($A69,Sheet3!$I$3:$J$38,2,0)</f>
        <v>23.37</v>
      </c>
      <c r="I69" s="6">
        <f>VLOOKUP($E69,Sheet3!$B$3:$G$54,5,0)</f>
        <v>126488</v>
      </c>
      <c r="J69" s="5">
        <f>VLOOKUP($E69,Sheet3!$B$3:$G$54,4,0)</f>
        <v>3.9</v>
      </c>
      <c r="K69" s="5">
        <f>VLOOKUP($E69,Sheet3!$B$3:$G$54,6,0)</f>
        <v>0.9</v>
      </c>
      <c r="L69" s="6">
        <v>3600</v>
      </c>
      <c r="M69" s="6">
        <v>2250</v>
      </c>
      <c r="N69" s="6">
        <v>15</v>
      </c>
      <c r="O69" s="14">
        <f t="shared" si="3"/>
        <v>0.625</v>
      </c>
    </row>
    <row r="70" spans="1:15" x14ac:dyDescent="0.3">
      <c r="A70" s="15" t="s">
        <v>31</v>
      </c>
      <c r="B70" s="12" t="s">
        <v>29</v>
      </c>
      <c r="C70" s="12" t="s">
        <v>29</v>
      </c>
      <c r="D70" s="6">
        <f t="shared" si="2"/>
        <v>27</v>
      </c>
      <c r="E70" s="6">
        <v>43</v>
      </c>
      <c r="F70" s="6">
        <f>VLOOKUP($E70,Sheet3!$B$3:$D$54,2,0)</f>
        <v>10</v>
      </c>
      <c r="G70" s="6">
        <f>VLOOKUP($E70,Sheet3!$B$3:$G$54,3,0)</f>
        <v>0</v>
      </c>
      <c r="H70" s="5">
        <f>VLOOKUP($A70,Sheet3!$I$3:$J$38,2,0)</f>
        <v>23.37</v>
      </c>
      <c r="I70" s="6">
        <f>VLOOKUP($E70,Sheet3!$B$3:$G$54,5,0)</f>
        <v>126488</v>
      </c>
      <c r="J70" s="5">
        <f>VLOOKUP($E70,Sheet3!$B$3:$G$54,4,0)</f>
        <v>3.65</v>
      </c>
      <c r="K70" s="5">
        <f>VLOOKUP($E70,Sheet3!$B$3:$G$54,6,0)</f>
        <v>0.9</v>
      </c>
      <c r="L70" s="6">
        <v>3600</v>
      </c>
      <c r="M70" s="6">
        <v>2700</v>
      </c>
      <c r="N70" s="6">
        <v>16</v>
      </c>
      <c r="O70" s="14">
        <f t="shared" si="3"/>
        <v>0.75</v>
      </c>
    </row>
    <row r="71" spans="1:15" x14ac:dyDescent="0.3">
      <c r="A71" s="15" t="s">
        <v>31</v>
      </c>
      <c r="B71" s="12" t="s">
        <v>29</v>
      </c>
      <c r="C71" s="12" t="s">
        <v>29</v>
      </c>
      <c r="D71" s="6">
        <f t="shared" si="2"/>
        <v>27</v>
      </c>
      <c r="E71" s="6">
        <v>44</v>
      </c>
      <c r="F71" s="6">
        <f>VLOOKUP($E71,Sheet3!$B$3:$D$54,2,0)</f>
        <v>10</v>
      </c>
      <c r="G71" s="6">
        <f>VLOOKUP($E71,Sheet3!$B$3:$G$54,3,0)</f>
        <v>1</v>
      </c>
      <c r="H71" s="5">
        <f>VLOOKUP($A71,Sheet3!$I$3:$J$38,2,0)</f>
        <v>23.37</v>
      </c>
      <c r="I71" s="6">
        <f>VLOOKUP($E71,Sheet3!$B$3:$G$54,5,0)</f>
        <v>126488</v>
      </c>
      <c r="J71" s="5">
        <f>VLOOKUP($E71,Sheet3!$B$3:$G$54,4,0)</f>
        <v>3.65</v>
      </c>
      <c r="K71" s="5">
        <f>VLOOKUP($E71,Sheet3!$B$3:$G$54,6,0)</f>
        <v>0.9</v>
      </c>
      <c r="L71" s="6">
        <v>2430</v>
      </c>
      <c r="M71" s="6">
        <v>0</v>
      </c>
      <c r="N71" s="6">
        <v>17</v>
      </c>
      <c r="O71" s="14">
        <f t="shared" si="3"/>
        <v>0</v>
      </c>
    </row>
    <row r="72" spans="1:15" x14ac:dyDescent="0.3">
      <c r="A72" s="15" t="s">
        <v>31</v>
      </c>
      <c r="B72" s="12" t="s">
        <v>29</v>
      </c>
      <c r="C72" s="12" t="s">
        <v>29</v>
      </c>
      <c r="D72" s="6">
        <f t="shared" si="2"/>
        <v>36</v>
      </c>
      <c r="E72" s="6">
        <v>45</v>
      </c>
      <c r="F72" s="6">
        <f>VLOOKUP($E72,Sheet3!$B$3:$D$54,2,0)</f>
        <v>11</v>
      </c>
      <c r="G72" s="6">
        <f>VLOOKUP($E72,Sheet3!$B$3:$G$54,3,0)</f>
        <v>0</v>
      </c>
      <c r="H72" s="5">
        <f>VLOOKUP($A72,Sheet3!$I$3:$J$38,2,0)</f>
        <v>23.37</v>
      </c>
      <c r="I72" s="6">
        <f>VLOOKUP($E72,Sheet3!$B$3:$G$54,5,0)</f>
        <v>124251</v>
      </c>
      <c r="J72" s="5">
        <f>VLOOKUP($E72,Sheet3!$B$3:$G$54,4,0)</f>
        <v>3.65</v>
      </c>
      <c r="K72" s="5">
        <f>VLOOKUP($E72,Sheet3!$B$3:$G$54,6,0)</f>
        <v>1.3</v>
      </c>
      <c r="L72" s="6">
        <v>3060</v>
      </c>
      <c r="M72" s="6">
        <v>2610</v>
      </c>
      <c r="N72" s="6">
        <v>9</v>
      </c>
      <c r="O72" s="14">
        <f t="shared" si="3"/>
        <v>0.8529411764705882</v>
      </c>
    </row>
    <row r="73" spans="1:15" x14ac:dyDescent="0.3">
      <c r="A73" s="15" t="s">
        <v>31</v>
      </c>
      <c r="B73" s="12" t="s">
        <v>29</v>
      </c>
      <c r="C73" s="12" t="s">
        <v>29</v>
      </c>
      <c r="D73" s="6">
        <f t="shared" si="2"/>
        <v>36</v>
      </c>
      <c r="E73" s="6">
        <v>46</v>
      </c>
      <c r="F73" s="6">
        <f>VLOOKUP($E73,Sheet3!$B$3:$D$54,2,0)</f>
        <v>11</v>
      </c>
      <c r="G73" s="6">
        <f>VLOOKUP($E73,Sheet3!$B$3:$G$54,3,0)</f>
        <v>0</v>
      </c>
      <c r="H73" s="5">
        <f>VLOOKUP($A73,Sheet3!$I$3:$J$38,2,0)</f>
        <v>23.37</v>
      </c>
      <c r="I73" s="6">
        <f>VLOOKUP($E73,Sheet3!$B$3:$G$54,5,0)</f>
        <v>124251</v>
      </c>
      <c r="J73" s="5">
        <f>VLOOKUP($E73,Sheet3!$B$3:$G$54,4,0)</f>
        <v>3.65</v>
      </c>
      <c r="K73" s="5">
        <f>VLOOKUP($E73,Sheet3!$B$3:$G$54,6,0)</f>
        <v>1.3</v>
      </c>
      <c r="L73" s="6">
        <v>3060</v>
      </c>
      <c r="M73" s="6">
        <v>2970</v>
      </c>
      <c r="N73" s="6">
        <v>10</v>
      </c>
      <c r="O73" s="14">
        <f t="shared" si="3"/>
        <v>0.97058823529411764</v>
      </c>
    </row>
    <row r="74" spans="1:15" x14ac:dyDescent="0.3">
      <c r="A74" s="15" t="s">
        <v>31</v>
      </c>
      <c r="B74" s="12" t="s">
        <v>29</v>
      </c>
      <c r="C74" s="12" t="s">
        <v>29</v>
      </c>
      <c r="D74" s="6">
        <f t="shared" si="2"/>
        <v>36</v>
      </c>
      <c r="E74" s="6">
        <v>47</v>
      </c>
      <c r="F74" s="6">
        <f>VLOOKUP($E74,Sheet3!$B$3:$D$54,2,0)</f>
        <v>11</v>
      </c>
      <c r="G74" s="6">
        <f>VLOOKUP($E74,Sheet3!$B$3:$G$54,3,0)</f>
        <v>0</v>
      </c>
      <c r="H74" s="5">
        <f>VLOOKUP($A74,Sheet3!$I$3:$J$38,2,0)</f>
        <v>23.37</v>
      </c>
      <c r="I74" s="6">
        <f>VLOOKUP($E74,Sheet3!$B$3:$G$54,5,0)</f>
        <v>124251</v>
      </c>
      <c r="J74" s="5">
        <f>VLOOKUP($E74,Sheet3!$B$3:$G$54,4,0)</f>
        <v>3.65</v>
      </c>
      <c r="K74" s="5">
        <f>VLOOKUP($E74,Sheet3!$B$3:$G$54,6,0)</f>
        <v>1.3</v>
      </c>
      <c r="L74" s="6">
        <v>3060</v>
      </c>
      <c r="M74" s="6">
        <v>3150</v>
      </c>
      <c r="N74" s="6">
        <v>11</v>
      </c>
      <c r="O74" s="14">
        <f t="shared" si="3"/>
        <v>1.0294117647058822</v>
      </c>
    </row>
    <row r="75" spans="1:15" x14ac:dyDescent="0.3">
      <c r="A75" s="15" t="s">
        <v>31</v>
      </c>
      <c r="B75" s="12" t="s">
        <v>29</v>
      </c>
      <c r="C75" s="12" t="s">
        <v>29</v>
      </c>
      <c r="D75" s="6">
        <f t="shared" si="2"/>
        <v>36</v>
      </c>
      <c r="E75" s="6">
        <v>48</v>
      </c>
      <c r="F75" s="6">
        <f>VLOOKUP($E75,Sheet3!$B$3:$D$54,2,0)</f>
        <v>11</v>
      </c>
      <c r="G75" s="6">
        <f>VLOOKUP($E75,Sheet3!$B$3:$G$54,3,0)</f>
        <v>0</v>
      </c>
      <c r="H75" s="5">
        <f>VLOOKUP($A75,Sheet3!$I$3:$J$38,2,0)</f>
        <v>23.37</v>
      </c>
      <c r="I75" s="6">
        <f>VLOOKUP($E75,Sheet3!$B$3:$G$54,5,0)</f>
        <v>124251</v>
      </c>
      <c r="J75" s="5">
        <f>VLOOKUP($E75,Sheet3!$B$3:$G$54,4,0)</f>
        <v>3.65</v>
      </c>
      <c r="K75" s="5">
        <f>VLOOKUP($E75,Sheet3!$B$3:$G$54,6,0)</f>
        <v>1.3</v>
      </c>
      <c r="L75" s="6">
        <v>3060</v>
      </c>
      <c r="M75" s="6">
        <v>3240</v>
      </c>
      <c r="N75" s="6">
        <v>12</v>
      </c>
      <c r="O75" s="14">
        <f t="shared" si="3"/>
        <v>1.0588235294117647</v>
      </c>
    </row>
    <row r="76" spans="1:15" x14ac:dyDescent="0.3">
      <c r="A76" s="15" t="s">
        <v>31</v>
      </c>
      <c r="B76" s="12" t="s">
        <v>29</v>
      </c>
      <c r="C76" s="12" t="s">
        <v>29</v>
      </c>
      <c r="D76" s="6">
        <f t="shared" si="2"/>
        <v>38</v>
      </c>
      <c r="E76" s="6">
        <v>49</v>
      </c>
      <c r="F76" s="6">
        <f>VLOOKUP($E76,Sheet3!$B$3:$D$54,2,0)</f>
        <v>12</v>
      </c>
      <c r="G76" s="6">
        <f>VLOOKUP($E76,Sheet3!$B$3:$G$54,3,0)</f>
        <v>1</v>
      </c>
      <c r="H76" s="5">
        <f>VLOOKUP($A76,Sheet3!$I$3:$J$38,2,0)</f>
        <v>23.37</v>
      </c>
      <c r="I76" s="6">
        <f>VLOOKUP($E76,Sheet3!$B$3:$G$54,5,0)</f>
        <v>105715</v>
      </c>
      <c r="J76" s="5">
        <f>VLOOKUP($E76,Sheet3!$B$3:$G$54,4,0)</f>
        <v>3.65</v>
      </c>
      <c r="K76" s="5">
        <f>VLOOKUP($E76,Sheet3!$B$3:$G$54,6,0)</f>
        <v>1.3</v>
      </c>
      <c r="L76" s="6">
        <v>1260</v>
      </c>
      <c r="M76" s="6">
        <v>2700</v>
      </c>
      <c r="N76" s="6">
        <v>11</v>
      </c>
      <c r="O76" s="14">
        <f t="shared" si="3"/>
        <v>2.1428571428571428</v>
      </c>
    </row>
    <row r="77" spans="1:15" x14ac:dyDescent="0.3">
      <c r="A77" s="15" t="s">
        <v>31</v>
      </c>
      <c r="B77" s="12" t="s">
        <v>29</v>
      </c>
      <c r="C77" s="12" t="s">
        <v>29</v>
      </c>
      <c r="D77" s="6">
        <f t="shared" si="2"/>
        <v>39</v>
      </c>
      <c r="E77" s="6">
        <v>50</v>
      </c>
      <c r="F77" s="6">
        <f>VLOOKUP($E77,Sheet3!$B$3:$D$54,2,0)</f>
        <v>12</v>
      </c>
      <c r="G77" s="6">
        <f>VLOOKUP($E77,Sheet3!$B$3:$G$54,3,0)</f>
        <v>0</v>
      </c>
      <c r="H77" s="5">
        <f>VLOOKUP($A77,Sheet3!$I$3:$J$38,2,0)</f>
        <v>23.37</v>
      </c>
      <c r="I77" s="6">
        <f>VLOOKUP($E77,Sheet3!$B$3:$G$54,5,0)</f>
        <v>105715</v>
      </c>
      <c r="J77" s="5">
        <f>VLOOKUP($E77,Sheet3!$B$3:$G$54,4,0)</f>
        <v>3.4</v>
      </c>
      <c r="K77" s="5">
        <f>VLOOKUP($E77,Sheet3!$B$3:$G$54,6,0)</f>
        <v>1.3</v>
      </c>
      <c r="L77" s="6">
        <v>3060</v>
      </c>
      <c r="M77" s="6">
        <v>0</v>
      </c>
      <c r="N77" s="6">
        <v>11</v>
      </c>
      <c r="O77" s="14">
        <f t="shared" si="3"/>
        <v>0</v>
      </c>
    </row>
    <row r="78" spans="1:15" x14ac:dyDescent="0.3">
      <c r="A78" s="15" t="s">
        <v>31</v>
      </c>
      <c r="B78" s="12" t="s">
        <v>29</v>
      </c>
      <c r="C78" s="12" t="s">
        <v>29</v>
      </c>
      <c r="D78" s="6">
        <f t="shared" si="2"/>
        <v>38</v>
      </c>
      <c r="E78" s="6">
        <v>51</v>
      </c>
      <c r="F78" s="6">
        <f>VLOOKUP($E78,Sheet3!$B$3:$D$54,2,0)</f>
        <v>12</v>
      </c>
      <c r="G78" s="6">
        <f>VLOOKUP($E78,Sheet3!$B$3:$G$54,3,0)</f>
        <v>0</v>
      </c>
      <c r="H78" s="5">
        <f>VLOOKUP($A78,Sheet3!$I$3:$J$38,2,0)</f>
        <v>23.37</v>
      </c>
      <c r="I78" s="6">
        <f>VLOOKUP($E78,Sheet3!$B$3:$G$54,5,0)</f>
        <v>105715</v>
      </c>
      <c r="J78" s="5">
        <f>VLOOKUP($E78,Sheet3!$B$3:$G$54,4,0)</f>
        <v>3.4</v>
      </c>
      <c r="K78" s="5">
        <f>VLOOKUP($E78,Sheet3!$B$3:$G$54,6,0)</f>
        <v>1.3</v>
      </c>
      <c r="L78" s="6">
        <v>3060</v>
      </c>
      <c r="M78" s="6">
        <v>0</v>
      </c>
      <c r="N78" s="6">
        <v>13</v>
      </c>
      <c r="O78" s="14">
        <f t="shared" si="3"/>
        <v>0</v>
      </c>
    </row>
    <row r="79" spans="1:15" x14ac:dyDescent="0.3">
      <c r="A79" s="15" t="s">
        <v>31</v>
      </c>
      <c r="B79" s="12" t="s">
        <v>29</v>
      </c>
      <c r="C79" s="12" t="s">
        <v>29</v>
      </c>
      <c r="D79" s="6">
        <f t="shared" si="2"/>
        <v>38</v>
      </c>
      <c r="E79" s="6">
        <v>52</v>
      </c>
      <c r="F79" s="6">
        <f>VLOOKUP($E79,Sheet3!$B$3:$D$54,2,0)</f>
        <v>12</v>
      </c>
      <c r="G79" s="6">
        <f>VLOOKUP($E79,Sheet3!$B$3:$G$54,3,0)</f>
        <v>1</v>
      </c>
      <c r="H79" s="5">
        <f>VLOOKUP($A79,Sheet3!$I$3:$J$38,2,0)</f>
        <v>23.37</v>
      </c>
      <c r="I79" s="6">
        <f>VLOOKUP($E79,Sheet3!$B$3:$G$54,5,0)</f>
        <v>105715</v>
      </c>
      <c r="J79" s="5">
        <f>VLOOKUP($E79,Sheet3!$B$3:$G$54,4,0)</f>
        <v>3.4</v>
      </c>
      <c r="K79" s="5">
        <f>VLOOKUP($E79,Sheet3!$B$3:$G$54,6,0)</f>
        <v>1.3</v>
      </c>
      <c r="L79" s="6">
        <v>630</v>
      </c>
      <c r="M79" s="6">
        <v>0</v>
      </c>
      <c r="N79" s="6">
        <v>14</v>
      </c>
      <c r="O79" s="14">
        <f t="shared" si="3"/>
        <v>0</v>
      </c>
    </row>
    <row r="80" spans="1:15" x14ac:dyDescent="0.3">
      <c r="A80" s="15" t="s">
        <v>31</v>
      </c>
      <c r="B80" s="12" t="s">
        <v>29</v>
      </c>
      <c r="C80" s="12" t="s">
        <v>29</v>
      </c>
      <c r="D80" s="6">
        <f t="shared" si="2"/>
        <v>41</v>
      </c>
      <c r="E80" s="6">
        <v>1</v>
      </c>
      <c r="F80" s="6">
        <f>VLOOKUP($E80,Sheet3!$B$3:$D$54,2,0)</f>
        <v>12</v>
      </c>
      <c r="G80" s="6">
        <f>VLOOKUP($E80,Sheet3!$B$3:$G$54,3,0)</f>
        <v>1</v>
      </c>
      <c r="H80" s="5">
        <f>VLOOKUP($A80,Sheet3!$I$3:$J$38,2,0)</f>
        <v>23.37</v>
      </c>
      <c r="I80" s="6">
        <f>VLOOKUP($E80,Sheet3!$B$3:$G$54,5,0)</f>
        <v>105715</v>
      </c>
      <c r="J80" s="5">
        <f>VLOOKUP($E80,Sheet3!$B$3:$G$54,4,0)</f>
        <v>3.4</v>
      </c>
      <c r="K80" s="5">
        <f>VLOOKUP($E80,Sheet3!$B$3:$G$54,6,0)</f>
        <v>1.3</v>
      </c>
      <c r="L80" s="6">
        <v>3060</v>
      </c>
      <c r="M80" s="6">
        <v>0</v>
      </c>
      <c r="N80" s="6">
        <v>12</v>
      </c>
      <c r="O80" s="14">
        <f t="shared" si="3"/>
        <v>0</v>
      </c>
    </row>
    <row r="81" spans="1:15" x14ac:dyDescent="0.3">
      <c r="A81" s="15" t="s">
        <v>31</v>
      </c>
      <c r="B81" s="12" t="s">
        <v>29</v>
      </c>
      <c r="C81" s="12" t="s">
        <v>29</v>
      </c>
      <c r="D81" s="6">
        <f t="shared" si="2"/>
        <v>42</v>
      </c>
      <c r="E81" s="6">
        <v>2</v>
      </c>
      <c r="F81" s="6">
        <f>VLOOKUP($E81,Sheet3!$B$3:$D$54,2,0)</f>
        <v>1</v>
      </c>
      <c r="G81" s="6">
        <f>VLOOKUP($E81,Sheet3!$B$3:$G$54,3,0)</f>
        <v>1</v>
      </c>
      <c r="H81" s="5">
        <f>VLOOKUP($A81,Sheet3!$I$3:$J$38,2,0)</f>
        <v>23.37</v>
      </c>
      <c r="I81" s="6">
        <f>VLOOKUP($E81,Sheet3!$B$3:$G$54,5,0)</f>
        <v>133692</v>
      </c>
      <c r="J81" s="5">
        <f>VLOOKUP($E81,Sheet3!$B$3:$G$54,4,0)</f>
        <v>3.4</v>
      </c>
      <c r="K81" s="5">
        <f>VLOOKUP($E81,Sheet3!$B$3:$G$54,6,0)</f>
        <v>1.5</v>
      </c>
      <c r="L81" s="6">
        <v>0</v>
      </c>
      <c r="M81" s="6">
        <v>0</v>
      </c>
      <c r="N81" s="6">
        <v>12</v>
      </c>
      <c r="O81" s="14" t="e">
        <f t="shared" si="3"/>
        <v>#DIV/0!</v>
      </c>
    </row>
    <row r="82" spans="1:15" x14ac:dyDescent="0.3">
      <c r="A82" s="15" t="s">
        <v>31</v>
      </c>
      <c r="B82" s="12" t="s">
        <v>29</v>
      </c>
      <c r="C82" s="12" t="s">
        <v>29</v>
      </c>
      <c r="D82" s="6">
        <f t="shared" si="2"/>
        <v>43</v>
      </c>
      <c r="E82" s="6">
        <v>3</v>
      </c>
      <c r="F82" s="6">
        <f>VLOOKUP($E82,Sheet3!$B$3:$D$54,2,0)</f>
        <v>1</v>
      </c>
      <c r="G82" s="6">
        <f>VLOOKUP($E82,Sheet3!$B$3:$G$54,3,0)</f>
        <v>0</v>
      </c>
      <c r="H82" s="5">
        <f>VLOOKUP($A82,Sheet3!$I$3:$J$38,2,0)</f>
        <v>23.37</v>
      </c>
      <c r="I82" s="6">
        <f>VLOOKUP($E82,Sheet3!$B$3:$G$54,5,0)</f>
        <v>133692</v>
      </c>
      <c r="J82" s="5">
        <f>VLOOKUP($E82,Sheet3!$B$3:$G$54,4,0)</f>
        <v>3.4</v>
      </c>
      <c r="K82" s="5">
        <f>VLOOKUP($E82,Sheet3!$B$3:$G$54,6,0)</f>
        <v>1.5</v>
      </c>
      <c r="L82" s="6">
        <v>3690</v>
      </c>
      <c r="M82" s="6">
        <v>1440</v>
      </c>
      <c r="N82" s="6">
        <v>12</v>
      </c>
      <c r="O82" s="14">
        <f t="shared" si="3"/>
        <v>0.3902439024390244</v>
      </c>
    </row>
    <row r="83" spans="1:15" x14ac:dyDescent="0.3">
      <c r="A83" s="15" t="s">
        <v>31</v>
      </c>
      <c r="B83" s="12" t="s">
        <v>29</v>
      </c>
      <c r="C83" s="12" t="s">
        <v>29</v>
      </c>
      <c r="D83" s="6">
        <f t="shared" si="2"/>
        <v>43</v>
      </c>
      <c r="E83" s="6">
        <v>4</v>
      </c>
      <c r="F83" s="6">
        <f>VLOOKUP($E83,Sheet3!$B$3:$D$54,2,0)</f>
        <v>1</v>
      </c>
      <c r="G83" s="6">
        <f>VLOOKUP($E83,Sheet3!$B$3:$G$54,3,0)</f>
        <v>0</v>
      </c>
      <c r="H83" s="5">
        <f>VLOOKUP($A83,Sheet3!$I$3:$J$38,2,0)</f>
        <v>23.37</v>
      </c>
      <c r="I83" s="6">
        <f>VLOOKUP($E83,Sheet3!$B$3:$G$54,5,0)</f>
        <v>133692</v>
      </c>
      <c r="J83" s="5">
        <f>VLOOKUP($E83,Sheet3!$B$3:$G$54,4,0)</f>
        <v>3.4</v>
      </c>
      <c r="K83" s="5">
        <f>VLOOKUP($E83,Sheet3!$B$3:$G$54,6,0)</f>
        <v>1.5</v>
      </c>
      <c r="L83" s="6">
        <v>3690</v>
      </c>
      <c r="M83" s="6">
        <v>2700</v>
      </c>
      <c r="N83" s="6">
        <v>13</v>
      </c>
      <c r="O83" s="14">
        <f t="shared" si="3"/>
        <v>0.73170731707317072</v>
      </c>
    </row>
    <row r="84" spans="1:15" x14ac:dyDescent="0.3">
      <c r="A84" s="15" t="s">
        <v>31</v>
      </c>
      <c r="B84" s="12" t="s">
        <v>29</v>
      </c>
      <c r="C84" s="12" t="s">
        <v>29</v>
      </c>
      <c r="D84" s="6">
        <f t="shared" si="2"/>
        <v>43</v>
      </c>
      <c r="E84" s="6">
        <v>5</v>
      </c>
      <c r="F84" s="6">
        <f>VLOOKUP($E84,Sheet3!$B$3:$D$54,2,0)</f>
        <v>1</v>
      </c>
      <c r="G84" s="6">
        <f>VLOOKUP($E84,Sheet3!$B$3:$G$54,3,0)</f>
        <v>0</v>
      </c>
      <c r="H84" s="5">
        <f>VLOOKUP($A84,Sheet3!$I$3:$J$38,2,0)</f>
        <v>23.37</v>
      </c>
      <c r="I84" s="6">
        <f>VLOOKUP($E84,Sheet3!$B$3:$G$54,5,0)</f>
        <v>133692</v>
      </c>
      <c r="J84" s="5">
        <f>VLOOKUP($E84,Sheet3!$B$3:$G$54,4,0)</f>
        <v>3.4</v>
      </c>
      <c r="K84" s="5">
        <f>VLOOKUP($E84,Sheet3!$B$3:$G$54,6,0)</f>
        <v>1.5</v>
      </c>
      <c r="L84" s="6">
        <v>3600</v>
      </c>
      <c r="M84" s="6">
        <v>0</v>
      </c>
      <c r="N84" s="6">
        <v>14</v>
      </c>
      <c r="O84" s="14">
        <f t="shared" si="3"/>
        <v>0</v>
      </c>
    </row>
    <row r="85" spans="1:15" x14ac:dyDescent="0.3">
      <c r="A85" s="15" t="s">
        <v>31</v>
      </c>
      <c r="B85" s="12" t="s">
        <v>29</v>
      </c>
      <c r="C85" s="12" t="s">
        <v>29</v>
      </c>
      <c r="D85" s="6">
        <f t="shared" si="2"/>
        <v>49</v>
      </c>
      <c r="E85" s="6">
        <v>6</v>
      </c>
      <c r="F85" s="6">
        <f>VLOOKUP($E85,Sheet3!$B$3:$D$54,2,0)</f>
        <v>2</v>
      </c>
      <c r="G85" s="6">
        <f>VLOOKUP($E85,Sheet3!$B$3:$G$54,3,0)</f>
        <v>0</v>
      </c>
      <c r="H85" s="5">
        <f>VLOOKUP($A85,Sheet3!$I$3:$J$38,2,0)</f>
        <v>23.37</v>
      </c>
      <c r="I85" s="6">
        <f>VLOOKUP($E85,Sheet3!$B$3:$G$54,5,0)</f>
        <v>137922</v>
      </c>
      <c r="J85" s="5">
        <f>VLOOKUP($E85,Sheet3!$B$3:$G$54,4,0)</f>
        <v>3.15</v>
      </c>
      <c r="K85" s="5">
        <f>VLOOKUP($E85,Sheet3!$B$3:$G$54,6,0)</f>
        <v>1.6</v>
      </c>
      <c r="L85" s="6">
        <v>2430</v>
      </c>
      <c r="M85" s="6">
        <v>3780</v>
      </c>
      <c r="N85" s="6">
        <v>9</v>
      </c>
      <c r="O85" s="14">
        <f t="shared" si="3"/>
        <v>1.5555555555555556</v>
      </c>
    </row>
    <row r="86" spans="1:15" x14ac:dyDescent="0.3">
      <c r="A86" s="15" t="s">
        <v>31</v>
      </c>
      <c r="B86" s="12" t="s">
        <v>29</v>
      </c>
      <c r="C86" s="12" t="s">
        <v>29</v>
      </c>
      <c r="D86" s="6">
        <f t="shared" si="2"/>
        <v>49</v>
      </c>
      <c r="E86" s="6">
        <v>7</v>
      </c>
      <c r="F86" s="6">
        <f>VLOOKUP($E86,Sheet3!$B$3:$D$54,2,0)</f>
        <v>2</v>
      </c>
      <c r="G86" s="6">
        <f>VLOOKUP($E86,Sheet3!$B$3:$G$54,3,0)</f>
        <v>0</v>
      </c>
      <c r="H86" s="5">
        <f>VLOOKUP($A86,Sheet3!$I$3:$J$38,2,0)</f>
        <v>23.37</v>
      </c>
      <c r="I86" s="6">
        <f>VLOOKUP($E86,Sheet3!$B$3:$G$54,5,0)</f>
        <v>137922</v>
      </c>
      <c r="J86" s="5">
        <f>VLOOKUP($E86,Sheet3!$B$3:$G$54,4,0)</f>
        <v>3.15</v>
      </c>
      <c r="K86" s="5">
        <f>VLOOKUP($E86,Sheet3!$B$3:$G$54,6,0)</f>
        <v>1.6</v>
      </c>
      <c r="L86" s="6">
        <v>2520</v>
      </c>
      <c r="M86" s="6">
        <v>3330</v>
      </c>
      <c r="N86" s="6">
        <v>10</v>
      </c>
      <c r="O86" s="14">
        <f t="shared" si="3"/>
        <v>1.3214285714285714</v>
      </c>
    </row>
    <row r="87" spans="1:15" x14ac:dyDescent="0.3">
      <c r="A87" s="15" t="s">
        <v>31</v>
      </c>
      <c r="B87" s="12" t="s">
        <v>29</v>
      </c>
      <c r="C87" s="12" t="s">
        <v>29</v>
      </c>
      <c r="D87" s="6">
        <f t="shared" si="2"/>
        <v>49</v>
      </c>
      <c r="E87" s="6">
        <v>8</v>
      </c>
      <c r="F87" s="6">
        <f>VLOOKUP($E87,Sheet3!$B$3:$D$54,2,0)</f>
        <v>2</v>
      </c>
      <c r="G87" s="6">
        <f>VLOOKUP($E87,Sheet3!$B$3:$G$54,3,0)</f>
        <v>0</v>
      </c>
      <c r="H87" s="5">
        <f>VLOOKUP($A87,Sheet3!$I$3:$J$38,2,0)</f>
        <v>23.37</v>
      </c>
      <c r="I87" s="6">
        <f>VLOOKUP($E87,Sheet3!$B$3:$G$54,5,0)</f>
        <v>137922</v>
      </c>
      <c r="J87" s="5">
        <f>VLOOKUP($E87,Sheet3!$B$3:$G$54,4,0)</f>
        <v>3.15</v>
      </c>
      <c r="K87" s="5">
        <f>VLOOKUP($E87,Sheet3!$B$3:$G$54,6,0)</f>
        <v>1.6</v>
      </c>
      <c r="L87" s="6">
        <v>2430</v>
      </c>
      <c r="M87" s="6">
        <v>3510</v>
      </c>
      <c r="N87" s="6">
        <v>11</v>
      </c>
      <c r="O87" s="14">
        <f t="shared" si="3"/>
        <v>1.4444444444444444</v>
      </c>
    </row>
    <row r="88" spans="1:15" x14ac:dyDescent="0.3">
      <c r="A88" s="15" t="s">
        <v>31</v>
      </c>
      <c r="B88" s="12" t="s">
        <v>29</v>
      </c>
      <c r="C88" s="12" t="s">
        <v>29</v>
      </c>
      <c r="D88" s="6">
        <f t="shared" si="2"/>
        <v>49</v>
      </c>
      <c r="E88" s="6">
        <v>9</v>
      </c>
      <c r="F88" s="6">
        <f>VLOOKUP($E88,Sheet3!$B$3:$D$54,2,0)</f>
        <v>2</v>
      </c>
      <c r="G88" s="6">
        <f>VLOOKUP($E88,Sheet3!$B$3:$G$54,3,0)</f>
        <v>0</v>
      </c>
      <c r="H88" s="5">
        <f>VLOOKUP($A88,Sheet3!$I$3:$J$38,2,0)</f>
        <v>23.37</v>
      </c>
      <c r="I88" s="6">
        <f>VLOOKUP($E88,Sheet3!$B$3:$G$54,5,0)</f>
        <v>137922</v>
      </c>
      <c r="J88" s="5">
        <f>VLOOKUP($E88,Sheet3!$B$3:$G$54,4,0)</f>
        <v>3.15</v>
      </c>
      <c r="K88" s="5">
        <f>VLOOKUP($E88,Sheet3!$B$3:$G$54,6,0)</f>
        <v>1.6</v>
      </c>
      <c r="L88" s="6">
        <v>2520</v>
      </c>
      <c r="M88" s="6">
        <v>3420</v>
      </c>
      <c r="N88" s="6">
        <v>12</v>
      </c>
      <c r="O88" s="14">
        <f t="shared" si="3"/>
        <v>1.3571428571428572</v>
      </c>
    </row>
    <row r="89" spans="1:15" x14ac:dyDescent="0.3">
      <c r="A89" s="15" t="s">
        <v>31</v>
      </c>
      <c r="B89" s="12" t="s">
        <v>29</v>
      </c>
      <c r="C89" s="12" t="s">
        <v>29</v>
      </c>
      <c r="D89" s="6">
        <f t="shared" si="2"/>
        <v>1</v>
      </c>
      <c r="E89" s="6">
        <v>10</v>
      </c>
      <c r="F89" s="6">
        <f>VLOOKUP($E89,Sheet3!$B$3:$D$54,2,0)</f>
        <v>3</v>
      </c>
      <c r="G89" s="6">
        <f>VLOOKUP($E89,Sheet3!$B$3:$G$54,3,0)</f>
        <v>0</v>
      </c>
      <c r="H89" s="5">
        <f>VLOOKUP($A89,Sheet3!$I$3:$J$38,2,0)</f>
        <v>23.37</v>
      </c>
      <c r="I89" s="6">
        <f>VLOOKUP($E89,Sheet3!$B$3:$G$54,5,0)</f>
        <v>172223</v>
      </c>
      <c r="J89" s="5">
        <f>VLOOKUP($E89,Sheet3!$B$3:$G$54,4,0)</f>
        <v>3.15</v>
      </c>
      <c r="K89" s="5">
        <f>VLOOKUP($E89,Sheet3!$B$3:$G$54,6,0)</f>
        <v>1.9</v>
      </c>
      <c r="L89" s="6">
        <v>2160</v>
      </c>
      <c r="M89" s="6">
        <v>3150</v>
      </c>
      <c r="N89" s="6">
        <v>9</v>
      </c>
      <c r="O89" s="14">
        <f t="shared" si="3"/>
        <v>1.4583333333333333</v>
      </c>
    </row>
    <row r="90" spans="1:15" x14ac:dyDescent="0.3">
      <c r="A90" s="15" t="s">
        <v>31</v>
      </c>
      <c r="B90" s="12" t="s">
        <v>29</v>
      </c>
      <c r="C90" s="12" t="s">
        <v>29</v>
      </c>
      <c r="D90" s="6">
        <f t="shared" si="2"/>
        <v>1</v>
      </c>
      <c r="E90" s="6">
        <v>11</v>
      </c>
      <c r="F90" s="6">
        <f>VLOOKUP($E90,Sheet3!$B$3:$D$54,2,0)</f>
        <v>3</v>
      </c>
      <c r="G90" s="6">
        <f>VLOOKUP($E90,Sheet3!$B$3:$G$54,3,0)</f>
        <v>0</v>
      </c>
      <c r="H90" s="5">
        <f>VLOOKUP($A90,Sheet3!$I$3:$J$38,2,0)</f>
        <v>23.37</v>
      </c>
      <c r="I90" s="6">
        <f>VLOOKUP($E90,Sheet3!$B$3:$G$54,5,0)</f>
        <v>172223</v>
      </c>
      <c r="J90" s="5">
        <f>VLOOKUP($E90,Sheet3!$B$3:$G$54,4,0)</f>
        <v>2.9</v>
      </c>
      <c r="K90" s="5">
        <f>VLOOKUP($E90,Sheet3!$B$3:$G$54,6,0)</f>
        <v>1.9</v>
      </c>
      <c r="L90" s="6">
        <v>2070</v>
      </c>
      <c r="M90" s="6">
        <v>2790</v>
      </c>
      <c r="N90" s="6">
        <v>10</v>
      </c>
      <c r="O90" s="14">
        <f t="shared" si="3"/>
        <v>1.3478260869565217</v>
      </c>
    </row>
    <row r="91" spans="1:15" x14ac:dyDescent="0.3">
      <c r="A91" s="15" t="s">
        <v>31</v>
      </c>
      <c r="B91" s="12" t="s">
        <v>29</v>
      </c>
      <c r="C91" s="12" t="s">
        <v>29</v>
      </c>
      <c r="D91" s="6">
        <f t="shared" si="2"/>
        <v>1</v>
      </c>
      <c r="E91" s="6">
        <v>12</v>
      </c>
      <c r="F91" s="6">
        <f>VLOOKUP($E91,Sheet3!$B$3:$D$54,2,0)</f>
        <v>3</v>
      </c>
      <c r="G91" s="6">
        <f>VLOOKUP($E91,Sheet3!$B$3:$G$54,3,0)</f>
        <v>0</v>
      </c>
      <c r="H91" s="5">
        <f>VLOOKUP($A91,Sheet3!$I$3:$J$38,2,0)</f>
        <v>23.37</v>
      </c>
      <c r="I91" s="6">
        <f>VLOOKUP($E91,Sheet3!$B$3:$G$54,5,0)</f>
        <v>172223</v>
      </c>
      <c r="J91" s="5">
        <f>VLOOKUP($E91,Sheet3!$B$3:$G$54,4,0)</f>
        <v>2.9</v>
      </c>
      <c r="K91" s="5">
        <f>VLOOKUP($E91,Sheet3!$B$3:$G$54,6,0)</f>
        <v>1.9</v>
      </c>
      <c r="L91" s="6">
        <v>2160</v>
      </c>
      <c r="M91" s="6">
        <v>3780</v>
      </c>
      <c r="N91" s="6">
        <v>11</v>
      </c>
      <c r="O91" s="14">
        <f t="shared" si="3"/>
        <v>1.75</v>
      </c>
    </row>
    <row r="92" spans="1:15" x14ac:dyDescent="0.3">
      <c r="A92" s="15" t="s">
        <v>31</v>
      </c>
      <c r="B92" s="12" t="s">
        <v>29</v>
      </c>
      <c r="C92" s="12" t="s">
        <v>29</v>
      </c>
      <c r="D92" s="6">
        <f t="shared" si="2"/>
        <v>1</v>
      </c>
      <c r="E92" s="6">
        <v>13</v>
      </c>
      <c r="F92" s="6">
        <f>VLOOKUP($E92,Sheet3!$B$3:$D$54,2,0)</f>
        <v>3</v>
      </c>
      <c r="G92" s="6">
        <f>VLOOKUP($E92,Sheet3!$B$3:$G$54,3,0)</f>
        <v>0</v>
      </c>
      <c r="H92" s="5">
        <f>VLOOKUP($A92,Sheet3!$I$3:$J$38,2,0)</f>
        <v>23.37</v>
      </c>
      <c r="I92" s="6">
        <f>VLOOKUP($E92,Sheet3!$B$3:$G$54,5,0)</f>
        <v>172223</v>
      </c>
      <c r="J92" s="5">
        <f>VLOOKUP($E92,Sheet3!$B$3:$G$54,4,0)</f>
        <v>2.9</v>
      </c>
      <c r="K92" s="5">
        <f>VLOOKUP($E92,Sheet3!$B$3:$G$54,6,0)</f>
        <v>1.9</v>
      </c>
      <c r="L92" s="6">
        <v>2160</v>
      </c>
      <c r="M92" s="6">
        <v>3780</v>
      </c>
      <c r="N92" s="6">
        <v>12</v>
      </c>
      <c r="O92" s="14">
        <f t="shared" si="3"/>
        <v>1.75</v>
      </c>
    </row>
    <row r="93" spans="1:15" x14ac:dyDescent="0.3">
      <c r="A93" s="15" t="s">
        <v>31</v>
      </c>
      <c r="B93" s="12" t="s">
        <v>29</v>
      </c>
      <c r="C93" s="12" t="s">
        <v>29</v>
      </c>
      <c r="D93" s="6">
        <f t="shared" si="2"/>
        <v>1</v>
      </c>
      <c r="E93" s="6">
        <v>14</v>
      </c>
      <c r="F93" s="6">
        <f>VLOOKUP($E93,Sheet3!$B$3:$D$54,2,0)</f>
        <v>3</v>
      </c>
      <c r="G93" s="6">
        <f>VLOOKUP($E93,Sheet3!$B$3:$G$54,3,0)</f>
        <v>0</v>
      </c>
      <c r="H93" s="5">
        <f>VLOOKUP($A93,Sheet3!$I$3:$J$38,2,0)</f>
        <v>23.37</v>
      </c>
      <c r="I93" s="6">
        <f>VLOOKUP($E93,Sheet3!$B$3:$G$54,5,0)</f>
        <v>172223</v>
      </c>
      <c r="J93" s="5">
        <f>VLOOKUP($E93,Sheet3!$B$3:$G$54,4,0)</f>
        <v>2.9</v>
      </c>
      <c r="K93" s="5">
        <f>VLOOKUP($E93,Sheet3!$B$3:$G$54,6,0)</f>
        <v>1.9</v>
      </c>
      <c r="L93" s="6">
        <v>1710</v>
      </c>
      <c r="M93" s="6">
        <v>2790</v>
      </c>
      <c r="N93" s="6">
        <v>13</v>
      </c>
      <c r="O93" s="14">
        <f t="shared" si="3"/>
        <v>1.631578947368421</v>
      </c>
    </row>
    <row r="94" spans="1:15" x14ac:dyDescent="0.3">
      <c r="A94" s="15" t="s">
        <v>31</v>
      </c>
      <c r="B94" s="12" t="s">
        <v>29</v>
      </c>
      <c r="C94" s="12" t="s">
        <v>29</v>
      </c>
      <c r="D94" s="6">
        <f t="shared" si="2"/>
        <v>5</v>
      </c>
      <c r="E94" s="6">
        <v>15</v>
      </c>
      <c r="F94" s="6">
        <f>VLOOKUP($E94,Sheet3!$B$3:$D$54,2,0)</f>
        <v>4</v>
      </c>
      <c r="G94" s="6">
        <f>VLOOKUP($E94,Sheet3!$B$3:$G$54,3,0)</f>
        <v>0</v>
      </c>
      <c r="H94" s="5">
        <f>VLOOKUP($A94,Sheet3!$I$3:$J$38,2,0)</f>
        <v>23.37</v>
      </c>
      <c r="I94" s="6">
        <f>VLOOKUP($E94,Sheet3!$B$3:$G$54,5,0)</f>
        <v>139084</v>
      </c>
      <c r="J94" s="5">
        <f>VLOOKUP($E94,Sheet3!$B$3:$G$54,4,0)</f>
        <v>2.9</v>
      </c>
      <c r="K94" s="5">
        <f>VLOOKUP($E94,Sheet3!$B$3:$G$54,6,0)</f>
        <v>1.9</v>
      </c>
      <c r="L94" s="6">
        <v>2340</v>
      </c>
      <c r="M94" s="6">
        <v>3240</v>
      </c>
      <c r="N94" s="6">
        <v>10</v>
      </c>
      <c r="O94" s="14">
        <f t="shared" si="3"/>
        <v>1.3846153846153846</v>
      </c>
    </row>
    <row r="95" spans="1:15" x14ac:dyDescent="0.3">
      <c r="A95" s="15" t="s">
        <v>31</v>
      </c>
      <c r="B95" s="12" t="s">
        <v>29</v>
      </c>
      <c r="C95" s="12" t="s">
        <v>29</v>
      </c>
      <c r="D95" s="6">
        <f t="shared" si="2"/>
        <v>5</v>
      </c>
      <c r="E95" s="6">
        <v>16</v>
      </c>
      <c r="F95" s="6">
        <f>VLOOKUP($E95,Sheet3!$B$3:$D$54,2,0)</f>
        <v>4</v>
      </c>
      <c r="G95" s="6">
        <f>VLOOKUP($E95,Sheet3!$B$3:$G$54,3,0)</f>
        <v>0</v>
      </c>
      <c r="H95" s="5">
        <f>VLOOKUP($A95,Sheet3!$I$3:$J$38,2,0)</f>
        <v>23.37</v>
      </c>
      <c r="I95" s="6">
        <f>VLOOKUP($E95,Sheet3!$B$3:$G$54,5,0)</f>
        <v>139084</v>
      </c>
      <c r="J95" s="5">
        <f>VLOOKUP($E95,Sheet3!$B$3:$G$54,4,0)</f>
        <v>2.9</v>
      </c>
      <c r="K95" s="5">
        <f>VLOOKUP($E95,Sheet3!$B$3:$G$54,6,0)</f>
        <v>1.9</v>
      </c>
      <c r="L95" s="6">
        <v>1620</v>
      </c>
      <c r="M95" s="6">
        <v>2430</v>
      </c>
      <c r="N95" s="6">
        <v>11</v>
      </c>
      <c r="O95" s="14">
        <f t="shared" si="3"/>
        <v>1.5</v>
      </c>
    </row>
    <row r="96" spans="1:15" x14ac:dyDescent="0.3">
      <c r="A96" s="15" t="s">
        <v>31</v>
      </c>
      <c r="B96" s="12" t="s">
        <v>29</v>
      </c>
      <c r="C96" s="12" t="s">
        <v>29</v>
      </c>
      <c r="D96" s="6">
        <f t="shared" si="2"/>
        <v>5</v>
      </c>
      <c r="E96" s="6">
        <v>17</v>
      </c>
      <c r="F96" s="6">
        <f>VLOOKUP($E96,Sheet3!$B$3:$D$54,2,0)</f>
        <v>4</v>
      </c>
      <c r="G96" s="6">
        <f>VLOOKUP($E96,Sheet3!$B$3:$G$54,3,0)</f>
        <v>1</v>
      </c>
      <c r="H96" s="5">
        <f>VLOOKUP($A96,Sheet3!$I$3:$J$38,2,0)</f>
        <v>23.37</v>
      </c>
      <c r="I96" s="6">
        <f>VLOOKUP($E96,Sheet3!$B$3:$G$54,5,0)</f>
        <v>139084</v>
      </c>
      <c r="J96" s="5">
        <f>VLOOKUP($E96,Sheet3!$B$3:$G$54,4,0)</f>
        <v>2.65</v>
      </c>
      <c r="K96" s="5">
        <f>VLOOKUP($E96,Sheet3!$B$3:$G$54,6,0)</f>
        <v>1.9</v>
      </c>
      <c r="L96" s="6">
        <v>0</v>
      </c>
      <c r="M96" s="6">
        <v>1800</v>
      </c>
      <c r="N96" s="6">
        <v>12</v>
      </c>
      <c r="O96" s="14" t="e">
        <f t="shared" si="3"/>
        <v>#DIV/0!</v>
      </c>
    </row>
    <row r="97" spans="1:15" x14ac:dyDescent="0.3">
      <c r="A97" s="15" t="s">
        <v>31</v>
      </c>
      <c r="B97" s="12" t="s">
        <v>29</v>
      </c>
      <c r="C97" s="12" t="s">
        <v>29</v>
      </c>
      <c r="D97" s="6">
        <f t="shared" si="2"/>
        <v>6</v>
      </c>
      <c r="E97" s="6">
        <v>18</v>
      </c>
      <c r="F97" s="6">
        <f>VLOOKUP($E97,Sheet3!$B$3:$D$54,2,0)</f>
        <v>4</v>
      </c>
      <c r="G97" s="6">
        <f>VLOOKUP($E97,Sheet3!$B$3:$G$54,3,0)</f>
        <v>1</v>
      </c>
      <c r="H97" s="5">
        <f>VLOOKUP($A97,Sheet3!$I$3:$J$38,2,0)</f>
        <v>23.37</v>
      </c>
      <c r="I97" s="6">
        <f>VLOOKUP($E97,Sheet3!$B$3:$G$54,5,0)</f>
        <v>139084</v>
      </c>
      <c r="J97" s="5">
        <f>VLOOKUP($E97,Sheet3!$B$3:$G$54,4,0)</f>
        <v>2.65</v>
      </c>
      <c r="K97" s="5">
        <f>VLOOKUP($E97,Sheet3!$B$3:$G$54,6,0)</f>
        <v>1.9</v>
      </c>
      <c r="L97" s="6">
        <v>1800</v>
      </c>
      <c r="M97" s="6">
        <v>2160</v>
      </c>
      <c r="N97" s="6">
        <v>12</v>
      </c>
      <c r="O97" s="14">
        <f t="shared" si="3"/>
        <v>1.2</v>
      </c>
    </row>
    <row r="98" spans="1:15" x14ac:dyDescent="0.3">
      <c r="A98" s="15" t="s">
        <v>31</v>
      </c>
      <c r="B98" s="12" t="s">
        <v>29</v>
      </c>
      <c r="C98" s="12" t="s">
        <v>29</v>
      </c>
      <c r="D98" s="6">
        <f t="shared" si="2"/>
        <v>7</v>
      </c>
      <c r="E98" s="6">
        <v>19</v>
      </c>
      <c r="F98" s="6">
        <f>VLOOKUP($E98,Sheet3!$B$3:$D$54,2,0)</f>
        <v>5</v>
      </c>
      <c r="G98" s="6">
        <f>VLOOKUP($E98,Sheet3!$B$3:$G$54,3,0)</f>
        <v>0</v>
      </c>
      <c r="H98" s="5">
        <f>VLOOKUP($A98,Sheet3!$I$3:$J$38,2,0)</f>
        <v>23.37</v>
      </c>
      <c r="I98" s="6">
        <f>VLOOKUP($E98,Sheet3!$B$3:$G$54,5,0)</f>
        <v>139390</v>
      </c>
      <c r="J98" s="5">
        <f>VLOOKUP($E98,Sheet3!$B$3:$G$54,4,0)</f>
        <v>2.65</v>
      </c>
      <c r="K98" s="5">
        <f>VLOOKUP($E98,Sheet3!$B$3:$G$54,6,0)</f>
        <v>1.6</v>
      </c>
      <c r="L98" s="6">
        <v>2790</v>
      </c>
      <c r="M98" s="6">
        <v>2790</v>
      </c>
      <c r="N98" s="6">
        <v>12</v>
      </c>
      <c r="O98" s="14">
        <f t="shared" si="3"/>
        <v>1</v>
      </c>
    </row>
    <row r="99" spans="1:15" x14ac:dyDescent="0.3">
      <c r="A99" s="15" t="s">
        <v>31</v>
      </c>
      <c r="B99" s="12" t="s">
        <v>29</v>
      </c>
      <c r="C99" s="12" t="s">
        <v>29</v>
      </c>
      <c r="D99" s="6">
        <f t="shared" si="2"/>
        <v>7</v>
      </c>
      <c r="E99" s="6">
        <v>20</v>
      </c>
      <c r="F99" s="6">
        <f>VLOOKUP($E99,Sheet3!$B$3:$D$54,2,0)</f>
        <v>5</v>
      </c>
      <c r="G99" s="6">
        <f>VLOOKUP($E99,Sheet3!$B$3:$G$54,3,0)</f>
        <v>0</v>
      </c>
      <c r="H99" s="5">
        <f>VLOOKUP($A99,Sheet3!$I$3:$J$38,2,0)</f>
        <v>23.37</v>
      </c>
      <c r="I99" s="6">
        <f>VLOOKUP($E99,Sheet3!$B$3:$G$54,5,0)</f>
        <v>139390</v>
      </c>
      <c r="J99" s="5">
        <f>VLOOKUP($E99,Sheet3!$B$3:$G$54,4,0)</f>
        <v>2.65</v>
      </c>
      <c r="K99" s="5">
        <f>VLOOKUP($E99,Sheet3!$B$3:$G$54,6,0)</f>
        <v>1.6</v>
      </c>
      <c r="L99" s="6">
        <v>1080</v>
      </c>
      <c r="M99" s="6">
        <v>3330</v>
      </c>
      <c r="N99" s="6">
        <v>13</v>
      </c>
      <c r="O99" s="14">
        <f t="shared" si="3"/>
        <v>3.0833333333333335</v>
      </c>
    </row>
    <row r="100" spans="1:15" x14ac:dyDescent="0.3">
      <c r="A100" s="15" t="s">
        <v>31</v>
      </c>
      <c r="B100" s="12" t="s">
        <v>29</v>
      </c>
      <c r="C100" s="12" t="s">
        <v>29</v>
      </c>
      <c r="D100" s="6">
        <f t="shared" si="2"/>
        <v>7</v>
      </c>
      <c r="E100" s="6">
        <v>21</v>
      </c>
      <c r="F100" s="6">
        <f>VLOOKUP($E100,Sheet3!$B$3:$D$54,2,0)</f>
        <v>5</v>
      </c>
      <c r="G100" s="6">
        <f>VLOOKUP($E100,Sheet3!$B$3:$G$54,3,0)</f>
        <v>0</v>
      </c>
      <c r="H100" s="5">
        <f>VLOOKUP($A100,Sheet3!$I$3:$J$38,2,0)</f>
        <v>23.37</v>
      </c>
      <c r="I100" s="6">
        <f>VLOOKUP($E100,Sheet3!$B$3:$G$54,5,0)</f>
        <v>139390</v>
      </c>
      <c r="J100" s="5">
        <f>VLOOKUP($E100,Sheet3!$B$3:$G$54,4,0)</f>
        <v>2.65</v>
      </c>
      <c r="K100" s="5">
        <f>VLOOKUP($E100,Sheet3!$B$3:$G$54,6,0)</f>
        <v>1.6</v>
      </c>
      <c r="L100" s="6">
        <v>2520</v>
      </c>
      <c r="M100" s="6">
        <v>3330</v>
      </c>
      <c r="N100" s="6">
        <v>14</v>
      </c>
      <c r="O100" s="14">
        <f t="shared" si="3"/>
        <v>1.3214285714285714</v>
      </c>
    </row>
    <row r="101" spans="1:15" x14ac:dyDescent="0.3">
      <c r="A101" s="15" t="s">
        <v>31</v>
      </c>
      <c r="B101" s="12" t="s">
        <v>29</v>
      </c>
      <c r="C101" s="12" t="s">
        <v>29</v>
      </c>
      <c r="D101" s="6">
        <f t="shared" si="2"/>
        <v>7</v>
      </c>
      <c r="E101" s="6">
        <v>22</v>
      </c>
      <c r="F101" s="6">
        <f>VLOOKUP($E101,Sheet3!$B$3:$D$54,2,0)</f>
        <v>5</v>
      </c>
      <c r="G101" s="6">
        <f>VLOOKUP($E101,Sheet3!$B$3:$G$54,3,0)</f>
        <v>0</v>
      </c>
      <c r="H101" s="5">
        <f>VLOOKUP($A101,Sheet3!$I$3:$J$38,2,0)</f>
        <v>23.37</v>
      </c>
      <c r="I101" s="6">
        <f>VLOOKUP($E101,Sheet3!$B$3:$G$54,5,0)</f>
        <v>139390</v>
      </c>
      <c r="J101" s="5">
        <f>VLOOKUP($E101,Sheet3!$B$3:$G$54,4,0)</f>
        <v>2.65</v>
      </c>
      <c r="K101" s="5">
        <f>VLOOKUP($E101,Sheet3!$B$3:$G$54,6,0)</f>
        <v>1.6</v>
      </c>
      <c r="L101" s="6">
        <v>2520</v>
      </c>
      <c r="M101" s="6">
        <v>3420</v>
      </c>
      <c r="N101" s="6">
        <v>15</v>
      </c>
      <c r="O101" s="14">
        <f t="shared" si="3"/>
        <v>1.3571428571428572</v>
      </c>
    </row>
    <row r="102" spans="1:15" x14ac:dyDescent="0.3">
      <c r="A102" s="15" t="s">
        <v>31</v>
      </c>
      <c r="B102" s="12" t="s">
        <v>29</v>
      </c>
      <c r="C102" s="12" t="s">
        <v>29</v>
      </c>
      <c r="D102" s="6">
        <f t="shared" si="2"/>
        <v>11</v>
      </c>
      <c r="E102" s="6">
        <v>23</v>
      </c>
      <c r="F102" s="6">
        <f>VLOOKUP($E102,Sheet3!$B$3:$D$54,2,0)</f>
        <v>5</v>
      </c>
      <c r="G102" s="6">
        <f>VLOOKUP($E102,Sheet3!$B$3:$G$54,3,0)</f>
        <v>1</v>
      </c>
      <c r="H102" s="5">
        <f>VLOOKUP($A102,Sheet3!$I$3:$J$38,2,0)</f>
        <v>23.37</v>
      </c>
      <c r="I102" s="6">
        <f>VLOOKUP($E102,Sheet3!$B$3:$G$54,5,0)</f>
        <v>139390</v>
      </c>
      <c r="J102" s="5">
        <f>VLOOKUP($E102,Sheet3!$B$3:$G$54,4,0)</f>
        <v>2.4</v>
      </c>
      <c r="K102" s="5">
        <f>VLOOKUP($E102,Sheet3!$B$3:$G$54,6,0)</f>
        <v>1.6</v>
      </c>
      <c r="L102" s="6">
        <v>1440</v>
      </c>
      <c r="M102" s="6">
        <v>3060</v>
      </c>
      <c r="N102" s="6">
        <v>12</v>
      </c>
      <c r="O102" s="14">
        <f t="shared" si="3"/>
        <v>2.125</v>
      </c>
    </row>
    <row r="103" spans="1:15" x14ac:dyDescent="0.3">
      <c r="A103" s="15" t="s">
        <v>31</v>
      </c>
      <c r="B103" s="12" t="s">
        <v>29</v>
      </c>
      <c r="C103" s="12" t="s">
        <v>29</v>
      </c>
      <c r="D103" s="6">
        <f t="shared" si="2"/>
        <v>11</v>
      </c>
      <c r="E103" s="6">
        <v>24</v>
      </c>
      <c r="F103" s="6">
        <f>VLOOKUP($E103,Sheet3!$B$3:$D$54,2,0)</f>
        <v>6</v>
      </c>
      <c r="G103" s="6">
        <f>VLOOKUP($E103,Sheet3!$B$3:$G$54,3,0)</f>
        <v>0</v>
      </c>
      <c r="H103" s="5">
        <f>VLOOKUP($A103,Sheet3!$I$3:$J$38,2,0)</f>
        <v>23.37</v>
      </c>
      <c r="I103" s="6">
        <f>VLOOKUP($E103,Sheet3!$B$3:$G$54,5,0)</f>
        <v>132191</v>
      </c>
      <c r="J103" s="5">
        <f>VLOOKUP($E103,Sheet3!$B$3:$G$54,4,0)</f>
        <v>2.4</v>
      </c>
      <c r="K103" s="5">
        <f>VLOOKUP($E103,Sheet3!$B$3:$G$54,6,0)</f>
        <v>1.7</v>
      </c>
      <c r="L103" s="6">
        <v>2430</v>
      </c>
      <c r="M103" s="6">
        <v>2880</v>
      </c>
      <c r="N103" s="6">
        <v>13</v>
      </c>
      <c r="O103" s="14">
        <f t="shared" si="3"/>
        <v>1.1851851851851851</v>
      </c>
    </row>
    <row r="104" spans="1:15" x14ac:dyDescent="0.3">
      <c r="A104" s="15" t="s">
        <v>31</v>
      </c>
      <c r="B104" s="12" t="s">
        <v>29</v>
      </c>
      <c r="C104" s="12" t="s">
        <v>29</v>
      </c>
      <c r="D104" s="6">
        <f t="shared" si="2"/>
        <v>11</v>
      </c>
      <c r="E104" s="6">
        <v>25</v>
      </c>
      <c r="F104" s="6">
        <f>VLOOKUP($E104,Sheet3!$B$3:$D$54,2,0)</f>
        <v>6</v>
      </c>
      <c r="G104" s="6">
        <f>VLOOKUP($E104,Sheet3!$B$3:$G$54,3,0)</f>
        <v>0</v>
      </c>
      <c r="H104" s="5">
        <f>VLOOKUP($A104,Sheet3!$I$3:$J$38,2,0)</f>
        <v>23.37</v>
      </c>
      <c r="I104" s="6">
        <f>VLOOKUP($E104,Sheet3!$B$3:$G$54,5,0)</f>
        <v>132191</v>
      </c>
      <c r="J104" s="5">
        <f>VLOOKUP($E104,Sheet3!$B$3:$G$54,4,0)</f>
        <v>2.4</v>
      </c>
      <c r="K104" s="5">
        <f>VLOOKUP($E104,Sheet3!$B$3:$G$54,6,0)</f>
        <v>1.7</v>
      </c>
      <c r="L104" s="6">
        <v>2520</v>
      </c>
      <c r="M104" s="6">
        <v>3420</v>
      </c>
      <c r="N104" s="6">
        <v>14</v>
      </c>
      <c r="O104" s="14">
        <f t="shared" si="3"/>
        <v>1.3571428571428572</v>
      </c>
    </row>
    <row r="105" spans="1:15" x14ac:dyDescent="0.3">
      <c r="A105" s="15" t="s">
        <v>31</v>
      </c>
      <c r="B105" s="12" t="s">
        <v>29</v>
      </c>
      <c r="C105" s="12" t="s">
        <v>29</v>
      </c>
      <c r="D105" s="6">
        <f t="shared" si="2"/>
        <v>11</v>
      </c>
      <c r="E105" s="6">
        <v>26</v>
      </c>
      <c r="F105" s="6">
        <f>VLOOKUP($E105,Sheet3!$B$3:$D$54,2,0)</f>
        <v>6</v>
      </c>
      <c r="G105" s="6">
        <f>VLOOKUP($E105,Sheet3!$B$3:$G$54,3,0)</f>
        <v>0</v>
      </c>
      <c r="H105" s="5">
        <f>VLOOKUP($A105,Sheet3!$I$3:$J$38,2,0)</f>
        <v>23.37</v>
      </c>
      <c r="I105" s="6">
        <f>VLOOKUP($E105,Sheet3!$B$3:$G$54,5,0)</f>
        <v>132191</v>
      </c>
      <c r="J105" s="5">
        <f>VLOOKUP($E105,Sheet3!$B$3:$G$54,4,0)</f>
        <v>2.4</v>
      </c>
      <c r="K105" s="5">
        <f>VLOOKUP($E105,Sheet3!$B$3:$G$54,6,0)</f>
        <v>1.7</v>
      </c>
      <c r="L105" s="6">
        <v>2430</v>
      </c>
      <c r="M105" s="6">
        <v>1980</v>
      </c>
      <c r="N105" s="6">
        <v>15</v>
      </c>
      <c r="O105" s="14">
        <f t="shared" si="3"/>
        <v>0.81481481481481477</v>
      </c>
    </row>
    <row r="106" spans="1:15" x14ac:dyDescent="0.3">
      <c r="A106" s="13" t="s">
        <v>44</v>
      </c>
      <c r="B106" s="12" t="s">
        <v>29</v>
      </c>
      <c r="C106" s="12" t="s">
        <v>29</v>
      </c>
      <c r="D106" s="6">
        <f t="shared" si="2"/>
        <v>12</v>
      </c>
      <c r="E106" s="6">
        <v>27</v>
      </c>
      <c r="F106" s="6">
        <f>VLOOKUP($E106,Sheet3!$B$3:$D$54,2,0)</f>
        <v>7</v>
      </c>
      <c r="G106" s="6">
        <f>VLOOKUP($E106,Sheet3!$B$3:$G$54,3,0)</f>
        <v>0</v>
      </c>
      <c r="H106" s="5">
        <f>VLOOKUP($A106,Sheet3!$I$3:$J$38,2,0)</f>
        <v>26.39</v>
      </c>
      <c r="I106" s="6">
        <f>VLOOKUP($E106,Sheet3!$B$3:$G$54,5,0)</f>
        <v>124806</v>
      </c>
      <c r="J106" s="5">
        <f>VLOOKUP($E106,Sheet3!$B$3:$G$54,4,0)</f>
        <v>4.5</v>
      </c>
      <c r="K106" s="5">
        <f>VLOOKUP($E106,Sheet3!$B$3:$G$54,6,0)</f>
        <v>1.3</v>
      </c>
      <c r="L106" s="6">
        <v>504</v>
      </c>
      <c r="M106" s="6">
        <v>448</v>
      </c>
      <c r="N106" s="6">
        <v>15</v>
      </c>
      <c r="O106" s="14">
        <f t="shared" si="3"/>
        <v>0.88888888888888884</v>
      </c>
    </row>
    <row r="107" spans="1:15" x14ac:dyDescent="0.3">
      <c r="A107" s="13" t="s">
        <v>44</v>
      </c>
      <c r="B107" s="12" t="s">
        <v>29</v>
      </c>
      <c r="C107" s="12" t="s">
        <v>29</v>
      </c>
      <c r="D107" s="6">
        <f t="shared" si="2"/>
        <v>12</v>
      </c>
      <c r="E107" s="6">
        <v>28</v>
      </c>
      <c r="F107" s="6">
        <f>VLOOKUP($E107,Sheet3!$B$3:$D$54,2,0)</f>
        <v>7</v>
      </c>
      <c r="G107" s="6">
        <f>VLOOKUP($E107,Sheet3!$B$3:$G$54,3,0)</f>
        <v>0</v>
      </c>
      <c r="H107" s="5">
        <f>VLOOKUP($A107,Sheet3!$I$3:$J$38,2,0)</f>
        <v>26.39</v>
      </c>
      <c r="I107" s="6">
        <f>VLOOKUP($E107,Sheet3!$B$3:$G$54,5,0)</f>
        <v>124806</v>
      </c>
      <c r="J107" s="5">
        <f>VLOOKUP($E107,Sheet3!$B$3:$G$54,4,0)</f>
        <v>4.5</v>
      </c>
      <c r="K107" s="5">
        <f>VLOOKUP($E107,Sheet3!$B$3:$G$54,6,0)</f>
        <v>1.3</v>
      </c>
      <c r="L107" s="6">
        <v>504</v>
      </c>
      <c r="M107" s="6">
        <v>392</v>
      </c>
      <c r="N107" s="6">
        <v>16</v>
      </c>
      <c r="O107" s="14">
        <f t="shared" si="3"/>
        <v>0.77777777777777779</v>
      </c>
    </row>
    <row r="108" spans="1:15" x14ac:dyDescent="0.3">
      <c r="A108" s="13" t="s">
        <v>44</v>
      </c>
      <c r="B108" s="12" t="s">
        <v>29</v>
      </c>
      <c r="C108" s="12" t="s">
        <v>29</v>
      </c>
      <c r="D108" s="6">
        <f t="shared" si="2"/>
        <v>13</v>
      </c>
      <c r="E108" s="6">
        <v>29</v>
      </c>
      <c r="F108" s="6">
        <f>VLOOKUP($E108,Sheet3!$B$3:$D$54,2,0)</f>
        <v>7</v>
      </c>
      <c r="G108" s="6">
        <f>VLOOKUP($E108,Sheet3!$B$3:$G$54,3,0)</f>
        <v>0</v>
      </c>
      <c r="H108" s="5">
        <f>VLOOKUP($A108,Sheet3!$I$3:$J$38,2,0)</f>
        <v>26.39</v>
      </c>
      <c r="I108" s="6">
        <f>VLOOKUP($E108,Sheet3!$B$3:$G$54,5,0)</f>
        <v>124806</v>
      </c>
      <c r="J108" s="5">
        <f>VLOOKUP($E108,Sheet3!$B$3:$G$54,4,0)</f>
        <v>4.5</v>
      </c>
      <c r="K108" s="5">
        <f>VLOOKUP($E108,Sheet3!$B$3:$G$54,6,0)</f>
        <v>1.3</v>
      </c>
      <c r="L108" s="6">
        <v>504</v>
      </c>
      <c r="M108" s="6">
        <v>0</v>
      </c>
      <c r="N108" s="6">
        <v>16</v>
      </c>
      <c r="O108" s="14">
        <f t="shared" si="3"/>
        <v>0</v>
      </c>
    </row>
    <row r="109" spans="1:15" x14ac:dyDescent="0.3">
      <c r="A109" s="13" t="s">
        <v>44</v>
      </c>
      <c r="B109" s="12" t="s">
        <v>29</v>
      </c>
      <c r="C109" s="12" t="s">
        <v>29</v>
      </c>
      <c r="D109" s="6">
        <f t="shared" si="2"/>
        <v>13</v>
      </c>
      <c r="E109" s="6">
        <v>30</v>
      </c>
      <c r="F109" s="6">
        <f>VLOOKUP($E109,Sheet3!$B$3:$D$54,2,0)</f>
        <v>7</v>
      </c>
      <c r="G109" s="6">
        <f>VLOOKUP($E109,Sheet3!$B$3:$G$54,3,0)</f>
        <v>0</v>
      </c>
      <c r="H109" s="5">
        <f>VLOOKUP($A109,Sheet3!$I$3:$J$38,2,0)</f>
        <v>26.39</v>
      </c>
      <c r="I109" s="6">
        <f>VLOOKUP($E109,Sheet3!$B$3:$G$54,5,0)</f>
        <v>124806</v>
      </c>
      <c r="J109" s="5">
        <f>VLOOKUP($E109,Sheet3!$B$3:$G$54,4,0)</f>
        <v>4.5</v>
      </c>
      <c r="K109" s="5">
        <f>VLOOKUP($E109,Sheet3!$B$3:$G$54,6,0)</f>
        <v>1.3</v>
      </c>
      <c r="L109" s="6">
        <v>504</v>
      </c>
      <c r="M109" s="6">
        <v>0</v>
      </c>
      <c r="N109" s="6">
        <v>17</v>
      </c>
      <c r="O109" s="14">
        <f t="shared" si="3"/>
        <v>0</v>
      </c>
    </row>
    <row r="110" spans="1:15" x14ac:dyDescent="0.3">
      <c r="A110" s="13" t="s">
        <v>44</v>
      </c>
      <c r="B110" s="12" t="s">
        <v>29</v>
      </c>
      <c r="C110" s="12" t="s">
        <v>29</v>
      </c>
      <c r="D110" s="6">
        <f t="shared" si="2"/>
        <v>13</v>
      </c>
      <c r="E110" s="6">
        <v>31</v>
      </c>
      <c r="F110" s="6">
        <f>VLOOKUP($E110,Sheet3!$B$3:$D$54,2,0)</f>
        <v>7</v>
      </c>
      <c r="G110" s="6">
        <f>VLOOKUP($E110,Sheet3!$B$3:$G$54,3,0)</f>
        <v>0</v>
      </c>
      <c r="H110" s="5">
        <f>VLOOKUP($A110,Sheet3!$I$3:$J$38,2,0)</f>
        <v>26.39</v>
      </c>
      <c r="I110" s="6">
        <f>VLOOKUP($E110,Sheet3!$B$3:$G$54,5,0)</f>
        <v>124806</v>
      </c>
      <c r="J110" s="5">
        <f>VLOOKUP($E110,Sheet3!$B$3:$G$54,4,0)</f>
        <v>4.5</v>
      </c>
      <c r="K110" s="5">
        <f>VLOOKUP($E110,Sheet3!$B$3:$G$54,6,0)</f>
        <v>1.3</v>
      </c>
      <c r="L110" s="6">
        <v>336</v>
      </c>
      <c r="M110" s="6">
        <v>0</v>
      </c>
      <c r="N110" s="6">
        <v>18</v>
      </c>
      <c r="O110" s="14">
        <f t="shared" si="3"/>
        <v>0</v>
      </c>
    </row>
    <row r="111" spans="1:15" x14ac:dyDescent="0.3">
      <c r="A111" s="13" t="s">
        <v>44</v>
      </c>
      <c r="B111" s="12" t="s">
        <v>29</v>
      </c>
      <c r="C111" s="12" t="s">
        <v>29</v>
      </c>
      <c r="D111" s="6">
        <f t="shared" si="2"/>
        <v>14</v>
      </c>
      <c r="E111" s="6">
        <v>32</v>
      </c>
      <c r="F111" s="6">
        <f>VLOOKUP($E111,Sheet3!$B$3:$D$54,2,0)</f>
        <v>8</v>
      </c>
      <c r="G111" s="6">
        <f>VLOOKUP($E111,Sheet3!$B$3:$G$54,3,0)</f>
        <v>1</v>
      </c>
      <c r="H111" s="5">
        <f>VLOOKUP($A111,Sheet3!$I$3:$J$38,2,0)</f>
        <v>26.39</v>
      </c>
      <c r="I111" s="6">
        <f>VLOOKUP($E111,Sheet3!$B$3:$G$54,5,0)</f>
        <v>69121</v>
      </c>
      <c r="J111" s="5">
        <f>VLOOKUP($E111,Sheet3!$B$3:$G$54,4,0)</f>
        <v>4.5</v>
      </c>
      <c r="K111" s="5">
        <f>VLOOKUP($E111,Sheet3!$B$3:$G$54,6,0)</f>
        <v>1.1000000000000001</v>
      </c>
      <c r="L111" s="6">
        <v>0</v>
      </c>
      <c r="M111" s="6">
        <v>0</v>
      </c>
      <c r="N111" s="6">
        <v>18</v>
      </c>
      <c r="O111" s="14" t="e">
        <f t="shared" si="3"/>
        <v>#DIV/0!</v>
      </c>
    </row>
    <row r="112" spans="1:15" x14ac:dyDescent="0.3">
      <c r="A112" s="13" t="s">
        <v>44</v>
      </c>
      <c r="B112" s="12" t="s">
        <v>29</v>
      </c>
      <c r="C112" s="12" t="s">
        <v>29</v>
      </c>
      <c r="D112" s="6">
        <f t="shared" si="2"/>
        <v>15</v>
      </c>
      <c r="E112" s="6">
        <v>33</v>
      </c>
      <c r="F112" s="6">
        <f>VLOOKUP($E112,Sheet3!$B$3:$D$54,2,0)</f>
        <v>8</v>
      </c>
      <c r="G112" s="6">
        <f>VLOOKUP($E112,Sheet3!$B$3:$G$54,3,0)</f>
        <v>1</v>
      </c>
      <c r="H112" s="5">
        <f>VLOOKUP($A112,Sheet3!$I$3:$J$38,2,0)</f>
        <v>26.39</v>
      </c>
      <c r="I112" s="6">
        <f>VLOOKUP($E112,Sheet3!$B$3:$G$54,5,0)</f>
        <v>69121</v>
      </c>
      <c r="J112" s="5">
        <f>VLOOKUP($E112,Sheet3!$B$3:$G$54,4,0)</f>
        <v>4.5</v>
      </c>
      <c r="K112" s="5">
        <f>VLOOKUP($E112,Sheet3!$B$3:$G$54,6,0)</f>
        <v>1.1000000000000001</v>
      </c>
      <c r="L112" s="6">
        <v>0</v>
      </c>
      <c r="M112" s="6">
        <v>0</v>
      </c>
      <c r="N112" s="6">
        <v>18</v>
      </c>
      <c r="O112" s="14" t="e">
        <f t="shared" si="3"/>
        <v>#DIV/0!</v>
      </c>
    </row>
    <row r="113" spans="1:15" x14ac:dyDescent="0.3">
      <c r="A113" s="13" t="s">
        <v>44</v>
      </c>
      <c r="B113" s="12" t="s">
        <v>29</v>
      </c>
      <c r="C113" s="12" t="s">
        <v>29</v>
      </c>
      <c r="D113" s="6">
        <f t="shared" si="2"/>
        <v>15</v>
      </c>
      <c r="E113" s="6">
        <v>34</v>
      </c>
      <c r="F113" s="6">
        <f>VLOOKUP($E113,Sheet3!$B$3:$D$54,2,0)</f>
        <v>8</v>
      </c>
      <c r="G113" s="6">
        <f>VLOOKUP($E113,Sheet3!$B$3:$G$54,3,0)</f>
        <v>0</v>
      </c>
      <c r="H113" s="5">
        <f>VLOOKUP($A113,Sheet3!$I$3:$J$38,2,0)</f>
        <v>26.39</v>
      </c>
      <c r="I113" s="6">
        <f>VLOOKUP($E113,Sheet3!$B$3:$G$54,5,0)</f>
        <v>69121</v>
      </c>
      <c r="J113" s="5">
        <f>VLOOKUP($E113,Sheet3!$B$3:$G$54,4,0)</f>
        <v>4.5</v>
      </c>
      <c r="K113" s="5">
        <f>VLOOKUP($E113,Sheet3!$B$3:$G$54,6,0)</f>
        <v>1.1000000000000001</v>
      </c>
      <c r="L113" s="6">
        <v>784</v>
      </c>
      <c r="M113" s="6">
        <v>0</v>
      </c>
      <c r="N113" s="6">
        <v>19</v>
      </c>
      <c r="O113" s="14">
        <f t="shared" si="3"/>
        <v>0</v>
      </c>
    </row>
    <row r="114" spans="1:15" x14ac:dyDescent="0.3">
      <c r="A114" s="13" t="s">
        <v>44</v>
      </c>
      <c r="B114" s="12" t="s">
        <v>29</v>
      </c>
      <c r="C114" s="12" t="s">
        <v>29</v>
      </c>
      <c r="D114" s="6">
        <f t="shared" si="2"/>
        <v>15</v>
      </c>
      <c r="E114" s="6">
        <v>35</v>
      </c>
      <c r="F114" s="6">
        <f>VLOOKUP($E114,Sheet3!$B$3:$D$54,2,0)</f>
        <v>8</v>
      </c>
      <c r="G114" s="6">
        <f>VLOOKUP($E114,Sheet3!$B$3:$G$54,3,0)</f>
        <v>0</v>
      </c>
      <c r="H114" s="5">
        <f>VLOOKUP($A114,Sheet3!$I$3:$J$38,2,0)</f>
        <v>26.39</v>
      </c>
      <c r="I114" s="6">
        <f>VLOOKUP($E114,Sheet3!$B$3:$G$54,5,0)</f>
        <v>69121</v>
      </c>
      <c r="J114" s="5">
        <f>VLOOKUP($E114,Sheet3!$B$3:$G$54,4,0)</f>
        <v>4.5</v>
      </c>
      <c r="K114" s="5">
        <f>VLOOKUP($E114,Sheet3!$B$3:$G$54,6,0)</f>
        <v>1.1000000000000001</v>
      </c>
      <c r="L114" s="6">
        <v>728</v>
      </c>
      <c r="M114" s="6">
        <v>728</v>
      </c>
      <c r="N114" s="6">
        <v>20</v>
      </c>
      <c r="O114" s="14">
        <f t="shared" si="3"/>
        <v>1</v>
      </c>
    </row>
    <row r="115" spans="1:15" x14ac:dyDescent="0.3">
      <c r="A115" s="13" t="s">
        <v>44</v>
      </c>
      <c r="B115" s="12" t="s">
        <v>29</v>
      </c>
      <c r="C115" s="12" t="s">
        <v>29</v>
      </c>
      <c r="D115" s="6">
        <f t="shared" si="2"/>
        <v>23</v>
      </c>
      <c r="E115" s="6">
        <v>36</v>
      </c>
      <c r="F115" s="6">
        <f>VLOOKUP($E115,Sheet3!$B$3:$D$54,2,0)</f>
        <v>9</v>
      </c>
      <c r="G115" s="6">
        <f>VLOOKUP($E115,Sheet3!$B$3:$G$54,3,0)</f>
        <v>0</v>
      </c>
      <c r="H115" s="5">
        <f>VLOOKUP($A115,Sheet3!$I$3:$J$38,2,0)</f>
        <v>26.39</v>
      </c>
      <c r="I115" s="6">
        <f>VLOOKUP($E115,Sheet3!$B$3:$G$54,5,0)</f>
        <v>121666</v>
      </c>
      <c r="J115" s="5">
        <f>VLOOKUP($E115,Sheet3!$B$3:$G$54,4,0)</f>
        <v>4.5</v>
      </c>
      <c r="K115" s="5">
        <f>VLOOKUP($E115,Sheet3!$B$3:$G$54,6,0)</f>
        <v>0.7</v>
      </c>
      <c r="L115" s="6">
        <v>728</v>
      </c>
      <c r="M115" s="6">
        <v>224</v>
      </c>
      <c r="N115" s="6">
        <v>13</v>
      </c>
      <c r="O115" s="14">
        <f t="shared" si="3"/>
        <v>0.30769230769230771</v>
      </c>
    </row>
    <row r="116" spans="1:15" x14ac:dyDescent="0.3">
      <c r="A116" s="13" t="s">
        <v>44</v>
      </c>
      <c r="B116" s="12" t="s">
        <v>29</v>
      </c>
      <c r="C116" s="12" t="s">
        <v>29</v>
      </c>
      <c r="D116" s="6">
        <f t="shared" si="2"/>
        <v>23</v>
      </c>
      <c r="E116" s="6">
        <v>37</v>
      </c>
      <c r="F116" s="6">
        <f>VLOOKUP($E116,Sheet3!$B$3:$D$54,2,0)</f>
        <v>9</v>
      </c>
      <c r="G116" s="6">
        <f>VLOOKUP($E116,Sheet3!$B$3:$G$54,3,0)</f>
        <v>0</v>
      </c>
      <c r="H116" s="5">
        <f>VLOOKUP($A116,Sheet3!$I$3:$J$38,2,0)</f>
        <v>26.39</v>
      </c>
      <c r="I116" s="6">
        <f>VLOOKUP($E116,Sheet3!$B$3:$G$54,5,0)</f>
        <v>121666</v>
      </c>
      <c r="J116" s="5">
        <f>VLOOKUP($E116,Sheet3!$B$3:$G$54,4,0)</f>
        <v>4.5</v>
      </c>
      <c r="K116" s="5">
        <f>VLOOKUP($E116,Sheet3!$B$3:$G$54,6,0)</f>
        <v>0.7</v>
      </c>
      <c r="L116" s="6">
        <v>728</v>
      </c>
      <c r="M116" s="6">
        <v>616</v>
      </c>
      <c r="N116" s="6">
        <v>14</v>
      </c>
      <c r="O116" s="14">
        <f t="shared" si="3"/>
        <v>0.84615384615384615</v>
      </c>
    </row>
    <row r="117" spans="1:15" x14ac:dyDescent="0.3">
      <c r="A117" s="13" t="s">
        <v>44</v>
      </c>
      <c r="B117" s="12" t="s">
        <v>29</v>
      </c>
      <c r="C117" s="12" t="s">
        <v>29</v>
      </c>
      <c r="D117" s="6">
        <f t="shared" si="2"/>
        <v>23</v>
      </c>
      <c r="E117" s="6">
        <v>38</v>
      </c>
      <c r="F117" s="6">
        <f>VLOOKUP($E117,Sheet3!$B$3:$D$54,2,0)</f>
        <v>9</v>
      </c>
      <c r="G117" s="6">
        <f>VLOOKUP($E117,Sheet3!$B$3:$G$54,3,0)</f>
        <v>0</v>
      </c>
      <c r="H117" s="5">
        <f>VLOOKUP($A117,Sheet3!$I$3:$J$38,2,0)</f>
        <v>26.39</v>
      </c>
      <c r="I117" s="6">
        <f>VLOOKUP($E117,Sheet3!$B$3:$G$54,5,0)</f>
        <v>121666</v>
      </c>
      <c r="J117" s="5">
        <f>VLOOKUP($E117,Sheet3!$B$3:$G$54,4,0)</f>
        <v>3.9</v>
      </c>
      <c r="K117" s="5">
        <f>VLOOKUP($E117,Sheet3!$B$3:$G$54,6,0)</f>
        <v>0.7</v>
      </c>
      <c r="L117" s="6">
        <v>728</v>
      </c>
      <c r="M117" s="6">
        <v>560</v>
      </c>
      <c r="N117" s="6">
        <v>15</v>
      </c>
      <c r="O117" s="14">
        <f t="shared" si="3"/>
        <v>0.76923076923076927</v>
      </c>
    </row>
    <row r="118" spans="1:15" x14ac:dyDescent="0.3">
      <c r="A118" s="13" t="s">
        <v>44</v>
      </c>
      <c r="B118" s="12" t="s">
        <v>29</v>
      </c>
      <c r="C118" s="12" t="s">
        <v>29</v>
      </c>
      <c r="D118" s="6">
        <f t="shared" si="2"/>
        <v>23</v>
      </c>
      <c r="E118" s="6">
        <v>39</v>
      </c>
      <c r="F118" s="6">
        <f>VLOOKUP($E118,Sheet3!$B$3:$D$54,2,0)</f>
        <v>9</v>
      </c>
      <c r="G118" s="6">
        <f>VLOOKUP($E118,Sheet3!$B$3:$G$54,3,0)</f>
        <v>0</v>
      </c>
      <c r="H118" s="5">
        <f>VLOOKUP($A118,Sheet3!$I$3:$J$38,2,0)</f>
        <v>26.39</v>
      </c>
      <c r="I118" s="6">
        <f>VLOOKUP($E118,Sheet3!$B$3:$G$54,5,0)</f>
        <v>121666</v>
      </c>
      <c r="J118" s="5">
        <f>VLOOKUP($E118,Sheet3!$B$3:$G$54,4,0)</f>
        <v>3.9</v>
      </c>
      <c r="K118" s="5">
        <f>VLOOKUP($E118,Sheet3!$B$3:$G$54,6,0)</f>
        <v>0.7</v>
      </c>
      <c r="L118" s="6">
        <v>728</v>
      </c>
      <c r="M118" s="6">
        <v>560</v>
      </c>
      <c r="N118" s="6">
        <v>16</v>
      </c>
      <c r="O118" s="14">
        <f t="shared" si="3"/>
        <v>0.76923076923076927</v>
      </c>
    </row>
    <row r="119" spans="1:15" x14ac:dyDescent="0.3">
      <c r="A119" s="13" t="s">
        <v>44</v>
      </c>
      <c r="B119" s="12" t="s">
        <v>29</v>
      </c>
      <c r="C119" s="12" t="s">
        <v>29</v>
      </c>
      <c r="D119" s="6">
        <f t="shared" si="2"/>
        <v>27</v>
      </c>
      <c r="E119" s="6">
        <v>40</v>
      </c>
      <c r="F119" s="6">
        <f>VLOOKUP($E119,Sheet3!$B$3:$D$54,2,0)</f>
        <v>9</v>
      </c>
      <c r="G119" s="6">
        <f>VLOOKUP($E119,Sheet3!$B$3:$G$54,3,0)</f>
        <v>0</v>
      </c>
      <c r="H119" s="5">
        <f>VLOOKUP($A119,Sheet3!$I$3:$J$38,2,0)</f>
        <v>26.39</v>
      </c>
      <c r="I119" s="6">
        <f>VLOOKUP($E119,Sheet3!$B$3:$G$54,5,0)</f>
        <v>121666</v>
      </c>
      <c r="J119" s="5">
        <f>VLOOKUP($E119,Sheet3!$B$3:$G$54,4,0)</f>
        <v>3.9</v>
      </c>
      <c r="K119" s="5">
        <f>VLOOKUP($E119,Sheet3!$B$3:$G$54,6,0)</f>
        <v>0.7</v>
      </c>
      <c r="L119" s="6">
        <v>840</v>
      </c>
      <c r="M119" s="6">
        <v>280</v>
      </c>
      <c r="N119" s="6">
        <v>13</v>
      </c>
      <c r="O119" s="14">
        <f t="shared" si="3"/>
        <v>0.33333333333333331</v>
      </c>
    </row>
    <row r="120" spans="1:15" x14ac:dyDescent="0.3">
      <c r="A120" s="13" t="s">
        <v>44</v>
      </c>
      <c r="B120" s="12" t="s">
        <v>29</v>
      </c>
      <c r="C120" s="12" t="s">
        <v>29</v>
      </c>
      <c r="D120" s="6">
        <f t="shared" si="2"/>
        <v>27</v>
      </c>
      <c r="E120" s="6">
        <v>41</v>
      </c>
      <c r="F120" s="6">
        <f>VLOOKUP($E120,Sheet3!$B$3:$D$54,2,0)</f>
        <v>10</v>
      </c>
      <c r="G120" s="6">
        <f>VLOOKUP($E120,Sheet3!$B$3:$G$54,3,0)</f>
        <v>0</v>
      </c>
      <c r="H120" s="5">
        <f>VLOOKUP($A120,Sheet3!$I$3:$J$38,2,0)</f>
        <v>26.39</v>
      </c>
      <c r="I120" s="6">
        <f>VLOOKUP($E120,Sheet3!$B$3:$G$54,5,0)</f>
        <v>126488</v>
      </c>
      <c r="J120" s="5">
        <f>VLOOKUP($E120,Sheet3!$B$3:$G$54,4,0)</f>
        <v>3.9</v>
      </c>
      <c r="K120" s="5">
        <f>VLOOKUP($E120,Sheet3!$B$3:$G$54,6,0)</f>
        <v>0.9</v>
      </c>
      <c r="L120" s="6">
        <v>896</v>
      </c>
      <c r="M120" s="6">
        <v>0</v>
      </c>
      <c r="N120" s="6">
        <v>14</v>
      </c>
      <c r="O120" s="14">
        <f t="shared" si="3"/>
        <v>0</v>
      </c>
    </row>
    <row r="121" spans="1:15" x14ac:dyDescent="0.3">
      <c r="A121" s="13" t="s">
        <v>44</v>
      </c>
      <c r="B121" s="12" t="s">
        <v>29</v>
      </c>
      <c r="C121" s="12" t="s">
        <v>29</v>
      </c>
      <c r="D121" s="6">
        <f t="shared" si="2"/>
        <v>27</v>
      </c>
      <c r="E121" s="6">
        <v>42</v>
      </c>
      <c r="F121" s="6">
        <f>VLOOKUP($E121,Sheet3!$B$3:$D$54,2,0)</f>
        <v>10</v>
      </c>
      <c r="G121" s="6">
        <f>VLOOKUP($E121,Sheet3!$B$3:$G$54,3,0)</f>
        <v>0</v>
      </c>
      <c r="H121" s="5">
        <f>VLOOKUP($A121,Sheet3!$I$3:$J$38,2,0)</f>
        <v>26.39</v>
      </c>
      <c r="I121" s="6">
        <f>VLOOKUP($E121,Sheet3!$B$3:$G$54,5,0)</f>
        <v>126488</v>
      </c>
      <c r="J121" s="5">
        <f>VLOOKUP($E121,Sheet3!$B$3:$G$54,4,0)</f>
        <v>3.9</v>
      </c>
      <c r="K121" s="5">
        <f>VLOOKUP($E121,Sheet3!$B$3:$G$54,6,0)</f>
        <v>0.9</v>
      </c>
      <c r="L121" s="6">
        <v>896</v>
      </c>
      <c r="M121" s="6">
        <v>168</v>
      </c>
      <c r="N121" s="6">
        <v>15</v>
      </c>
      <c r="O121" s="14">
        <f t="shared" si="3"/>
        <v>0.1875</v>
      </c>
    </row>
    <row r="122" spans="1:15" x14ac:dyDescent="0.3">
      <c r="A122" s="13" t="s">
        <v>44</v>
      </c>
      <c r="B122" s="12" t="s">
        <v>29</v>
      </c>
      <c r="C122" s="12" t="s">
        <v>29</v>
      </c>
      <c r="D122" s="6">
        <f t="shared" si="2"/>
        <v>27</v>
      </c>
      <c r="E122" s="6">
        <v>43</v>
      </c>
      <c r="F122" s="6">
        <f>VLOOKUP($E122,Sheet3!$B$3:$D$54,2,0)</f>
        <v>10</v>
      </c>
      <c r="G122" s="6">
        <f>VLOOKUP($E122,Sheet3!$B$3:$G$54,3,0)</f>
        <v>0</v>
      </c>
      <c r="H122" s="5">
        <f>VLOOKUP($A122,Sheet3!$I$3:$J$38,2,0)</f>
        <v>26.39</v>
      </c>
      <c r="I122" s="6">
        <f>VLOOKUP($E122,Sheet3!$B$3:$G$54,5,0)</f>
        <v>126488</v>
      </c>
      <c r="J122" s="5">
        <f>VLOOKUP($E122,Sheet3!$B$3:$G$54,4,0)</f>
        <v>3.65</v>
      </c>
      <c r="K122" s="5">
        <f>VLOOKUP($E122,Sheet3!$B$3:$G$54,6,0)</f>
        <v>0.9</v>
      </c>
      <c r="L122" s="6">
        <v>728</v>
      </c>
      <c r="M122" s="6">
        <v>504</v>
      </c>
      <c r="N122" s="6">
        <v>16</v>
      </c>
      <c r="O122" s="14">
        <f t="shared" si="3"/>
        <v>0.69230769230769229</v>
      </c>
    </row>
    <row r="123" spans="1:15" x14ac:dyDescent="0.3">
      <c r="A123" s="13" t="s">
        <v>44</v>
      </c>
      <c r="B123" s="12" t="s">
        <v>29</v>
      </c>
      <c r="C123" s="12" t="s">
        <v>29</v>
      </c>
      <c r="D123" s="6">
        <f t="shared" si="2"/>
        <v>27</v>
      </c>
      <c r="E123" s="6">
        <v>44</v>
      </c>
      <c r="F123" s="6">
        <f>VLOOKUP($E123,Sheet3!$B$3:$D$54,2,0)</f>
        <v>10</v>
      </c>
      <c r="G123" s="6">
        <f>VLOOKUP($E123,Sheet3!$B$3:$G$54,3,0)</f>
        <v>1</v>
      </c>
      <c r="H123" s="5">
        <f>VLOOKUP($A123,Sheet3!$I$3:$J$38,2,0)</f>
        <v>26.39</v>
      </c>
      <c r="I123" s="6">
        <f>VLOOKUP($E123,Sheet3!$B$3:$G$54,5,0)</f>
        <v>126488</v>
      </c>
      <c r="J123" s="5">
        <f>VLOOKUP($E123,Sheet3!$B$3:$G$54,4,0)</f>
        <v>3.65</v>
      </c>
      <c r="K123" s="5">
        <f>VLOOKUP($E123,Sheet3!$B$3:$G$54,6,0)</f>
        <v>0.9</v>
      </c>
      <c r="L123" s="6">
        <v>616</v>
      </c>
      <c r="M123" s="6">
        <v>0</v>
      </c>
      <c r="N123" s="6">
        <v>17</v>
      </c>
      <c r="O123" s="14">
        <f t="shared" si="3"/>
        <v>0</v>
      </c>
    </row>
    <row r="124" spans="1:15" x14ac:dyDescent="0.3">
      <c r="A124" s="13" t="s">
        <v>44</v>
      </c>
      <c r="B124" s="12" t="s">
        <v>29</v>
      </c>
      <c r="C124" s="12" t="s">
        <v>29</v>
      </c>
      <c r="D124" s="6">
        <f t="shared" si="2"/>
        <v>36</v>
      </c>
      <c r="E124" s="6">
        <v>45</v>
      </c>
      <c r="F124" s="6">
        <f>VLOOKUP($E124,Sheet3!$B$3:$D$54,2,0)</f>
        <v>11</v>
      </c>
      <c r="G124" s="6">
        <f>VLOOKUP($E124,Sheet3!$B$3:$G$54,3,0)</f>
        <v>0</v>
      </c>
      <c r="H124" s="5">
        <f>VLOOKUP($A124,Sheet3!$I$3:$J$38,2,0)</f>
        <v>26.39</v>
      </c>
      <c r="I124" s="6">
        <f>VLOOKUP($E124,Sheet3!$B$3:$G$54,5,0)</f>
        <v>124251</v>
      </c>
      <c r="J124" s="5">
        <f>VLOOKUP($E124,Sheet3!$B$3:$G$54,4,0)</f>
        <v>3.65</v>
      </c>
      <c r="K124" s="5">
        <f>VLOOKUP($E124,Sheet3!$B$3:$G$54,6,0)</f>
        <v>1.3</v>
      </c>
      <c r="L124" s="6">
        <v>840</v>
      </c>
      <c r="M124" s="6">
        <v>672</v>
      </c>
      <c r="N124" s="6">
        <v>9</v>
      </c>
      <c r="O124" s="14">
        <f t="shared" si="3"/>
        <v>0.8</v>
      </c>
    </row>
    <row r="125" spans="1:15" x14ac:dyDescent="0.3">
      <c r="A125" s="13" t="s">
        <v>44</v>
      </c>
      <c r="B125" s="12" t="s">
        <v>29</v>
      </c>
      <c r="C125" s="12" t="s">
        <v>29</v>
      </c>
      <c r="D125" s="6">
        <f t="shared" si="2"/>
        <v>36</v>
      </c>
      <c r="E125" s="6">
        <v>46</v>
      </c>
      <c r="F125" s="6">
        <f>VLOOKUP($E125,Sheet3!$B$3:$D$54,2,0)</f>
        <v>11</v>
      </c>
      <c r="G125" s="6">
        <f>VLOOKUP($E125,Sheet3!$B$3:$G$54,3,0)</f>
        <v>0</v>
      </c>
      <c r="H125" s="5">
        <f>VLOOKUP($A125,Sheet3!$I$3:$J$38,2,0)</f>
        <v>26.39</v>
      </c>
      <c r="I125" s="6">
        <f>VLOOKUP($E125,Sheet3!$B$3:$G$54,5,0)</f>
        <v>124251</v>
      </c>
      <c r="J125" s="5">
        <f>VLOOKUP($E125,Sheet3!$B$3:$G$54,4,0)</f>
        <v>3.65</v>
      </c>
      <c r="K125" s="5">
        <f>VLOOKUP($E125,Sheet3!$B$3:$G$54,6,0)</f>
        <v>1.3</v>
      </c>
      <c r="L125" s="6">
        <v>840</v>
      </c>
      <c r="M125" s="6">
        <v>224</v>
      </c>
      <c r="N125" s="6">
        <v>10</v>
      </c>
      <c r="O125" s="14">
        <f t="shared" si="3"/>
        <v>0.26666666666666666</v>
      </c>
    </row>
    <row r="126" spans="1:15" x14ac:dyDescent="0.3">
      <c r="A126" s="13" t="s">
        <v>44</v>
      </c>
      <c r="B126" s="12" t="s">
        <v>29</v>
      </c>
      <c r="C126" s="12" t="s">
        <v>29</v>
      </c>
      <c r="D126" s="6">
        <f t="shared" si="2"/>
        <v>36</v>
      </c>
      <c r="E126" s="6">
        <v>47</v>
      </c>
      <c r="F126" s="6">
        <f>VLOOKUP($E126,Sheet3!$B$3:$D$54,2,0)</f>
        <v>11</v>
      </c>
      <c r="G126" s="6">
        <f>VLOOKUP($E126,Sheet3!$B$3:$G$54,3,0)</f>
        <v>0</v>
      </c>
      <c r="H126" s="5">
        <f>VLOOKUP($A126,Sheet3!$I$3:$J$38,2,0)</f>
        <v>26.39</v>
      </c>
      <c r="I126" s="6">
        <f>VLOOKUP($E126,Sheet3!$B$3:$G$54,5,0)</f>
        <v>124251</v>
      </c>
      <c r="J126" s="5">
        <f>VLOOKUP($E126,Sheet3!$B$3:$G$54,4,0)</f>
        <v>3.65</v>
      </c>
      <c r="K126" s="5">
        <f>VLOOKUP($E126,Sheet3!$B$3:$G$54,6,0)</f>
        <v>1.3</v>
      </c>
      <c r="L126" s="6">
        <v>840</v>
      </c>
      <c r="M126" s="6">
        <v>784</v>
      </c>
      <c r="N126" s="6">
        <v>11</v>
      </c>
      <c r="O126" s="14">
        <f t="shared" si="3"/>
        <v>0.93333333333333335</v>
      </c>
    </row>
    <row r="127" spans="1:15" x14ac:dyDescent="0.3">
      <c r="A127" s="13" t="s">
        <v>44</v>
      </c>
      <c r="B127" s="12" t="s">
        <v>29</v>
      </c>
      <c r="C127" s="12" t="s">
        <v>29</v>
      </c>
      <c r="D127" s="6">
        <f t="shared" si="2"/>
        <v>36</v>
      </c>
      <c r="E127" s="6">
        <v>48</v>
      </c>
      <c r="F127" s="6">
        <f>VLOOKUP($E127,Sheet3!$B$3:$D$54,2,0)</f>
        <v>11</v>
      </c>
      <c r="G127" s="6">
        <f>VLOOKUP($E127,Sheet3!$B$3:$G$54,3,0)</f>
        <v>0</v>
      </c>
      <c r="H127" s="5">
        <f>VLOOKUP($A127,Sheet3!$I$3:$J$38,2,0)</f>
        <v>26.39</v>
      </c>
      <c r="I127" s="6">
        <f>VLOOKUP($E127,Sheet3!$B$3:$G$54,5,0)</f>
        <v>124251</v>
      </c>
      <c r="J127" s="5">
        <f>VLOOKUP($E127,Sheet3!$B$3:$G$54,4,0)</f>
        <v>3.65</v>
      </c>
      <c r="K127" s="5">
        <f>VLOOKUP($E127,Sheet3!$B$3:$G$54,6,0)</f>
        <v>1.3</v>
      </c>
      <c r="L127" s="6">
        <v>896</v>
      </c>
      <c r="M127" s="6">
        <v>336</v>
      </c>
      <c r="N127" s="6">
        <v>12</v>
      </c>
      <c r="O127" s="14">
        <f t="shared" si="3"/>
        <v>0.375</v>
      </c>
    </row>
    <row r="128" spans="1:15" x14ac:dyDescent="0.3">
      <c r="A128" s="13" t="s">
        <v>44</v>
      </c>
      <c r="B128" s="12" t="s">
        <v>29</v>
      </c>
      <c r="C128" s="12" t="s">
        <v>29</v>
      </c>
      <c r="D128" s="6">
        <f t="shared" si="2"/>
        <v>38</v>
      </c>
      <c r="E128" s="6">
        <v>49</v>
      </c>
      <c r="F128" s="6">
        <f>VLOOKUP($E128,Sheet3!$B$3:$D$54,2,0)</f>
        <v>12</v>
      </c>
      <c r="G128" s="6">
        <f>VLOOKUP($E128,Sheet3!$B$3:$G$54,3,0)</f>
        <v>1</v>
      </c>
      <c r="H128" s="5">
        <f>VLOOKUP($A128,Sheet3!$I$3:$J$38,2,0)</f>
        <v>26.39</v>
      </c>
      <c r="I128" s="6">
        <f>VLOOKUP($E128,Sheet3!$B$3:$G$54,5,0)</f>
        <v>105715</v>
      </c>
      <c r="J128" s="5">
        <f>VLOOKUP($E128,Sheet3!$B$3:$G$54,4,0)</f>
        <v>3.65</v>
      </c>
      <c r="K128" s="5">
        <f>VLOOKUP($E128,Sheet3!$B$3:$G$54,6,0)</f>
        <v>1.3</v>
      </c>
      <c r="L128" s="6">
        <v>224</v>
      </c>
      <c r="M128" s="6">
        <v>952</v>
      </c>
      <c r="N128" s="6">
        <v>11</v>
      </c>
      <c r="O128" s="14">
        <f t="shared" si="3"/>
        <v>4.25</v>
      </c>
    </row>
    <row r="129" spans="1:15" x14ac:dyDescent="0.3">
      <c r="A129" s="13" t="s">
        <v>44</v>
      </c>
      <c r="B129" s="12" t="s">
        <v>29</v>
      </c>
      <c r="C129" s="12" t="s">
        <v>29</v>
      </c>
      <c r="D129" s="6">
        <f t="shared" ref="D129:D191" si="4">IF(E129-N129&lt;0,E129-N129+52,E129-N129)</f>
        <v>39</v>
      </c>
      <c r="E129" s="6">
        <v>50</v>
      </c>
      <c r="F129" s="6">
        <f>VLOOKUP($E129,Sheet3!$B$3:$D$54,2,0)</f>
        <v>12</v>
      </c>
      <c r="G129" s="6">
        <f>VLOOKUP($E129,Sheet3!$B$3:$G$54,3,0)</f>
        <v>0</v>
      </c>
      <c r="H129" s="5">
        <f>VLOOKUP($A129,Sheet3!$I$3:$J$38,2,0)</f>
        <v>26.39</v>
      </c>
      <c r="I129" s="6">
        <f>VLOOKUP($E129,Sheet3!$B$3:$G$54,5,0)</f>
        <v>105715</v>
      </c>
      <c r="J129" s="5">
        <f>VLOOKUP($E129,Sheet3!$B$3:$G$54,4,0)</f>
        <v>3.4</v>
      </c>
      <c r="K129" s="5">
        <f>VLOOKUP($E129,Sheet3!$B$3:$G$54,6,0)</f>
        <v>1.3</v>
      </c>
      <c r="L129" s="6">
        <v>728</v>
      </c>
      <c r="M129" s="6">
        <v>168</v>
      </c>
      <c r="N129" s="6">
        <v>11</v>
      </c>
      <c r="O129" s="14">
        <f t="shared" ref="O129:O191" si="5">M129/L129</f>
        <v>0.23076923076923078</v>
      </c>
    </row>
    <row r="130" spans="1:15" x14ac:dyDescent="0.3">
      <c r="A130" s="13" t="s">
        <v>44</v>
      </c>
      <c r="B130" s="12" t="s">
        <v>29</v>
      </c>
      <c r="C130" s="12" t="s">
        <v>29</v>
      </c>
      <c r="D130" s="6">
        <f t="shared" si="4"/>
        <v>38</v>
      </c>
      <c r="E130" s="6">
        <v>51</v>
      </c>
      <c r="F130" s="6">
        <f>VLOOKUP($E130,Sheet3!$B$3:$D$54,2,0)</f>
        <v>12</v>
      </c>
      <c r="G130" s="6">
        <f>VLOOKUP($E130,Sheet3!$B$3:$G$54,3,0)</f>
        <v>0</v>
      </c>
      <c r="H130" s="5">
        <f>VLOOKUP($A130,Sheet3!$I$3:$J$38,2,0)</f>
        <v>26.39</v>
      </c>
      <c r="I130" s="6">
        <f>VLOOKUP($E130,Sheet3!$B$3:$G$54,5,0)</f>
        <v>105715</v>
      </c>
      <c r="J130" s="5">
        <f>VLOOKUP($E130,Sheet3!$B$3:$G$54,4,0)</f>
        <v>3.4</v>
      </c>
      <c r="K130" s="5">
        <f>VLOOKUP($E130,Sheet3!$B$3:$G$54,6,0)</f>
        <v>1.3</v>
      </c>
      <c r="L130" s="6">
        <v>784</v>
      </c>
      <c r="M130" s="6">
        <v>0</v>
      </c>
      <c r="N130" s="6">
        <v>13</v>
      </c>
      <c r="O130" s="14">
        <f t="shared" si="5"/>
        <v>0</v>
      </c>
    </row>
    <row r="131" spans="1:15" x14ac:dyDescent="0.3">
      <c r="A131" s="13" t="s">
        <v>44</v>
      </c>
      <c r="B131" s="12" t="s">
        <v>29</v>
      </c>
      <c r="C131" s="12" t="s">
        <v>29</v>
      </c>
      <c r="D131" s="6">
        <f t="shared" si="4"/>
        <v>38</v>
      </c>
      <c r="E131" s="6">
        <v>52</v>
      </c>
      <c r="F131" s="6">
        <f>VLOOKUP($E131,Sheet3!$B$3:$D$54,2,0)</f>
        <v>12</v>
      </c>
      <c r="G131" s="6">
        <f>VLOOKUP($E131,Sheet3!$B$3:$G$54,3,0)</f>
        <v>1</v>
      </c>
      <c r="H131" s="5">
        <f>VLOOKUP($A131,Sheet3!$I$3:$J$38,2,0)</f>
        <v>26.39</v>
      </c>
      <c r="I131" s="6">
        <f>VLOOKUP($E131,Sheet3!$B$3:$G$54,5,0)</f>
        <v>105715</v>
      </c>
      <c r="J131" s="5">
        <f>VLOOKUP($E131,Sheet3!$B$3:$G$54,4,0)</f>
        <v>3.4</v>
      </c>
      <c r="K131" s="5">
        <f>VLOOKUP($E131,Sheet3!$B$3:$G$54,6,0)</f>
        <v>1.3</v>
      </c>
      <c r="L131" s="6">
        <v>168</v>
      </c>
      <c r="M131" s="6">
        <v>0</v>
      </c>
      <c r="N131" s="6">
        <v>14</v>
      </c>
      <c r="O131" s="14">
        <f t="shared" si="5"/>
        <v>0</v>
      </c>
    </row>
    <row r="132" spans="1:15" x14ac:dyDescent="0.3">
      <c r="A132" s="13" t="s">
        <v>44</v>
      </c>
      <c r="B132" s="12" t="s">
        <v>29</v>
      </c>
      <c r="C132" s="12" t="s">
        <v>29</v>
      </c>
      <c r="D132" s="6">
        <f t="shared" si="4"/>
        <v>41</v>
      </c>
      <c r="E132" s="6">
        <v>1</v>
      </c>
      <c r="F132" s="6">
        <f>VLOOKUP($E132,Sheet3!$B$3:$D$54,2,0)</f>
        <v>12</v>
      </c>
      <c r="G132" s="6">
        <f>VLOOKUP($E132,Sheet3!$B$3:$G$54,3,0)</f>
        <v>1</v>
      </c>
      <c r="H132" s="5">
        <f>VLOOKUP($A132,Sheet3!$I$3:$J$38,2,0)</f>
        <v>26.39</v>
      </c>
      <c r="I132" s="6">
        <f>VLOOKUP($E132,Sheet3!$B$3:$G$54,5,0)</f>
        <v>105715</v>
      </c>
      <c r="J132" s="5">
        <f>VLOOKUP($E132,Sheet3!$B$3:$G$54,4,0)</f>
        <v>3.4</v>
      </c>
      <c r="K132" s="5">
        <f>VLOOKUP($E132,Sheet3!$B$3:$G$54,6,0)</f>
        <v>1.3</v>
      </c>
      <c r="L132" s="6">
        <v>560</v>
      </c>
      <c r="M132" s="6">
        <v>0</v>
      </c>
      <c r="N132" s="6">
        <v>12</v>
      </c>
      <c r="O132" s="14">
        <f t="shared" si="5"/>
        <v>0</v>
      </c>
    </row>
    <row r="133" spans="1:15" x14ac:dyDescent="0.3">
      <c r="A133" s="13" t="s">
        <v>44</v>
      </c>
      <c r="B133" s="12" t="s">
        <v>29</v>
      </c>
      <c r="C133" s="12" t="s">
        <v>29</v>
      </c>
      <c r="D133" s="6">
        <f t="shared" si="4"/>
        <v>42</v>
      </c>
      <c r="E133" s="6">
        <v>2</v>
      </c>
      <c r="F133" s="6">
        <f>VLOOKUP($E133,Sheet3!$B$3:$D$54,2,0)</f>
        <v>1</v>
      </c>
      <c r="G133" s="6">
        <f>VLOOKUP($E133,Sheet3!$B$3:$G$54,3,0)</f>
        <v>1</v>
      </c>
      <c r="H133" s="5">
        <f>VLOOKUP($A133,Sheet3!$I$3:$J$38,2,0)</f>
        <v>26.39</v>
      </c>
      <c r="I133" s="6">
        <f>VLOOKUP($E133,Sheet3!$B$3:$G$54,5,0)</f>
        <v>133692</v>
      </c>
      <c r="J133" s="5">
        <f>VLOOKUP($E133,Sheet3!$B$3:$G$54,4,0)</f>
        <v>3.4</v>
      </c>
      <c r="K133" s="5">
        <f>VLOOKUP($E133,Sheet3!$B$3:$G$54,6,0)</f>
        <v>1.5</v>
      </c>
      <c r="L133" s="6">
        <v>0</v>
      </c>
      <c r="M133" s="6">
        <v>0</v>
      </c>
      <c r="N133" s="6">
        <v>12</v>
      </c>
      <c r="O133" s="14" t="e">
        <f t="shared" si="5"/>
        <v>#DIV/0!</v>
      </c>
    </row>
    <row r="134" spans="1:15" x14ac:dyDescent="0.3">
      <c r="A134" s="13" t="s">
        <v>44</v>
      </c>
      <c r="B134" s="12" t="s">
        <v>29</v>
      </c>
      <c r="C134" s="12" t="s">
        <v>29</v>
      </c>
      <c r="D134" s="6">
        <f t="shared" si="4"/>
        <v>43</v>
      </c>
      <c r="E134" s="6">
        <v>3</v>
      </c>
      <c r="F134" s="6">
        <f>VLOOKUP($E134,Sheet3!$B$3:$D$54,2,0)</f>
        <v>1</v>
      </c>
      <c r="G134" s="6">
        <f>VLOOKUP($E134,Sheet3!$B$3:$G$54,3,0)</f>
        <v>0</v>
      </c>
      <c r="H134" s="5">
        <f>VLOOKUP($A134,Sheet3!$I$3:$J$38,2,0)</f>
        <v>26.39</v>
      </c>
      <c r="I134" s="6">
        <f>VLOOKUP($E134,Sheet3!$B$3:$G$54,5,0)</f>
        <v>133692</v>
      </c>
      <c r="J134" s="5">
        <f>VLOOKUP($E134,Sheet3!$B$3:$G$54,4,0)</f>
        <v>3.4</v>
      </c>
      <c r="K134" s="5">
        <f>VLOOKUP($E134,Sheet3!$B$3:$G$54,6,0)</f>
        <v>1.5</v>
      </c>
      <c r="L134" s="6">
        <v>448</v>
      </c>
      <c r="M134" s="6">
        <v>0</v>
      </c>
      <c r="N134" s="6">
        <v>12</v>
      </c>
      <c r="O134" s="14">
        <f t="shared" si="5"/>
        <v>0</v>
      </c>
    </row>
    <row r="135" spans="1:15" x14ac:dyDescent="0.3">
      <c r="A135" s="13" t="s">
        <v>44</v>
      </c>
      <c r="B135" s="12" t="s">
        <v>29</v>
      </c>
      <c r="C135" s="12" t="s">
        <v>29</v>
      </c>
      <c r="D135" s="6">
        <f t="shared" si="4"/>
        <v>43</v>
      </c>
      <c r="E135" s="6">
        <v>4</v>
      </c>
      <c r="F135" s="6">
        <f>VLOOKUP($E135,Sheet3!$B$3:$D$54,2,0)</f>
        <v>1</v>
      </c>
      <c r="G135" s="6">
        <f>VLOOKUP($E135,Sheet3!$B$3:$G$54,3,0)</f>
        <v>0</v>
      </c>
      <c r="H135" s="5">
        <f>VLOOKUP($A135,Sheet3!$I$3:$J$38,2,0)</f>
        <v>26.39</v>
      </c>
      <c r="I135" s="6">
        <f>VLOOKUP($E135,Sheet3!$B$3:$G$54,5,0)</f>
        <v>133692</v>
      </c>
      <c r="J135" s="5">
        <f>VLOOKUP($E135,Sheet3!$B$3:$G$54,4,0)</f>
        <v>3.4</v>
      </c>
      <c r="K135" s="5">
        <f>VLOOKUP($E135,Sheet3!$B$3:$G$54,6,0)</f>
        <v>1.5</v>
      </c>
      <c r="L135" s="6">
        <v>728</v>
      </c>
      <c r="M135" s="6">
        <v>0</v>
      </c>
      <c r="N135" s="6">
        <v>13</v>
      </c>
      <c r="O135" s="14">
        <f t="shared" si="5"/>
        <v>0</v>
      </c>
    </row>
    <row r="136" spans="1:15" x14ac:dyDescent="0.3">
      <c r="A136" s="13" t="s">
        <v>44</v>
      </c>
      <c r="B136" s="12" t="s">
        <v>29</v>
      </c>
      <c r="C136" s="12" t="s">
        <v>29</v>
      </c>
      <c r="D136" s="6">
        <f t="shared" si="4"/>
        <v>43</v>
      </c>
      <c r="E136" s="6">
        <v>5</v>
      </c>
      <c r="F136" s="6">
        <f>VLOOKUP($E136,Sheet3!$B$3:$D$54,2,0)</f>
        <v>1</v>
      </c>
      <c r="G136" s="6">
        <f>VLOOKUP($E136,Sheet3!$B$3:$G$54,3,0)</f>
        <v>0</v>
      </c>
      <c r="H136" s="5">
        <f>VLOOKUP($A136,Sheet3!$I$3:$J$38,2,0)</f>
        <v>26.39</v>
      </c>
      <c r="I136" s="6">
        <f>VLOOKUP($E136,Sheet3!$B$3:$G$54,5,0)</f>
        <v>133692</v>
      </c>
      <c r="J136" s="5">
        <f>VLOOKUP($E136,Sheet3!$B$3:$G$54,4,0)</f>
        <v>3.4</v>
      </c>
      <c r="K136" s="5">
        <f>VLOOKUP($E136,Sheet3!$B$3:$G$54,6,0)</f>
        <v>1.5</v>
      </c>
      <c r="L136" s="6">
        <v>672</v>
      </c>
      <c r="M136" s="6">
        <v>0</v>
      </c>
      <c r="N136" s="6">
        <v>14</v>
      </c>
      <c r="O136" s="14">
        <f t="shared" si="5"/>
        <v>0</v>
      </c>
    </row>
    <row r="137" spans="1:15" x14ac:dyDescent="0.3">
      <c r="A137" s="13" t="s">
        <v>44</v>
      </c>
      <c r="B137" s="12" t="s">
        <v>29</v>
      </c>
      <c r="C137" s="12" t="s">
        <v>29</v>
      </c>
      <c r="D137" s="6">
        <f t="shared" si="4"/>
        <v>49</v>
      </c>
      <c r="E137" s="6">
        <v>6</v>
      </c>
      <c r="F137" s="6">
        <f>VLOOKUP($E137,Sheet3!$B$3:$D$54,2,0)</f>
        <v>2</v>
      </c>
      <c r="G137" s="6">
        <f>VLOOKUP($E137,Sheet3!$B$3:$G$54,3,0)</f>
        <v>0</v>
      </c>
      <c r="H137" s="5">
        <f>VLOOKUP($A137,Sheet3!$I$3:$J$38,2,0)</f>
        <v>26.39</v>
      </c>
      <c r="I137" s="6">
        <f>VLOOKUP($E137,Sheet3!$B$3:$G$54,5,0)</f>
        <v>137922</v>
      </c>
      <c r="J137" s="5">
        <f>VLOOKUP($E137,Sheet3!$B$3:$G$54,4,0)</f>
        <v>3.15</v>
      </c>
      <c r="K137" s="5">
        <f>VLOOKUP($E137,Sheet3!$B$3:$G$54,6,0)</f>
        <v>1.6</v>
      </c>
      <c r="L137" s="6">
        <v>728</v>
      </c>
      <c r="M137" s="6">
        <v>280</v>
      </c>
      <c r="N137" s="6">
        <v>9</v>
      </c>
      <c r="O137" s="14">
        <f t="shared" si="5"/>
        <v>0.38461538461538464</v>
      </c>
    </row>
    <row r="138" spans="1:15" x14ac:dyDescent="0.3">
      <c r="A138" s="13" t="s">
        <v>44</v>
      </c>
      <c r="B138" s="12" t="s">
        <v>29</v>
      </c>
      <c r="C138" s="12" t="s">
        <v>29</v>
      </c>
      <c r="D138" s="6">
        <f t="shared" si="4"/>
        <v>49</v>
      </c>
      <c r="E138" s="6">
        <v>7</v>
      </c>
      <c r="F138" s="6">
        <f>VLOOKUP($E138,Sheet3!$B$3:$D$54,2,0)</f>
        <v>2</v>
      </c>
      <c r="G138" s="6">
        <f>VLOOKUP($E138,Sheet3!$B$3:$G$54,3,0)</f>
        <v>0</v>
      </c>
      <c r="H138" s="5">
        <f>VLOOKUP($A138,Sheet3!$I$3:$J$38,2,0)</f>
        <v>26.39</v>
      </c>
      <c r="I138" s="6">
        <f>VLOOKUP($E138,Sheet3!$B$3:$G$54,5,0)</f>
        <v>137922</v>
      </c>
      <c r="J138" s="5">
        <f>VLOOKUP($E138,Sheet3!$B$3:$G$54,4,0)</f>
        <v>3.15</v>
      </c>
      <c r="K138" s="5">
        <f>VLOOKUP($E138,Sheet3!$B$3:$G$54,6,0)</f>
        <v>1.6</v>
      </c>
      <c r="L138" s="6">
        <v>672</v>
      </c>
      <c r="M138" s="6">
        <v>560</v>
      </c>
      <c r="N138" s="6">
        <v>10</v>
      </c>
      <c r="O138" s="14">
        <f t="shared" si="5"/>
        <v>0.83333333333333337</v>
      </c>
    </row>
    <row r="139" spans="1:15" x14ac:dyDescent="0.3">
      <c r="A139" s="13" t="s">
        <v>44</v>
      </c>
      <c r="B139" s="12" t="s">
        <v>29</v>
      </c>
      <c r="C139" s="12" t="s">
        <v>29</v>
      </c>
      <c r="D139" s="6">
        <f t="shared" si="4"/>
        <v>49</v>
      </c>
      <c r="E139" s="6">
        <v>8</v>
      </c>
      <c r="F139" s="6">
        <f>VLOOKUP($E139,Sheet3!$B$3:$D$54,2,0)</f>
        <v>2</v>
      </c>
      <c r="G139" s="6">
        <f>VLOOKUP($E139,Sheet3!$B$3:$G$54,3,0)</f>
        <v>0</v>
      </c>
      <c r="H139" s="5">
        <f>VLOOKUP($A139,Sheet3!$I$3:$J$38,2,0)</f>
        <v>26.39</v>
      </c>
      <c r="I139" s="6">
        <f>VLOOKUP($E139,Sheet3!$B$3:$G$54,5,0)</f>
        <v>137922</v>
      </c>
      <c r="J139" s="5">
        <f>VLOOKUP($E139,Sheet3!$B$3:$G$54,4,0)</f>
        <v>3.15</v>
      </c>
      <c r="K139" s="5">
        <f>VLOOKUP($E139,Sheet3!$B$3:$G$54,6,0)</f>
        <v>1.6</v>
      </c>
      <c r="L139" s="6">
        <v>728</v>
      </c>
      <c r="M139" s="6">
        <v>504</v>
      </c>
      <c r="N139" s="6">
        <v>11</v>
      </c>
      <c r="O139" s="14">
        <f t="shared" si="5"/>
        <v>0.69230769230769229</v>
      </c>
    </row>
    <row r="140" spans="1:15" x14ac:dyDescent="0.3">
      <c r="A140" s="13" t="s">
        <v>44</v>
      </c>
      <c r="B140" s="12" t="s">
        <v>29</v>
      </c>
      <c r="C140" s="12" t="s">
        <v>29</v>
      </c>
      <c r="D140" s="6">
        <f t="shared" si="4"/>
        <v>49</v>
      </c>
      <c r="E140" s="6">
        <v>9</v>
      </c>
      <c r="F140" s="6">
        <f>VLOOKUP($E140,Sheet3!$B$3:$D$54,2,0)</f>
        <v>2</v>
      </c>
      <c r="G140" s="6">
        <f>VLOOKUP($E140,Sheet3!$B$3:$G$54,3,0)</f>
        <v>0</v>
      </c>
      <c r="H140" s="5">
        <f>VLOOKUP($A140,Sheet3!$I$3:$J$38,2,0)</f>
        <v>26.39</v>
      </c>
      <c r="I140" s="6">
        <f>VLOOKUP($E140,Sheet3!$B$3:$G$54,5,0)</f>
        <v>137922</v>
      </c>
      <c r="J140" s="5">
        <f>VLOOKUP($E140,Sheet3!$B$3:$G$54,4,0)</f>
        <v>3.15</v>
      </c>
      <c r="K140" s="5">
        <f>VLOOKUP($E140,Sheet3!$B$3:$G$54,6,0)</f>
        <v>1.6</v>
      </c>
      <c r="L140" s="6">
        <v>728</v>
      </c>
      <c r="M140" s="6">
        <v>224</v>
      </c>
      <c r="N140" s="6">
        <v>12</v>
      </c>
      <c r="O140" s="14">
        <f t="shared" si="5"/>
        <v>0.30769230769230771</v>
      </c>
    </row>
    <row r="141" spans="1:15" x14ac:dyDescent="0.3">
      <c r="A141" s="13" t="s">
        <v>44</v>
      </c>
      <c r="B141" s="12" t="s">
        <v>29</v>
      </c>
      <c r="C141" s="12" t="s">
        <v>29</v>
      </c>
      <c r="D141" s="6">
        <f t="shared" si="4"/>
        <v>1</v>
      </c>
      <c r="E141" s="6">
        <v>10</v>
      </c>
      <c r="F141" s="6">
        <f>VLOOKUP($E141,Sheet3!$B$3:$D$54,2,0)</f>
        <v>3</v>
      </c>
      <c r="G141" s="6">
        <f>VLOOKUP($E141,Sheet3!$B$3:$G$54,3,0)</f>
        <v>0</v>
      </c>
      <c r="H141" s="5">
        <f>VLOOKUP($A141,Sheet3!$I$3:$J$38,2,0)</f>
        <v>26.39</v>
      </c>
      <c r="I141" s="6">
        <f>VLOOKUP($E141,Sheet3!$B$3:$G$54,5,0)</f>
        <v>172223</v>
      </c>
      <c r="J141" s="5">
        <f>VLOOKUP($E141,Sheet3!$B$3:$G$54,4,0)</f>
        <v>3.15</v>
      </c>
      <c r="K141" s="5">
        <f>VLOOKUP($E141,Sheet3!$B$3:$G$54,6,0)</f>
        <v>1.9</v>
      </c>
      <c r="L141" s="6">
        <v>560</v>
      </c>
      <c r="M141" s="6">
        <v>728</v>
      </c>
      <c r="N141" s="6">
        <v>9</v>
      </c>
      <c r="O141" s="14">
        <f t="shared" si="5"/>
        <v>1.3</v>
      </c>
    </row>
    <row r="142" spans="1:15" x14ac:dyDescent="0.3">
      <c r="A142" s="13" t="s">
        <v>44</v>
      </c>
      <c r="B142" s="12" t="s">
        <v>29</v>
      </c>
      <c r="C142" s="12" t="s">
        <v>29</v>
      </c>
      <c r="D142" s="6">
        <f t="shared" si="4"/>
        <v>1</v>
      </c>
      <c r="E142" s="6">
        <v>11</v>
      </c>
      <c r="F142" s="6">
        <f>VLOOKUP($E142,Sheet3!$B$3:$D$54,2,0)</f>
        <v>3</v>
      </c>
      <c r="G142" s="6">
        <f>VLOOKUP($E142,Sheet3!$B$3:$G$54,3,0)</f>
        <v>0</v>
      </c>
      <c r="H142" s="5">
        <f>VLOOKUP($A142,Sheet3!$I$3:$J$38,2,0)</f>
        <v>26.39</v>
      </c>
      <c r="I142" s="6">
        <f>VLOOKUP($E142,Sheet3!$B$3:$G$54,5,0)</f>
        <v>172223</v>
      </c>
      <c r="J142" s="5">
        <f>VLOOKUP($E142,Sheet3!$B$3:$G$54,4,0)</f>
        <v>2.9</v>
      </c>
      <c r="K142" s="5">
        <f>VLOOKUP($E142,Sheet3!$B$3:$G$54,6,0)</f>
        <v>1.9</v>
      </c>
      <c r="L142" s="6">
        <v>504</v>
      </c>
      <c r="M142" s="6">
        <v>784</v>
      </c>
      <c r="N142" s="6">
        <v>10</v>
      </c>
      <c r="O142" s="14">
        <f t="shared" si="5"/>
        <v>1.5555555555555556</v>
      </c>
    </row>
    <row r="143" spans="1:15" x14ac:dyDescent="0.3">
      <c r="A143" s="13" t="s">
        <v>44</v>
      </c>
      <c r="B143" s="12" t="s">
        <v>29</v>
      </c>
      <c r="C143" s="12" t="s">
        <v>29</v>
      </c>
      <c r="D143" s="6">
        <f t="shared" si="4"/>
        <v>1</v>
      </c>
      <c r="E143" s="6">
        <v>12</v>
      </c>
      <c r="F143" s="6">
        <f>VLOOKUP($E143,Sheet3!$B$3:$D$54,2,0)</f>
        <v>3</v>
      </c>
      <c r="G143" s="6">
        <f>VLOOKUP($E143,Sheet3!$B$3:$G$54,3,0)</f>
        <v>0</v>
      </c>
      <c r="H143" s="5">
        <f>VLOOKUP($A143,Sheet3!$I$3:$J$38,2,0)</f>
        <v>26.39</v>
      </c>
      <c r="I143" s="6">
        <f>VLOOKUP($E143,Sheet3!$B$3:$G$54,5,0)</f>
        <v>172223</v>
      </c>
      <c r="J143" s="5">
        <f>VLOOKUP($E143,Sheet3!$B$3:$G$54,4,0)</f>
        <v>2.9</v>
      </c>
      <c r="K143" s="5">
        <f>VLOOKUP($E143,Sheet3!$B$3:$G$54,6,0)</f>
        <v>1.9</v>
      </c>
      <c r="L143" s="6">
        <v>560</v>
      </c>
      <c r="M143" s="6">
        <v>448</v>
      </c>
      <c r="N143" s="6">
        <v>11</v>
      </c>
      <c r="O143" s="14">
        <f t="shared" si="5"/>
        <v>0.8</v>
      </c>
    </row>
    <row r="144" spans="1:15" x14ac:dyDescent="0.3">
      <c r="A144" s="13" t="s">
        <v>44</v>
      </c>
      <c r="B144" s="12" t="s">
        <v>29</v>
      </c>
      <c r="C144" s="12" t="s">
        <v>29</v>
      </c>
      <c r="D144" s="6">
        <f t="shared" si="4"/>
        <v>1</v>
      </c>
      <c r="E144" s="6">
        <v>13</v>
      </c>
      <c r="F144" s="6">
        <f>VLOOKUP($E144,Sheet3!$B$3:$D$54,2,0)</f>
        <v>3</v>
      </c>
      <c r="G144" s="6">
        <f>VLOOKUP($E144,Sheet3!$B$3:$G$54,3,0)</f>
        <v>0</v>
      </c>
      <c r="H144" s="5">
        <f>VLOOKUP($A144,Sheet3!$I$3:$J$38,2,0)</f>
        <v>26.39</v>
      </c>
      <c r="I144" s="6">
        <f>VLOOKUP($E144,Sheet3!$B$3:$G$54,5,0)</f>
        <v>172223</v>
      </c>
      <c r="J144" s="5">
        <f>VLOOKUP($E144,Sheet3!$B$3:$G$54,4,0)</f>
        <v>2.9</v>
      </c>
      <c r="K144" s="5">
        <f>VLOOKUP($E144,Sheet3!$B$3:$G$54,6,0)</f>
        <v>1.9</v>
      </c>
      <c r="L144" s="6">
        <v>448</v>
      </c>
      <c r="M144" s="6">
        <v>840</v>
      </c>
      <c r="N144" s="6">
        <v>12</v>
      </c>
      <c r="O144" s="14">
        <f t="shared" si="5"/>
        <v>1.875</v>
      </c>
    </row>
    <row r="145" spans="1:15" x14ac:dyDescent="0.3">
      <c r="A145" s="13" t="s">
        <v>44</v>
      </c>
      <c r="B145" s="12" t="s">
        <v>29</v>
      </c>
      <c r="C145" s="12" t="s">
        <v>29</v>
      </c>
      <c r="D145" s="6">
        <f t="shared" si="4"/>
        <v>1</v>
      </c>
      <c r="E145" s="6">
        <v>14</v>
      </c>
      <c r="F145" s="6">
        <f>VLOOKUP($E145,Sheet3!$B$3:$D$54,2,0)</f>
        <v>3</v>
      </c>
      <c r="G145" s="6">
        <f>VLOOKUP($E145,Sheet3!$B$3:$G$54,3,0)</f>
        <v>0</v>
      </c>
      <c r="H145" s="5">
        <f>VLOOKUP($A145,Sheet3!$I$3:$J$38,2,0)</f>
        <v>26.39</v>
      </c>
      <c r="I145" s="6">
        <f>VLOOKUP($E145,Sheet3!$B$3:$G$54,5,0)</f>
        <v>172223</v>
      </c>
      <c r="J145" s="5">
        <f>VLOOKUP($E145,Sheet3!$B$3:$G$54,4,0)</f>
        <v>2.9</v>
      </c>
      <c r="K145" s="5">
        <f>VLOOKUP($E145,Sheet3!$B$3:$G$54,6,0)</f>
        <v>1.9</v>
      </c>
      <c r="L145" s="6">
        <v>616</v>
      </c>
      <c r="M145" s="6">
        <v>560</v>
      </c>
      <c r="N145" s="6">
        <v>13</v>
      </c>
      <c r="O145" s="14">
        <f t="shared" si="5"/>
        <v>0.90909090909090906</v>
      </c>
    </row>
    <row r="146" spans="1:15" x14ac:dyDescent="0.3">
      <c r="A146" s="13" t="s">
        <v>44</v>
      </c>
      <c r="B146" s="12" t="s">
        <v>29</v>
      </c>
      <c r="C146" s="12" t="s">
        <v>29</v>
      </c>
      <c r="D146" s="6">
        <f t="shared" si="4"/>
        <v>5</v>
      </c>
      <c r="E146" s="6">
        <v>15</v>
      </c>
      <c r="F146" s="6">
        <f>VLOOKUP($E146,Sheet3!$B$3:$D$54,2,0)</f>
        <v>4</v>
      </c>
      <c r="G146" s="6">
        <f>VLOOKUP($E146,Sheet3!$B$3:$G$54,3,0)</f>
        <v>0</v>
      </c>
      <c r="H146" s="5">
        <f>VLOOKUP($A146,Sheet3!$I$3:$J$38,2,0)</f>
        <v>26.39</v>
      </c>
      <c r="I146" s="6">
        <f>VLOOKUP($E146,Sheet3!$B$3:$G$54,5,0)</f>
        <v>139084</v>
      </c>
      <c r="J146" s="5">
        <f>VLOOKUP($E146,Sheet3!$B$3:$G$54,4,0)</f>
        <v>2.9</v>
      </c>
      <c r="K146" s="5">
        <f>VLOOKUP($E146,Sheet3!$B$3:$G$54,6,0)</f>
        <v>1.9</v>
      </c>
      <c r="L146" s="6">
        <v>448</v>
      </c>
      <c r="M146" s="6">
        <v>672</v>
      </c>
      <c r="N146" s="6">
        <v>10</v>
      </c>
      <c r="O146" s="14">
        <f t="shared" si="5"/>
        <v>1.5</v>
      </c>
    </row>
    <row r="147" spans="1:15" x14ac:dyDescent="0.3">
      <c r="A147" s="13" t="s">
        <v>44</v>
      </c>
      <c r="B147" s="12" t="s">
        <v>29</v>
      </c>
      <c r="C147" s="12" t="s">
        <v>29</v>
      </c>
      <c r="D147" s="6">
        <f t="shared" si="4"/>
        <v>5</v>
      </c>
      <c r="E147" s="6">
        <v>16</v>
      </c>
      <c r="F147" s="6">
        <f>VLOOKUP($E147,Sheet3!$B$3:$D$54,2,0)</f>
        <v>4</v>
      </c>
      <c r="G147" s="6">
        <f>VLOOKUP($E147,Sheet3!$B$3:$G$54,3,0)</f>
        <v>0</v>
      </c>
      <c r="H147" s="5">
        <f>VLOOKUP($A147,Sheet3!$I$3:$J$38,2,0)</f>
        <v>26.39</v>
      </c>
      <c r="I147" s="6">
        <f>VLOOKUP($E147,Sheet3!$B$3:$G$54,5,0)</f>
        <v>139084</v>
      </c>
      <c r="J147" s="5">
        <f>VLOOKUP($E147,Sheet3!$B$3:$G$54,4,0)</f>
        <v>2.9</v>
      </c>
      <c r="K147" s="5">
        <f>VLOOKUP($E147,Sheet3!$B$3:$G$54,6,0)</f>
        <v>1.9</v>
      </c>
      <c r="L147" s="6">
        <v>280</v>
      </c>
      <c r="M147" s="6">
        <v>392</v>
      </c>
      <c r="N147" s="6">
        <v>11</v>
      </c>
      <c r="O147" s="14">
        <f t="shared" si="5"/>
        <v>1.4</v>
      </c>
    </row>
    <row r="148" spans="1:15" x14ac:dyDescent="0.3">
      <c r="A148" s="13" t="s">
        <v>44</v>
      </c>
      <c r="B148" s="12" t="s">
        <v>29</v>
      </c>
      <c r="C148" s="12" t="s">
        <v>29</v>
      </c>
      <c r="D148" s="6">
        <f t="shared" si="4"/>
        <v>5</v>
      </c>
      <c r="E148" s="6">
        <v>17</v>
      </c>
      <c r="F148" s="6">
        <f>VLOOKUP($E148,Sheet3!$B$3:$D$54,2,0)</f>
        <v>4</v>
      </c>
      <c r="G148" s="6">
        <f>VLOOKUP($E148,Sheet3!$B$3:$G$54,3,0)</f>
        <v>1</v>
      </c>
      <c r="H148" s="5">
        <f>VLOOKUP($A148,Sheet3!$I$3:$J$38,2,0)</f>
        <v>26.39</v>
      </c>
      <c r="I148" s="6">
        <f>VLOOKUP($E148,Sheet3!$B$3:$G$54,5,0)</f>
        <v>139084</v>
      </c>
      <c r="J148" s="5">
        <f>VLOOKUP($E148,Sheet3!$B$3:$G$54,4,0)</f>
        <v>2.65</v>
      </c>
      <c r="K148" s="5">
        <f>VLOOKUP($E148,Sheet3!$B$3:$G$54,6,0)</f>
        <v>1.9</v>
      </c>
      <c r="L148" s="6">
        <v>0</v>
      </c>
      <c r="M148" s="6">
        <v>0</v>
      </c>
      <c r="N148" s="6">
        <v>12</v>
      </c>
      <c r="O148" s="14" t="e">
        <f t="shared" si="5"/>
        <v>#DIV/0!</v>
      </c>
    </row>
    <row r="149" spans="1:15" x14ac:dyDescent="0.3">
      <c r="A149" s="13" t="s">
        <v>44</v>
      </c>
      <c r="B149" s="12" t="s">
        <v>29</v>
      </c>
      <c r="C149" s="12" t="s">
        <v>29</v>
      </c>
      <c r="D149" s="6">
        <f t="shared" si="4"/>
        <v>6</v>
      </c>
      <c r="E149" s="6">
        <v>18</v>
      </c>
      <c r="F149" s="6">
        <f>VLOOKUP($E149,Sheet3!$B$3:$D$54,2,0)</f>
        <v>4</v>
      </c>
      <c r="G149" s="6">
        <f>VLOOKUP($E149,Sheet3!$B$3:$G$54,3,0)</f>
        <v>1</v>
      </c>
      <c r="H149" s="5">
        <f>VLOOKUP($A149,Sheet3!$I$3:$J$38,2,0)</f>
        <v>26.39</v>
      </c>
      <c r="I149" s="6">
        <f>VLOOKUP($E149,Sheet3!$B$3:$G$54,5,0)</f>
        <v>139084</v>
      </c>
      <c r="J149" s="5">
        <f>VLOOKUP($E149,Sheet3!$B$3:$G$54,4,0)</f>
        <v>2.65</v>
      </c>
      <c r="K149" s="5">
        <f>VLOOKUP($E149,Sheet3!$B$3:$G$54,6,0)</f>
        <v>1.9</v>
      </c>
      <c r="L149" s="6">
        <v>168</v>
      </c>
      <c r="M149" s="6">
        <v>0</v>
      </c>
      <c r="N149" s="6">
        <v>12</v>
      </c>
      <c r="O149" s="14">
        <f t="shared" si="5"/>
        <v>0</v>
      </c>
    </row>
    <row r="150" spans="1:15" x14ac:dyDescent="0.3">
      <c r="A150" s="13" t="s">
        <v>44</v>
      </c>
      <c r="B150" s="12" t="s">
        <v>29</v>
      </c>
      <c r="C150" s="12" t="s">
        <v>29</v>
      </c>
      <c r="D150" s="6">
        <f t="shared" si="4"/>
        <v>7</v>
      </c>
      <c r="E150" s="6">
        <v>19</v>
      </c>
      <c r="F150" s="6">
        <f>VLOOKUP($E150,Sheet3!$B$3:$D$54,2,0)</f>
        <v>5</v>
      </c>
      <c r="G150" s="6">
        <f>VLOOKUP($E150,Sheet3!$B$3:$G$54,3,0)</f>
        <v>0</v>
      </c>
      <c r="H150" s="5">
        <f>VLOOKUP($A150,Sheet3!$I$3:$J$38,2,0)</f>
        <v>26.39</v>
      </c>
      <c r="I150" s="6">
        <f>VLOOKUP($E150,Sheet3!$B$3:$G$54,5,0)</f>
        <v>139390</v>
      </c>
      <c r="J150" s="5">
        <f>VLOOKUP($E150,Sheet3!$B$3:$G$54,4,0)</f>
        <v>2.65</v>
      </c>
      <c r="K150" s="5">
        <f>VLOOKUP($E150,Sheet3!$B$3:$G$54,6,0)</f>
        <v>1.6</v>
      </c>
      <c r="L150" s="6">
        <v>448</v>
      </c>
      <c r="M150" s="6">
        <v>0</v>
      </c>
      <c r="N150" s="6">
        <v>12</v>
      </c>
      <c r="O150" s="14">
        <f t="shared" si="5"/>
        <v>0</v>
      </c>
    </row>
    <row r="151" spans="1:15" x14ac:dyDescent="0.3">
      <c r="A151" s="13" t="s">
        <v>44</v>
      </c>
      <c r="B151" s="12" t="s">
        <v>29</v>
      </c>
      <c r="C151" s="12" t="s">
        <v>29</v>
      </c>
      <c r="D151" s="6">
        <f t="shared" si="4"/>
        <v>7</v>
      </c>
      <c r="E151" s="6">
        <v>20</v>
      </c>
      <c r="F151" s="6">
        <f>VLOOKUP($E151,Sheet3!$B$3:$D$54,2,0)</f>
        <v>5</v>
      </c>
      <c r="G151" s="6">
        <f>VLOOKUP($E151,Sheet3!$B$3:$G$54,3,0)</f>
        <v>0</v>
      </c>
      <c r="H151" s="5">
        <f>VLOOKUP($A151,Sheet3!$I$3:$J$38,2,0)</f>
        <v>26.39</v>
      </c>
      <c r="I151" s="6">
        <f>VLOOKUP($E151,Sheet3!$B$3:$G$54,5,0)</f>
        <v>139390</v>
      </c>
      <c r="J151" s="5">
        <f>VLOOKUP($E151,Sheet3!$B$3:$G$54,4,0)</f>
        <v>2.65</v>
      </c>
      <c r="K151" s="5">
        <f>VLOOKUP($E151,Sheet3!$B$3:$G$54,6,0)</f>
        <v>1.6</v>
      </c>
      <c r="L151" s="6">
        <v>168</v>
      </c>
      <c r="M151" s="6">
        <v>112</v>
      </c>
      <c r="N151" s="6">
        <v>13</v>
      </c>
      <c r="O151" s="14">
        <f t="shared" si="5"/>
        <v>0.66666666666666663</v>
      </c>
    </row>
    <row r="152" spans="1:15" x14ac:dyDescent="0.3">
      <c r="A152" s="13" t="s">
        <v>44</v>
      </c>
      <c r="B152" s="12" t="s">
        <v>29</v>
      </c>
      <c r="C152" s="12" t="s">
        <v>29</v>
      </c>
      <c r="D152" s="6">
        <f t="shared" si="4"/>
        <v>7</v>
      </c>
      <c r="E152" s="6">
        <v>21</v>
      </c>
      <c r="F152" s="6">
        <f>VLOOKUP($E152,Sheet3!$B$3:$D$54,2,0)</f>
        <v>5</v>
      </c>
      <c r="G152" s="6">
        <f>VLOOKUP($E152,Sheet3!$B$3:$G$54,3,0)</f>
        <v>0</v>
      </c>
      <c r="H152" s="5">
        <f>VLOOKUP($A152,Sheet3!$I$3:$J$38,2,0)</f>
        <v>26.39</v>
      </c>
      <c r="I152" s="6">
        <f>VLOOKUP($E152,Sheet3!$B$3:$G$54,5,0)</f>
        <v>139390</v>
      </c>
      <c r="J152" s="5">
        <f>VLOOKUP($E152,Sheet3!$B$3:$G$54,4,0)</f>
        <v>2.65</v>
      </c>
      <c r="K152" s="5">
        <f>VLOOKUP($E152,Sheet3!$B$3:$G$54,6,0)</f>
        <v>1.6</v>
      </c>
      <c r="L152" s="6">
        <v>392</v>
      </c>
      <c r="M152" s="6">
        <v>728</v>
      </c>
      <c r="N152" s="6">
        <v>14</v>
      </c>
      <c r="O152" s="14">
        <f t="shared" si="5"/>
        <v>1.8571428571428572</v>
      </c>
    </row>
    <row r="153" spans="1:15" x14ac:dyDescent="0.3">
      <c r="A153" s="13" t="s">
        <v>44</v>
      </c>
      <c r="B153" s="12" t="s">
        <v>29</v>
      </c>
      <c r="C153" s="12" t="s">
        <v>29</v>
      </c>
      <c r="D153" s="6">
        <f t="shared" si="4"/>
        <v>7</v>
      </c>
      <c r="E153" s="6">
        <v>22</v>
      </c>
      <c r="F153" s="6">
        <f>VLOOKUP($E153,Sheet3!$B$3:$D$54,2,0)</f>
        <v>5</v>
      </c>
      <c r="G153" s="6">
        <f>VLOOKUP($E153,Sheet3!$B$3:$G$54,3,0)</f>
        <v>0</v>
      </c>
      <c r="H153" s="5">
        <f>VLOOKUP($A153,Sheet3!$I$3:$J$38,2,0)</f>
        <v>26.39</v>
      </c>
      <c r="I153" s="6">
        <f>VLOOKUP($E153,Sheet3!$B$3:$G$54,5,0)</f>
        <v>139390</v>
      </c>
      <c r="J153" s="5">
        <f>VLOOKUP($E153,Sheet3!$B$3:$G$54,4,0)</f>
        <v>2.65</v>
      </c>
      <c r="K153" s="5">
        <f>VLOOKUP($E153,Sheet3!$B$3:$G$54,6,0)</f>
        <v>1.6</v>
      </c>
      <c r="L153" s="6">
        <v>448</v>
      </c>
      <c r="M153" s="6">
        <v>112</v>
      </c>
      <c r="N153" s="6">
        <v>15</v>
      </c>
      <c r="O153" s="14">
        <f t="shared" si="5"/>
        <v>0.25</v>
      </c>
    </row>
    <row r="154" spans="1:15" x14ac:dyDescent="0.3">
      <c r="A154" s="13" t="s">
        <v>44</v>
      </c>
      <c r="B154" s="12" t="s">
        <v>29</v>
      </c>
      <c r="C154" s="12" t="s">
        <v>29</v>
      </c>
      <c r="D154" s="6">
        <f t="shared" si="4"/>
        <v>11</v>
      </c>
      <c r="E154" s="6">
        <v>23</v>
      </c>
      <c r="F154" s="6">
        <f>VLOOKUP($E154,Sheet3!$B$3:$D$54,2,0)</f>
        <v>5</v>
      </c>
      <c r="G154" s="6">
        <f>VLOOKUP($E154,Sheet3!$B$3:$G$54,3,0)</f>
        <v>1</v>
      </c>
      <c r="H154" s="5">
        <f>VLOOKUP($A154,Sheet3!$I$3:$J$38,2,0)</f>
        <v>26.39</v>
      </c>
      <c r="I154" s="6">
        <f>VLOOKUP($E154,Sheet3!$B$3:$G$54,5,0)</f>
        <v>139390</v>
      </c>
      <c r="J154" s="5">
        <f>VLOOKUP($E154,Sheet3!$B$3:$G$54,4,0)</f>
        <v>2.4</v>
      </c>
      <c r="K154" s="5">
        <f>VLOOKUP($E154,Sheet3!$B$3:$G$54,6,0)</f>
        <v>1.6</v>
      </c>
      <c r="L154" s="6">
        <v>224</v>
      </c>
      <c r="M154" s="6">
        <v>448</v>
      </c>
      <c r="N154" s="6">
        <v>12</v>
      </c>
      <c r="O154" s="14">
        <f t="shared" si="5"/>
        <v>2</v>
      </c>
    </row>
    <row r="155" spans="1:15" x14ac:dyDescent="0.3">
      <c r="A155" s="13" t="s">
        <v>44</v>
      </c>
      <c r="B155" s="12" t="s">
        <v>29</v>
      </c>
      <c r="C155" s="12" t="s">
        <v>29</v>
      </c>
      <c r="D155" s="6">
        <f t="shared" si="4"/>
        <v>11</v>
      </c>
      <c r="E155" s="6">
        <v>24</v>
      </c>
      <c r="F155" s="6">
        <f>VLOOKUP($E155,Sheet3!$B$3:$D$54,2,0)</f>
        <v>6</v>
      </c>
      <c r="G155" s="6">
        <f>VLOOKUP($E155,Sheet3!$B$3:$G$54,3,0)</f>
        <v>0</v>
      </c>
      <c r="H155" s="5">
        <f>VLOOKUP($A155,Sheet3!$I$3:$J$38,2,0)</f>
        <v>26.39</v>
      </c>
      <c r="I155" s="6">
        <f>VLOOKUP($E155,Sheet3!$B$3:$G$54,5,0)</f>
        <v>132191</v>
      </c>
      <c r="J155" s="5">
        <f>VLOOKUP($E155,Sheet3!$B$3:$G$54,4,0)</f>
        <v>2.4</v>
      </c>
      <c r="K155" s="5">
        <f>VLOOKUP($E155,Sheet3!$B$3:$G$54,6,0)</f>
        <v>1.7</v>
      </c>
      <c r="L155" s="6">
        <v>280</v>
      </c>
      <c r="M155" s="6">
        <v>0</v>
      </c>
      <c r="N155" s="6">
        <v>13</v>
      </c>
      <c r="O155" s="14">
        <f t="shared" si="5"/>
        <v>0</v>
      </c>
    </row>
    <row r="156" spans="1:15" x14ac:dyDescent="0.3">
      <c r="A156" s="13" t="s">
        <v>44</v>
      </c>
      <c r="B156" s="12" t="s">
        <v>29</v>
      </c>
      <c r="C156" s="12" t="s">
        <v>29</v>
      </c>
      <c r="D156" s="6">
        <f t="shared" si="4"/>
        <v>11</v>
      </c>
      <c r="E156" s="6">
        <v>25</v>
      </c>
      <c r="F156" s="6">
        <f>VLOOKUP($E156,Sheet3!$B$3:$D$54,2,0)</f>
        <v>6</v>
      </c>
      <c r="G156" s="6">
        <f>VLOOKUP($E156,Sheet3!$B$3:$G$54,3,0)</f>
        <v>0</v>
      </c>
      <c r="H156" s="5">
        <f>VLOOKUP($A156,Sheet3!$I$3:$J$38,2,0)</f>
        <v>26.39</v>
      </c>
      <c r="I156" s="6">
        <f>VLOOKUP($E156,Sheet3!$B$3:$G$54,5,0)</f>
        <v>132191</v>
      </c>
      <c r="J156" s="5">
        <f>VLOOKUP($E156,Sheet3!$B$3:$G$54,4,0)</f>
        <v>2.4</v>
      </c>
      <c r="K156" s="5">
        <f>VLOOKUP($E156,Sheet3!$B$3:$G$54,6,0)</f>
        <v>1.7</v>
      </c>
      <c r="L156" s="6">
        <v>280</v>
      </c>
      <c r="M156" s="6">
        <v>616</v>
      </c>
      <c r="N156" s="6">
        <v>14</v>
      </c>
      <c r="O156" s="14">
        <f t="shared" si="5"/>
        <v>2.2000000000000002</v>
      </c>
    </row>
    <row r="157" spans="1:15" x14ac:dyDescent="0.3">
      <c r="A157" s="13" t="s">
        <v>44</v>
      </c>
      <c r="B157" s="12" t="s">
        <v>29</v>
      </c>
      <c r="C157" s="12" t="s">
        <v>29</v>
      </c>
      <c r="D157" s="6">
        <f t="shared" si="4"/>
        <v>11</v>
      </c>
      <c r="E157" s="6">
        <v>26</v>
      </c>
      <c r="F157" s="6">
        <f>VLOOKUP($E157,Sheet3!$B$3:$D$54,2,0)</f>
        <v>6</v>
      </c>
      <c r="G157" s="6">
        <f>VLOOKUP($E157,Sheet3!$B$3:$G$54,3,0)</f>
        <v>0</v>
      </c>
      <c r="H157" s="5">
        <f>VLOOKUP($A157,Sheet3!$I$3:$J$38,2,0)</f>
        <v>26.39</v>
      </c>
      <c r="I157" s="6">
        <f>VLOOKUP($E157,Sheet3!$B$3:$G$54,5,0)</f>
        <v>132191</v>
      </c>
      <c r="J157" s="5">
        <f>VLOOKUP($E157,Sheet3!$B$3:$G$54,4,0)</f>
        <v>2.4</v>
      </c>
      <c r="K157" s="5">
        <f>VLOOKUP($E157,Sheet3!$B$3:$G$54,6,0)</f>
        <v>1.7</v>
      </c>
      <c r="L157" s="6">
        <v>280</v>
      </c>
      <c r="M157" s="6">
        <v>168</v>
      </c>
      <c r="N157" s="6">
        <v>15</v>
      </c>
      <c r="O157" s="14">
        <f t="shared" si="5"/>
        <v>0.6</v>
      </c>
    </row>
    <row r="158" spans="1:15" x14ac:dyDescent="0.3">
      <c r="A158" s="15" t="s">
        <v>43</v>
      </c>
      <c r="B158" s="12" t="s">
        <v>29</v>
      </c>
      <c r="C158" s="12" t="s">
        <v>29</v>
      </c>
      <c r="D158" s="6">
        <f t="shared" si="4"/>
        <v>12</v>
      </c>
      <c r="E158" s="6">
        <v>27</v>
      </c>
      <c r="F158" s="6">
        <f>VLOOKUP($E158,Sheet3!$B$3:$D$54,2,0)</f>
        <v>7</v>
      </c>
      <c r="G158" s="6">
        <f>VLOOKUP($E158,Sheet3!$B$3:$G$54,3,0)</f>
        <v>0</v>
      </c>
      <c r="H158" s="5">
        <f>VLOOKUP($A158,Sheet3!$I$3:$J$38,2,0)</f>
        <v>18.100000000000001</v>
      </c>
      <c r="I158" s="6">
        <f>VLOOKUP($E158,Sheet3!$B$3:$G$54,5,0)</f>
        <v>124806</v>
      </c>
      <c r="J158" s="5">
        <f>VLOOKUP($E158,Sheet3!$B$3:$G$54,4,0)</f>
        <v>4.5</v>
      </c>
      <c r="K158" s="5">
        <f>VLOOKUP($E158,Sheet3!$B$3:$G$54,6,0)</f>
        <v>1.3</v>
      </c>
      <c r="L158" s="6">
        <v>448</v>
      </c>
      <c r="M158" s="6">
        <v>448</v>
      </c>
      <c r="N158" s="6">
        <v>15</v>
      </c>
      <c r="O158" s="14">
        <f t="shared" si="5"/>
        <v>1</v>
      </c>
    </row>
    <row r="159" spans="1:15" x14ac:dyDescent="0.3">
      <c r="A159" s="15" t="s">
        <v>43</v>
      </c>
      <c r="B159" s="12" t="s">
        <v>29</v>
      </c>
      <c r="C159" s="12" t="s">
        <v>29</v>
      </c>
      <c r="D159" s="6">
        <f t="shared" si="4"/>
        <v>12</v>
      </c>
      <c r="E159" s="6">
        <v>28</v>
      </c>
      <c r="F159" s="6">
        <f>VLOOKUP($E159,Sheet3!$B$3:$D$54,2,0)</f>
        <v>7</v>
      </c>
      <c r="G159" s="6">
        <f>VLOOKUP($E159,Sheet3!$B$3:$G$54,3,0)</f>
        <v>0</v>
      </c>
      <c r="H159" s="5">
        <f>VLOOKUP($A159,Sheet3!$I$3:$J$38,2,0)</f>
        <v>18.100000000000001</v>
      </c>
      <c r="I159" s="6">
        <f>VLOOKUP($E159,Sheet3!$B$3:$G$54,5,0)</f>
        <v>124806</v>
      </c>
      <c r="J159" s="5">
        <f>VLOOKUP($E159,Sheet3!$B$3:$G$54,4,0)</f>
        <v>4.5</v>
      </c>
      <c r="K159" s="5">
        <f>VLOOKUP($E159,Sheet3!$B$3:$G$54,6,0)</f>
        <v>1.3</v>
      </c>
      <c r="L159" s="6">
        <v>560</v>
      </c>
      <c r="M159" s="6">
        <v>448</v>
      </c>
      <c r="N159" s="6">
        <v>16</v>
      </c>
      <c r="O159" s="14">
        <f t="shared" si="5"/>
        <v>0.8</v>
      </c>
    </row>
    <row r="160" spans="1:15" x14ac:dyDescent="0.3">
      <c r="A160" s="15" t="s">
        <v>43</v>
      </c>
      <c r="B160" s="12" t="s">
        <v>29</v>
      </c>
      <c r="C160" s="12" t="s">
        <v>29</v>
      </c>
      <c r="D160" s="6">
        <f t="shared" si="4"/>
        <v>13</v>
      </c>
      <c r="E160" s="6">
        <v>29</v>
      </c>
      <c r="F160" s="6">
        <f>VLOOKUP($E160,Sheet3!$B$3:$D$54,2,0)</f>
        <v>7</v>
      </c>
      <c r="G160" s="6">
        <f>VLOOKUP($E160,Sheet3!$B$3:$G$54,3,0)</f>
        <v>0</v>
      </c>
      <c r="H160" s="5">
        <f>VLOOKUP($A160,Sheet3!$I$3:$J$38,2,0)</f>
        <v>18.100000000000001</v>
      </c>
      <c r="I160" s="6">
        <f>VLOOKUP($E160,Sheet3!$B$3:$G$54,5,0)</f>
        <v>124806</v>
      </c>
      <c r="J160" s="5">
        <f>VLOOKUP($E160,Sheet3!$B$3:$G$54,4,0)</f>
        <v>4.5</v>
      </c>
      <c r="K160" s="5">
        <f>VLOOKUP($E160,Sheet3!$B$3:$G$54,6,0)</f>
        <v>1.3</v>
      </c>
      <c r="L160" s="6">
        <v>504</v>
      </c>
      <c r="M160" s="6">
        <v>0</v>
      </c>
      <c r="N160" s="6">
        <v>16</v>
      </c>
      <c r="O160" s="14">
        <f t="shared" si="5"/>
        <v>0</v>
      </c>
    </row>
    <row r="161" spans="1:15" x14ac:dyDescent="0.3">
      <c r="A161" s="15" t="s">
        <v>43</v>
      </c>
      <c r="B161" s="12" t="s">
        <v>29</v>
      </c>
      <c r="C161" s="12" t="s">
        <v>29</v>
      </c>
      <c r="D161" s="6">
        <f t="shared" si="4"/>
        <v>13</v>
      </c>
      <c r="E161" s="6">
        <v>30</v>
      </c>
      <c r="F161" s="6">
        <f>VLOOKUP($E161,Sheet3!$B$3:$D$54,2,0)</f>
        <v>7</v>
      </c>
      <c r="G161" s="6">
        <f>VLOOKUP($E161,Sheet3!$B$3:$G$54,3,0)</f>
        <v>0</v>
      </c>
      <c r="H161" s="5">
        <f>VLOOKUP($A161,Sheet3!$I$3:$J$38,2,0)</f>
        <v>18.100000000000001</v>
      </c>
      <c r="I161" s="6">
        <f>VLOOKUP($E161,Sheet3!$B$3:$G$54,5,0)</f>
        <v>124806</v>
      </c>
      <c r="J161" s="5">
        <f>VLOOKUP($E161,Sheet3!$B$3:$G$54,4,0)</f>
        <v>4.5</v>
      </c>
      <c r="K161" s="5">
        <f>VLOOKUP($E161,Sheet3!$B$3:$G$54,6,0)</f>
        <v>1.3</v>
      </c>
      <c r="L161" s="6">
        <v>448</v>
      </c>
      <c r="M161" s="6">
        <v>0</v>
      </c>
      <c r="N161" s="6">
        <v>17</v>
      </c>
      <c r="O161" s="14">
        <f t="shared" si="5"/>
        <v>0</v>
      </c>
    </row>
    <row r="162" spans="1:15" x14ac:dyDescent="0.3">
      <c r="A162" s="15" t="s">
        <v>43</v>
      </c>
      <c r="B162" s="12" t="s">
        <v>29</v>
      </c>
      <c r="C162" s="12" t="s">
        <v>29</v>
      </c>
      <c r="D162" s="6">
        <f t="shared" si="4"/>
        <v>13</v>
      </c>
      <c r="E162" s="6">
        <v>31</v>
      </c>
      <c r="F162" s="6">
        <f>VLOOKUP($E162,Sheet3!$B$3:$D$54,2,0)</f>
        <v>7</v>
      </c>
      <c r="G162" s="6">
        <f>VLOOKUP($E162,Sheet3!$B$3:$G$54,3,0)</f>
        <v>0</v>
      </c>
      <c r="H162" s="5">
        <f>VLOOKUP($A162,Sheet3!$I$3:$J$38,2,0)</f>
        <v>18.100000000000001</v>
      </c>
      <c r="I162" s="6">
        <f>VLOOKUP($E162,Sheet3!$B$3:$G$54,5,0)</f>
        <v>124806</v>
      </c>
      <c r="J162" s="5">
        <f>VLOOKUP($E162,Sheet3!$B$3:$G$54,4,0)</f>
        <v>4.5</v>
      </c>
      <c r="K162" s="5">
        <f>VLOOKUP($E162,Sheet3!$B$3:$G$54,6,0)</f>
        <v>1.3</v>
      </c>
      <c r="L162" s="6">
        <v>392</v>
      </c>
      <c r="M162" s="6">
        <v>0</v>
      </c>
      <c r="N162" s="6">
        <v>18</v>
      </c>
      <c r="O162" s="14">
        <f t="shared" si="5"/>
        <v>0</v>
      </c>
    </row>
    <row r="163" spans="1:15" x14ac:dyDescent="0.3">
      <c r="A163" s="15" t="s">
        <v>43</v>
      </c>
      <c r="B163" s="12" t="s">
        <v>29</v>
      </c>
      <c r="C163" s="12" t="s">
        <v>29</v>
      </c>
      <c r="D163" s="6">
        <f t="shared" si="4"/>
        <v>14</v>
      </c>
      <c r="E163" s="6">
        <v>32</v>
      </c>
      <c r="F163" s="6">
        <f>VLOOKUP($E163,Sheet3!$B$3:$D$54,2,0)</f>
        <v>8</v>
      </c>
      <c r="G163" s="6">
        <f>VLOOKUP($E163,Sheet3!$B$3:$G$54,3,0)</f>
        <v>1</v>
      </c>
      <c r="H163" s="5">
        <f>VLOOKUP($A163,Sheet3!$I$3:$J$38,2,0)</f>
        <v>18.100000000000001</v>
      </c>
      <c r="I163" s="6">
        <f>VLOOKUP($E163,Sheet3!$B$3:$G$54,5,0)</f>
        <v>69121</v>
      </c>
      <c r="J163" s="5">
        <f>VLOOKUP($E163,Sheet3!$B$3:$G$54,4,0)</f>
        <v>4.5</v>
      </c>
      <c r="K163" s="5">
        <f>VLOOKUP($E163,Sheet3!$B$3:$G$54,6,0)</f>
        <v>1.1000000000000001</v>
      </c>
      <c r="L163" s="6">
        <v>0</v>
      </c>
      <c r="M163" s="6">
        <v>0</v>
      </c>
      <c r="N163" s="6">
        <v>18</v>
      </c>
      <c r="O163" s="14" t="e">
        <f t="shared" si="5"/>
        <v>#DIV/0!</v>
      </c>
    </row>
    <row r="164" spans="1:15" x14ac:dyDescent="0.3">
      <c r="A164" s="15" t="s">
        <v>43</v>
      </c>
      <c r="B164" s="12" t="s">
        <v>29</v>
      </c>
      <c r="C164" s="12" t="s">
        <v>29</v>
      </c>
      <c r="D164" s="6">
        <f t="shared" si="4"/>
        <v>15</v>
      </c>
      <c r="E164" s="6">
        <v>33</v>
      </c>
      <c r="F164" s="6">
        <f>VLOOKUP($E164,Sheet3!$B$3:$D$54,2,0)</f>
        <v>8</v>
      </c>
      <c r="G164" s="6">
        <f>VLOOKUP($E164,Sheet3!$B$3:$G$54,3,0)</f>
        <v>1</v>
      </c>
      <c r="H164" s="5">
        <f>VLOOKUP($A164,Sheet3!$I$3:$J$38,2,0)</f>
        <v>18.100000000000001</v>
      </c>
      <c r="I164" s="6">
        <f>VLOOKUP($E164,Sheet3!$B$3:$G$54,5,0)</f>
        <v>69121</v>
      </c>
      <c r="J164" s="5">
        <f>VLOOKUP($E164,Sheet3!$B$3:$G$54,4,0)</f>
        <v>4.5</v>
      </c>
      <c r="K164" s="5">
        <f>VLOOKUP($E164,Sheet3!$B$3:$G$54,6,0)</f>
        <v>1.1000000000000001</v>
      </c>
      <c r="L164" s="6">
        <v>0</v>
      </c>
      <c r="M164" s="6">
        <v>0</v>
      </c>
      <c r="N164" s="6">
        <v>18</v>
      </c>
      <c r="O164" s="14" t="e">
        <f t="shared" si="5"/>
        <v>#DIV/0!</v>
      </c>
    </row>
    <row r="165" spans="1:15" x14ac:dyDescent="0.3">
      <c r="A165" s="15" t="s">
        <v>43</v>
      </c>
      <c r="B165" s="12" t="s">
        <v>29</v>
      </c>
      <c r="C165" s="12" t="s">
        <v>29</v>
      </c>
      <c r="D165" s="6">
        <f t="shared" si="4"/>
        <v>15</v>
      </c>
      <c r="E165" s="6">
        <v>34</v>
      </c>
      <c r="F165" s="6">
        <f>VLOOKUP($E165,Sheet3!$B$3:$D$54,2,0)</f>
        <v>8</v>
      </c>
      <c r="G165" s="6">
        <f>VLOOKUP($E165,Sheet3!$B$3:$G$54,3,0)</f>
        <v>0</v>
      </c>
      <c r="H165" s="5">
        <f>VLOOKUP($A165,Sheet3!$I$3:$J$38,2,0)</f>
        <v>18.100000000000001</v>
      </c>
      <c r="I165" s="6">
        <f>VLOOKUP($E165,Sheet3!$B$3:$G$54,5,0)</f>
        <v>69121</v>
      </c>
      <c r="J165" s="5">
        <f>VLOOKUP($E165,Sheet3!$B$3:$G$54,4,0)</f>
        <v>4.5</v>
      </c>
      <c r="K165" s="5">
        <f>VLOOKUP($E165,Sheet3!$B$3:$G$54,6,0)</f>
        <v>1.1000000000000001</v>
      </c>
      <c r="L165" s="6">
        <v>728</v>
      </c>
      <c r="M165" s="6">
        <v>0</v>
      </c>
      <c r="N165" s="6">
        <v>19</v>
      </c>
      <c r="O165" s="14">
        <f t="shared" si="5"/>
        <v>0</v>
      </c>
    </row>
    <row r="166" spans="1:15" x14ac:dyDescent="0.3">
      <c r="A166" s="15" t="s">
        <v>43</v>
      </c>
      <c r="B166" s="12" t="s">
        <v>29</v>
      </c>
      <c r="C166" s="12" t="s">
        <v>29</v>
      </c>
      <c r="D166" s="6">
        <f t="shared" si="4"/>
        <v>15</v>
      </c>
      <c r="E166" s="6">
        <v>35</v>
      </c>
      <c r="F166" s="6">
        <f>VLOOKUP($E166,Sheet3!$B$3:$D$54,2,0)</f>
        <v>8</v>
      </c>
      <c r="G166" s="6">
        <f>VLOOKUP($E166,Sheet3!$B$3:$G$54,3,0)</f>
        <v>0</v>
      </c>
      <c r="H166" s="5">
        <f>VLOOKUP($A166,Sheet3!$I$3:$J$38,2,0)</f>
        <v>18.100000000000001</v>
      </c>
      <c r="I166" s="6">
        <f>VLOOKUP($E166,Sheet3!$B$3:$G$54,5,0)</f>
        <v>69121</v>
      </c>
      <c r="J166" s="5">
        <f>VLOOKUP($E166,Sheet3!$B$3:$G$54,4,0)</f>
        <v>4.5</v>
      </c>
      <c r="K166" s="5">
        <f>VLOOKUP($E166,Sheet3!$B$3:$G$54,6,0)</f>
        <v>1.1000000000000001</v>
      </c>
      <c r="L166" s="6">
        <v>784</v>
      </c>
      <c r="M166" s="6">
        <v>672</v>
      </c>
      <c r="N166" s="6">
        <v>20</v>
      </c>
      <c r="O166" s="14">
        <f t="shared" si="5"/>
        <v>0.8571428571428571</v>
      </c>
    </row>
    <row r="167" spans="1:15" x14ac:dyDescent="0.3">
      <c r="A167" s="15" t="s">
        <v>43</v>
      </c>
      <c r="B167" s="12" t="s">
        <v>29</v>
      </c>
      <c r="C167" s="12" t="s">
        <v>29</v>
      </c>
      <c r="D167" s="6">
        <f t="shared" si="4"/>
        <v>23</v>
      </c>
      <c r="E167" s="6">
        <v>36</v>
      </c>
      <c r="F167" s="6">
        <f>VLOOKUP($E167,Sheet3!$B$3:$D$54,2,0)</f>
        <v>9</v>
      </c>
      <c r="G167" s="6">
        <f>VLOOKUP($E167,Sheet3!$B$3:$G$54,3,0)</f>
        <v>0</v>
      </c>
      <c r="H167" s="5">
        <f>VLOOKUP($A167,Sheet3!$I$3:$J$38,2,0)</f>
        <v>18.100000000000001</v>
      </c>
      <c r="I167" s="6">
        <f>VLOOKUP($E167,Sheet3!$B$3:$G$54,5,0)</f>
        <v>121666</v>
      </c>
      <c r="J167" s="5">
        <f>VLOOKUP($E167,Sheet3!$B$3:$G$54,4,0)</f>
        <v>4.5</v>
      </c>
      <c r="K167" s="5">
        <f>VLOOKUP($E167,Sheet3!$B$3:$G$54,6,0)</f>
        <v>0.7</v>
      </c>
      <c r="L167" s="6">
        <v>728</v>
      </c>
      <c r="M167" s="6">
        <v>280</v>
      </c>
      <c r="N167" s="6">
        <v>13</v>
      </c>
      <c r="O167" s="14">
        <f t="shared" si="5"/>
        <v>0.38461538461538464</v>
      </c>
    </row>
    <row r="168" spans="1:15" x14ac:dyDescent="0.3">
      <c r="A168" s="15" t="s">
        <v>43</v>
      </c>
      <c r="B168" s="12" t="s">
        <v>29</v>
      </c>
      <c r="C168" s="12" t="s">
        <v>29</v>
      </c>
      <c r="D168" s="6">
        <f t="shared" si="4"/>
        <v>23</v>
      </c>
      <c r="E168" s="6">
        <v>37</v>
      </c>
      <c r="F168" s="6">
        <f>VLOOKUP($E168,Sheet3!$B$3:$D$54,2,0)</f>
        <v>9</v>
      </c>
      <c r="G168" s="6">
        <f>VLOOKUP($E168,Sheet3!$B$3:$G$54,3,0)</f>
        <v>0</v>
      </c>
      <c r="H168" s="5">
        <f>VLOOKUP($A168,Sheet3!$I$3:$J$38,2,0)</f>
        <v>18.100000000000001</v>
      </c>
      <c r="I168" s="6">
        <f>VLOOKUP($E168,Sheet3!$B$3:$G$54,5,0)</f>
        <v>121666</v>
      </c>
      <c r="J168" s="5">
        <f>VLOOKUP($E168,Sheet3!$B$3:$G$54,4,0)</f>
        <v>4.5</v>
      </c>
      <c r="K168" s="5">
        <f>VLOOKUP($E168,Sheet3!$B$3:$G$54,6,0)</f>
        <v>0.7</v>
      </c>
      <c r="L168" s="6">
        <v>728</v>
      </c>
      <c r="M168" s="6">
        <v>560</v>
      </c>
      <c r="N168" s="6">
        <v>14</v>
      </c>
      <c r="O168" s="14">
        <f t="shared" si="5"/>
        <v>0.76923076923076927</v>
      </c>
    </row>
    <row r="169" spans="1:15" x14ac:dyDescent="0.3">
      <c r="A169" s="15" t="s">
        <v>43</v>
      </c>
      <c r="B169" s="12" t="s">
        <v>29</v>
      </c>
      <c r="C169" s="12" t="s">
        <v>29</v>
      </c>
      <c r="D169" s="6">
        <f t="shared" si="4"/>
        <v>23</v>
      </c>
      <c r="E169" s="6">
        <v>38</v>
      </c>
      <c r="F169" s="6">
        <f>VLOOKUP($E169,Sheet3!$B$3:$D$54,2,0)</f>
        <v>9</v>
      </c>
      <c r="G169" s="6">
        <f>VLOOKUP($E169,Sheet3!$B$3:$G$54,3,0)</f>
        <v>0</v>
      </c>
      <c r="H169" s="5">
        <f>VLOOKUP($A169,Sheet3!$I$3:$J$38,2,0)</f>
        <v>18.100000000000001</v>
      </c>
      <c r="I169" s="6">
        <f>VLOOKUP($E169,Sheet3!$B$3:$G$54,5,0)</f>
        <v>121666</v>
      </c>
      <c r="J169" s="5">
        <f>VLOOKUP($E169,Sheet3!$B$3:$G$54,4,0)</f>
        <v>3.9</v>
      </c>
      <c r="K169" s="5">
        <f>VLOOKUP($E169,Sheet3!$B$3:$G$54,6,0)</f>
        <v>0.7</v>
      </c>
      <c r="L169" s="6">
        <v>728</v>
      </c>
      <c r="M169" s="6">
        <v>616</v>
      </c>
      <c r="N169" s="6">
        <v>15</v>
      </c>
      <c r="O169" s="14">
        <f t="shared" si="5"/>
        <v>0.84615384615384615</v>
      </c>
    </row>
    <row r="170" spans="1:15" x14ac:dyDescent="0.3">
      <c r="A170" s="15" t="s">
        <v>43</v>
      </c>
      <c r="B170" s="12" t="s">
        <v>29</v>
      </c>
      <c r="C170" s="12" t="s">
        <v>29</v>
      </c>
      <c r="D170" s="6">
        <f t="shared" si="4"/>
        <v>23</v>
      </c>
      <c r="E170" s="6">
        <v>39</v>
      </c>
      <c r="F170" s="6">
        <f>VLOOKUP($E170,Sheet3!$B$3:$D$54,2,0)</f>
        <v>9</v>
      </c>
      <c r="G170" s="6">
        <f>VLOOKUP($E170,Sheet3!$B$3:$G$54,3,0)</f>
        <v>0</v>
      </c>
      <c r="H170" s="5">
        <f>VLOOKUP($A170,Sheet3!$I$3:$J$38,2,0)</f>
        <v>18.100000000000001</v>
      </c>
      <c r="I170" s="6">
        <f>VLOOKUP($E170,Sheet3!$B$3:$G$54,5,0)</f>
        <v>121666</v>
      </c>
      <c r="J170" s="5">
        <f>VLOOKUP($E170,Sheet3!$B$3:$G$54,4,0)</f>
        <v>3.9</v>
      </c>
      <c r="K170" s="5">
        <f>VLOOKUP($E170,Sheet3!$B$3:$G$54,6,0)</f>
        <v>0.7</v>
      </c>
      <c r="L170" s="6">
        <v>728</v>
      </c>
      <c r="M170" s="6">
        <v>504</v>
      </c>
      <c r="N170" s="6">
        <v>16</v>
      </c>
      <c r="O170" s="14">
        <f t="shared" si="5"/>
        <v>0.69230769230769229</v>
      </c>
    </row>
    <row r="171" spans="1:15" x14ac:dyDescent="0.3">
      <c r="A171" s="15" t="s">
        <v>43</v>
      </c>
      <c r="B171" s="12" t="s">
        <v>29</v>
      </c>
      <c r="C171" s="12" t="s">
        <v>29</v>
      </c>
      <c r="D171" s="6">
        <f t="shared" si="4"/>
        <v>27</v>
      </c>
      <c r="E171" s="6">
        <v>40</v>
      </c>
      <c r="F171" s="6">
        <f>VLOOKUP($E171,Sheet3!$B$3:$D$54,2,0)</f>
        <v>9</v>
      </c>
      <c r="G171" s="6">
        <f>VLOOKUP($E171,Sheet3!$B$3:$G$54,3,0)</f>
        <v>0</v>
      </c>
      <c r="H171" s="5">
        <f>VLOOKUP($A171,Sheet3!$I$3:$J$38,2,0)</f>
        <v>18.100000000000001</v>
      </c>
      <c r="I171" s="6">
        <f>VLOOKUP($E171,Sheet3!$B$3:$G$54,5,0)</f>
        <v>121666</v>
      </c>
      <c r="J171" s="5">
        <f>VLOOKUP($E171,Sheet3!$B$3:$G$54,4,0)</f>
        <v>3.9</v>
      </c>
      <c r="K171" s="5">
        <f>VLOOKUP($E171,Sheet3!$B$3:$G$54,6,0)</f>
        <v>0.7</v>
      </c>
      <c r="L171" s="6">
        <v>896</v>
      </c>
      <c r="M171" s="6">
        <v>280</v>
      </c>
      <c r="N171" s="6">
        <v>13</v>
      </c>
      <c r="O171" s="14">
        <f t="shared" si="5"/>
        <v>0.3125</v>
      </c>
    </row>
    <row r="172" spans="1:15" x14ac:dyDescent="0.3">
      <c r="A172" s="15" t="s">
        <v>43</v>
      </c>
      <c r="B172" s="12" t="s">
        <v>29</v>
      </c>
      <c r="C172" s="12" t="s">
        <v>29</v>
      </c>
      <c r="D172" s="6">
        <f t="shared" si="4"/>
        <v>27</v>
      </c>
      <c r="E172" s="6">
        <v>41</v>
      </c>
      <c r="F172" s="6">
        <f>VLOOKUP($E172,Sheet3!$B$3:$D$54,2,0)</f>
        <v>10</v>
      </c>
      <c r="G172" s="6">
        <f>VLOOKUP($E172,Sheet3!$B$3:$G$54,3,0)</f>
        <v>0</v>
      </c>
      <c r="H172" s="5">
        <f>VLOOKUP($A172,Sheet3!$I$3:$J$38,2,0)</f>
        <v>18.100000000000001</v>
      </c>
      <c r="I172" s="6">
        <f>VLOOKUP($E172,Sheet3!$B$3:$G$54,5,0)</f>
        <v>126488</v>
      </c>
      <c r="J172" s="5">
        <f>VLOOKUP($E172,Sheet3!$B$3:$G$54,4,0)</f>
        <v>3.9</v>
      </c>
      <c r="K172" s="5">
        <f>VLOOKUP($E172,Sheet3!$B$3:$G$54,6,0)</f>
        <v>0.9</v>
      </c>
      <c r="L172" s="6">
        <v>840</v>
      </c>
      <c r="M172" s="6">
        <v>0</v>
      </c>
      <c r="N172" s="6">
        <v>14</v>
      </c>
      <c r="O172" s="14">
        <f t="shared" si="5"/>
        <v>0</v>
      </c>
    </row>
    <row r="173" spans="1:15" x14ac:dyDescent="0.3">
      <c r="A173" s="15" t="s">
        <v>43</v>
      </c>
      <c r="B173" s="12" t="s">
        <v>29</v>
      </c>
      <c r="C173" s="12" t="s">
        <v>29</v>
      </c>
      <c r="D173" s="6">
        <f t="shared" si="4"/>
        <v>27</v>
      </c>
      <c r="E173" s="6">
        <v>42</v>
      </c>
      <c r="F173" s="6">
        <f>VLOOKUP($E173,Sheet3!$B$3:$D$54,2,0)</f>
        <v>10</v>
      </c>
      <c r="G173" s="6">
        <f>VLOOKUP($E173,Sheet3!$B$3:$G$54,3,0)</f>
        <v>0</v>
      </c>
      <c r="H173" s="5">
        <f>VLOOKUP($A173,Sheet3!$I$3:$J$38,2,0)</f>
        <v>18.100000000000001</v>
      </c>
      <c r="I173" s="6">
        <f>VLOOKUP($E173,Sheet3!$B$3:$G$54,5,0)</f>
        <v>126488</v>
      </c>
      <c r="J173" s="5">
        <f>VLOOKUP($E173,Sheet3!$B$3:$G$54,4,0)</f>
        <v>3.9</v>
      </c>
      <c r="K173" s="5">
        <f>VLOOKUP($E173,Sheet3!$B$3:$G$54,6,0)</f>
        <v>0.9</v>
      </c>
      <c r="L173" s="6">
        <v>896</v>
      </c>
      <c r="M173" s="6">
        <v>168</v>
      </c>
      <c r="N173" s="6">
        <v>15</v>
      </c>
      <c r="O173" s="14">
        <f t="shared" si="5"/>
        <v>0.1875</v>
      </c>
    </row>
    <row r="174" spans="1:15" x14ac:dyDescent="0.3">
      <c r="A174" s="15" t="s">
        <v>43</v>
      </c>
      <c r="B174" s="12" t="s">
        <v>29</v>
      </c>
      <c r="C174" s="12" t="s">
        <v>29</v>
      </c>
      <c r="D174" s="6">
        <f t="shared" si="4"/>
        <v>27</v>
      </c>
      <c r="E174" s="6">
        <v>43</v>
      </c>
      <c r="F174" s="6">
        <f>VLOOKUP($E174,Sheet3!$B$3:$D$54,2,0)</f>
        <v>10</v>
      </c>
      <c r="G174" s="6">
        <f>VLOOKUP($E174,Sheet3!$B$3:$G$54,3,0)</f>
        <v>0</v>
      </c>
      <c r="H174" s="5">
        <f>VLOOKUP($A174,Sheet3!$I$3:$J$38,2,0)</f>
        <v>18.100000000000001</v>
      </c>
      <c r="I174" s="6">
        <f>VLOOKUP($E174,Sheet3!$B$3:$G$54,5,0)</f>
        <v>126488</v>
      </c>
      <c r="J174" s="5">
        <f>VLOOKUP($E174,Sheet3!$B$3:$G$54,4,0)</f>
        <v>3.65</v>
      </c>
      <c r="K174" s="5">
        <f>VLOOKUP($E174,Sheet3!$B$3:$G$54,6,0)</f>
        <v>0.9</v>
      </c>
      <c r="L174" s="6">
        <v>784</v>
      </c>
      <c r="M174" s="6">
        <v>504</v>
      </c>
      <c r="N174" s="6">
        <v>16</v>
      </c>
      <c r="O174" s="14">
        <f t="shared" si="5"/>
        <v>0.6428571428571429</v>
      </c>
    </row>
    <row r="175" spans="1:15" x14ac:dyDescent="0.3">
      <c r="A175" s="15" t="s">
        <v>43</v>
      </c>
      <c r="B175" s="12" t="s">
        <v>29</v>
      </c>
      <c r="C175" s="12" t="s">
        <v>29</v>
      </c>
      <c r="D175" s="6">
        <f t="shared" si="4"/>
        <v>27</v>
      </c>
      <c r="E175" s="6">
        <v>44</v>
      </c>
      <c r="F175" s="6">
        <f>VLOOKUP($E175,Sheet3!$B$3:$D$54,2,0)</f>
        <v>10</v>
      </c>
      <c r="G175" s="6">
        <f>VLOOKUP($E175,Sheet3!$B$3:$G$54,3,0)</f>
        <v>1</v>
      </c>
      <c r="H175" s="5">
        <f>VLOOKUP($A175,Sheet3!$I$3:$J$38,2,0)</f>
        <v>18.100000000000001</v>
      </c>
      <c r="I175" s="6">
        <f>VLOOKUP($E175,Sheet3!$B$3:$G$54,5,0)</f>
        <v>126488</v>
      </c>
      <c r="J175" s="5">
        <f>VLOOKUP($E175,Sheet3!$B$3:$G$54,4,0)</f>
        <v>3.65</v>
      </c>
      <c r="K175" s="5">
        <f>VLOOKUP($E175,Sheet3!$B$3:$G$54,6,0)</f>
        <v>0.9</v>
      </c>
      <c r="L175" s="6">
        <v>616</v>
      </c>
      <c r="M175" s="6">
        <v>0</v>
      </c>
      <c r="N175" s="6">
        <v>17</v>
      </c>
      <c r="O175" s="14">
        <f t="shared" si="5"/>
        <v>0</v>
      </c>
    </row>
    <row r="176" spans="1:15" x14ac:dyDescent="0.3">
      <c r="A176" s="15" t="s">
        <v>43</v>
      </c>
      <c r="B176" s="12" t="s">
        <v>29</v>
      </c>
      <c r="C176" s="12" t="s">
        <v>29</v>
      </c>
      <c r="D176" s="6">
        <f t="shared" si="4"/>
        <v>36</v>
      </c>
      <c r="E176" s="6">
        <v>45</v>
      </c>
      <c r="F176" s="6">
        <f>VLOOKUP($E176,Sheet3!$B$3:$D$54,2,0)</f>
        <v>11</v>
      </c>
      <c r="G176" s="6">
        <f>VLOOKUP($E176,Sheet3!$B$3:$G$54,3,0)</f>
        <v>0</v>
      </c>
      <c r="H176" s="5">
        <f>VLOOKUP($A176,Sheet3!$I$3:$J$38,2,0)</f>
        <v>18.100000000000001</v>
      </c>
      <c r="I176" s="6">
        <f>VLOOKUP($E176,Sheet3!$B$3:$G$54,5,0)</f>
        <v>124251</v>
      </c>
      <c r="J176" s="5">
        <f>VLOOKUP($E176,Sheet3!$B$3:$G$54,4,0)</f>
        <v>3.65</v>
      </c>
      <c r="K176" s="5">
        <f>VLOOKUP($E176,Sheet3!$B$3:$G$54,6,0)</f>
        <v>1.3</v>
      </c>
      <c r="L176" s="6">
        <v>840</v>
      </c>
      <c r="M176" s="6">
        <v>672</v>
      </c>
      <c r="N176" s="6">
        <v>9</v>
      </c>
      <c r="O176" s="14">
        <f t="shared" si="5"/>
        <v>0.8</v>
      </c>
    </row>
    <row r="177" spans="1:15" x14ac:dyDescent="0.3">
      <c r="A177" s="15" t="s">
        <v>43</v>
      </c>
      <c r="B177" s="12" t="s">
        <v>29</v>
      </c>
      <c r="C177" s="12" t="s">
        <v>29</v>
      </c>
      <c r="D177" s="6">
        <f t="shared" si="4"/>
        <v>36</v>
      </c>
      <c r="E177" s="6">
        <v>46</v>
      </c>
      <c r="F177" s="6">
        <f>VLOOKUP($E177,Sheet3!$B$3:$D$54,2,0)</f>
        <v>11</v>
      </c>
      <c r="G177" s="6">
        <f>VLOOKUP($E177,Sheet3!$B$3:$G$54,3,0)</f>
        <v>0</v>
      </c>
      <c r="H177" s="5">
        <f>VLOOKUP($A177,Sheet3!$I$3:$J$38,2,0)</f>
        <v>18.100000000000001</v>
      </c>
      <c r="I177" s="6">
        <f>VLOOKUP($E177,Sheet3!$B$3:$G$54,5,0)</f>
        <v>124251</v>
      </c>
      <c r="J177" s="5">
        <f>VLOOKUP($E177,Sheet3!$B$3:$G$54,4,0)</f>
        <v>3.65</v>
      </c>
      <c r="K177" s="5">
        <f>VLOOKUP($E177,Sheet3!$B$3:$G$54,6,0)</f>
        <v>1.3</v>
      </c>
      <c r="L177" s="6">
        <v>896</v>
      </c>
      <c r="M177" s="6">
        <v>224</v>
      </c>
      <c r="N177" s="6">
        <v>10</v>
      </c>
      <c r="O177" s="14">
        <f t="shared" si="5"/>
        <v>0.25</v>
      </c>
    </row>
    <row r="178" spans="1:15" x14ac:dyDescent="0.3">
      <c r="A178" s="15" t="s">
        <v>43</v>
      </c>
      <c r="B178" s="12" t="s">
        <v>29</v>
      </c>
      <c r="C178" s="12" t="s">
        <v>29</v>
      </c>
      <c r="D178" s="6">
        <f t="shared" si="4"/>
        <v>36</v>
      </c>
      <c r="E178" s="6">
        <v>47</v>
      </c>
      <c r="F178" s="6">
        <f>VLOOKUP($E178,Sheet3!$B$3:$D$54,2,0)</f>
        <v>11</v>
      </c>
      <c r="G178" s="6">
        <f>VLOOKUP($E178,Sheet3!$B$3:$G$54,3,0)</f>
        <v>0</v>
      </c>
      <c r="H178" s="5">
        <f>VLOOKUP($A178,Sheet3!$I$3:$J$38,2,0)</f>
        <v>18.100000000000001</v>
      </c>
      <c r="I178" s="6">
        <f>VLOOKUP($E178,Sheet3!$B$3:$G$54,5,0)</f>
        <v>124251</v>
      </c>
      <c r="J178" s="5">
        <f>VLOOKUP($E178,Sheet3!$B$3:$G$54,4,0)</f>
        <v>3.65</v>
      </c>
      <c r="K178" s="5">
        <f>VLOOKUP($E178,Sheet3!$B$3:$G$54,6,0)</f>
        <v>1.3</v>
      </c>
      <c r="L178" s="6">
        <v>840</v>
      </c>
      <c r="M178" s="6">
        <v>784</v>
      </c>
      <c r="N178" s="6">
        <v>11</v>
      </c>
      <c r="O178" s="14">
        <f t="shared" si="5"/>
        <v>0.93333333333333335</v>
      </c>
    </row>
    <row r="179" spans="1:15" x14ac:dyDescent="0.3">
      <c r="A179" s="15" t="s">
        <v>43</v>
      </c>
      <c r="B179" s="12" t="s">
        <v>29</v>
      </c>
      <c r="C179" s="12" t="s">
        <v>29</v>
      </c>
      <c r="D179" s="6">
        <f t="shared" si="4"/>
        <v>36</v>
      </c>
      <c r="E179" s="6">
        <v>48</v>
      </c>
      <c r="F179" s="6">
        <f>VLOOKUP($E179,Sheet3!$B$3:$D$54,2,0)</f>
        <v>11</v>
      </c>
      <c r="G179" s="6">
        <f>VLOOKUP($E179,Sheet3!$B$3:$G$54,3,0)</f>
        <v>0</v>
      </c>
      <c r="H179" s="5">
        <f>VLOOKUP($A179,Sheet3!$I$3:$J$38,2,0)</f>
        <v>18.100000000000001</v>
      </c>
      <c r="I179" s="6">
        <f>VLOOKUP($E179,Sheet3!$B$3:$G$54,5,0)</f>
        <v>124251</v>
      </c>
      <c r="J179" s="5">
        <f>VLOOKUP($E179,Sheet3!$B$3:$G$54,4,0)</f>
        <v>3.65</v>
      </c>
      <c r="K179" s="5">
        <f>VLOOKUP($E179,Sheet3!$B$3:$G$54,6,0)</f>
        <v>1.3</v>
      </c>
      <c r="L179" s="6">
        <v>840</v>
      </c>
      <c r="M179" s="6">
        <v>336</v>
      </c>
      <c r="N179" s="6">
        <v>12</v>
      </c>
      <c r="O179" s="14">
        <f t="shared" si="5"/>
        <v>0.4</v>
      </c>
    </row>
    <row r="180" spans="1:15" x14ac:dyDescent="0.3">
      <c r="A180" s="15" t="s">
        <v>43</v>
      </c>
      <c r="B180" s="12" t="s">
        <v>29</v>
      </c>
      <c r="C180" s="12" t="s">
        <v>29</v>
      </c>
      <c r="D180" s="6">
        <f t="shared" si="4"/>
        <v>38</v>
      </c>
      <c r="E180" s="6">
        <v>49</v>
      </c>
      <c r="F180" s="6">
        <f>VLOOKUP($E180,Sheet3!$B$3:$D$54,2,0)</f>
        <v>12</v>
      </c>
      <c r="G180" s="6">
        <f>VLOOKUP($E180,Sheet3!$B$3:$G$54,3,0)</f>
        <v>1</v>
      </c>
      <c r="H180" s="5">
        <f>VLOOKUP($A180,Sheet3!$I$3:$J$38,2,0)</f>
        <v>18.100000000000001</v>
      </c>
      <c r="I180" s="6">
        <f>VLOOKUP($E180,Sheet3!$B$3:$G$54,5,0)</f>
        <v>105715</v>
      </c>
      <c r="J180" s="5">
        <f>VLOOKUP($E180,Sheet3!$B$3:$G$54,4,0)</f>
        <v>3.65</v>
      </c>
      <c r="K180" s="5">
        <f>VLOOKUP($E180,Sheet3!$B$3:$G$54,6,0)</f>
        <v>1.3</v>
      </c>
      <c r="L180" s="6">
        <v>224</v>
      </c>
      <c r="M180" s="6">
        <v>952</v>
      </c>
      <c r="N180" s="6">
        <v>11</v>
      </c>
      <c r="O180" s="14">
        <f t="shared" si="5"/>
        <v>4.25</v>
      </c>
    </row>
    <row r="181" spans="1:15" x14ac:dyDescent="0.3">
      <c r="A181" s="15" t="s">
        <v>43</v>
      </c>
      <c r="B181" s="12" t="s">
        <v>29</v>
      </c>
      <c r="C181" s="12" t="s">
        <v>29</v>
      </c>
      <c r="D181" s="6">
        <f t="shared" si="4"/>
        <v>39</v>
      </c>
      <c r="E181" s="6">
        <v>50</v>
      </c>
      <c r="F181" s="6">
        <f>VLOOKUP($E181,Sheet3!$B$3:$D$54,2,0)</f>
        <v>12</v>
      </c>
      <c r="G181" s="6">
        <f>VLOOKUP($E181,Sheet3!$B$3:$G$54,3,0)</f>
        <v>0</v>
      </c>
      <c r="H181" s="5">
        <f>VLOOKUP($A181,Sheet3!$I$3:$J$38,2,0)</f>
        <v>18.100000000000001</v>
      </c>
      <c r="I181" s="6">
        <f>VLOOKUP($E181,Sheet3!$B$3:$G$54,5,0)</f>
        <v>105715</v>
      </c>
      <c r="J181" s="5">
        <f>VLOOKUP($E181,Sheet3!$B$3:$G$54,4,0)</f>
        <v>3.4</v>
      </c>
      <c r="K181" s="5">
        <f>VLOOKUP($E181,Sheet3!$B$3:$G$54,6,0)</f>
        <v>1.3</v>
      </c>
      <c r="L181" s="6">
        <v>784</v>
      </c>
      <c r="M181" s="6">
        <v>168</v>
      </c>
      <c r="N181" s="6">
        <v>11</v>
      </c>
      <c r="O181" s="14">
        <f t="shared" si="5"/>
        <v>0.21428571428571427</v>
      </c>
    </row>
    <row r="182" spans="1:15" x14ac:dyDescent="0.3">
      <c r="A182" s="15" t="s">
        <v>43</v>
      </c>
      <c r="B182" s="12" t="s">
        <v>29</v>
      </c>
      <c r="C182" s="12" t="s">
        <v>29</v>
      </c>
      <c r="D182" s="6">
        <f t="shared" si="4"/>
        <v>38</v>
      </c>
      <c r="E182" s="6">
        <v>51</v>
      </c>
      <c r="F182" s="6">
        <f>VLOOKUP($E182,Sheet3!$B$3:$D$54,2,0)</f>
        <v>12</v>
      </c>
      <c r="G182" s="6">
        <f>VLOOKUP($E182,Sheet3!$B$3:$G$54,3,0)</f>
        <v>0</v>
      </c>
      <c r="H182" s="5">
        <f>VLOOKUP($A182,Sheet3!$I$3:$J$38,2,0)</f>
        <v>18.100000000000001</v>
      </c>
      <c r="I182" s="6">
        <f>VLOOKUP($E182,Sheet3!$B$3:$G$54,5,0)</f>
        <v>105715</v>
      </c>
      <c r="J182" s="5">
        <f>VLOOKUP($E182,Sheet3!$B$3:$G$54,4,0)</f>
        <v>3.4</v>
      </c>
      <c r="K182" s="5">
        <f>VLOOKUP($E182,Sheet3!$B$3:$G$54,6,0)</f>
        <v>1.3</v>
      </c>
      <c r="L182" s="6">
        <v>728</v>
      </c>
      <c r="M182" s="6">
        <v>0</v>
      </c>
      <c r="N182" s="6">
        <v>13</v>
      </c>
      <c r="O182" s="14">
        <f t="shared" si="5"/>
        <v>0</v>
      </c>
    </row>
    <row r="183" spans="1:15" x14ac:dyDescent="0.3">
      <c r="A183" s="15" t="s">
        <v>43</v>
      </c>
      <c r="B183" s="12" t="s">
        <v>29</v>
      </c>
      <c r="C183" s="12" t="s">
        <v>29</v>
      </c>
      <c r="D183" s="6">
        <f t="shared" si="4"/>
        <v>38</v>
      </c>
      <c r="E183" s="6">
        <v>52</v>
      </c>
      <c r="F183" s="6">
        <f>VLOOKUP($E183,Sheet3!$B$3:$D$54,2,0)</f>
        <v>12</v>
      </c>
      <c r="G183" s="6">
        <f>VLOOKUP($E183,Sheet3!$B$3:$G$54,3,0)</f>
        <v>1</v>
      </c>
      <c r="H183" s="5">
        <f>VLOOKUP($A183,Sheet3!$I$3:$J$38,2,0)</f>
        <v>18.100000000000001</v>
      </c>
      <c r="I183" s="6">
        <f>VLOOKUP($E183,Sheet3!$B$3:$G$54,5,0)</f>
        <v>105715</v>
      </c>
      <c r="J183" s="5">
        <f>VLOOKUP($E183,Sheet3!$B$3:$G$54,4,0)</f>
        <v>3.4</v>
      </c>
      <c r="K183" s="5">
        <f>VLOOKUP($E183,Sheet3!$B$3:$G$54,6,0)</f>
        <v>1.3</v>
      </c>
      <c r="L183" s="6">
        <v>224</v>
      </c>
      <c r="M183" s="6">
        <v>0</v>
      </c>
      <c r="N183" s="6">
        <v>14</v>
      </c>
      <c r="O183" s="14">
        <f t="shared" si="5"/>
        <v>0</v>
      </c>
    </row>
    <row r="184" spans="1:15" x14ac:dyDescent="0.3">
      <c r="A184" s="15" t="s">
        <v>43</v>
      </c>
      <c r="B184" s="12" t="s">
        <v>29</v>
      </c>
      <c r="C184" s="12" t="s">
        <v>29</v>
      </c>
      <c r="D184" s="6">
        <f t="shared" si="4"/>
        <v>41</v>
      </c>
      <c r="E184" s="6">
        <v>1</v>
      </c>
      <c r="F184" s="6">
        <f>VLOOKUP($E184,Sheet3!$B$3:$D$54,2,0)</f>
        <v>12</v>
      </c>
      <c r="G184" s="6">
        <f>VLOOKUP($E184,Sheet3!$B$3:$G$54,3,0)</f>
        <v>1</v>
      </c>
      <c r="H184" s="5">
        <f>VLOOKUP($A184,Sheet3!$I$3:$J$38,2,0)</f>
        <v>18.100000000000001</v>
      </c>
      <c r="I184" s="6">
        <f>VLOOKUP($E184,Sheet3!$B$3:$G$54,5,0)</f>
        <v>105715</v>
      </c>
      <c r="J184" s="5">
        <f>VLOOKUP($E184,Sheet3!$B$3:$G$54,4,0)</f>
        <v>3.4</v>
      </c>
      <c r="K184" s="5">
        <f>VLOOKUP($E184,Sheet3!$B$3:$G$54,6,0)</f>
        <v>1.3</v>
      </c>
      <c r="L184" s="6">
        <v>560</v>
      </c>
      <c r="M184" s="6">
        <v>0</v>
      </c>
      <c r="N184" s="6">
        <v>12</v>
      </c>
      <c r="O184" s="14">
        <f t="shared" si="5"/>
        <v>0</v>
      </c>
    </row>
    <row r="185" spans="1:15" x14ac:dyDescent="0.3">
      <c r="A185" s="15" t="s">
        <v>43</v>
      </c>
      <c r="B185" s="12" t="s">
        <v>29</v>
      </c>
      <c r="C185" s="12" t="s">
        <v>29</v>
      </c>
      <c r="D185" s="6">
        <f t="shared" si="4"/>
        <v>42</v>
      </c>
      <c r="E185" s="6">
        <v>2</v>
      </c>
      <c r="F185" s="6">
        <f>VLOOKUP($E185,Sheet3!$B$3:$D$54,2,0)</f>
        <v>1</v>
      </c>
      <c r="G185" s="6">
        <f>VLOOKUP($E185,Sheet3!$B$3:$G$54,3,0)</f>
        <v>1</v>
      </c>
      <c r="H185" s="5">
        <f>VLOOKUP($A185,Sheet3!$I$3:$J$38,2,0)</f>
        <v>18.100000000000001</v>
      </c>
      <c r="I185" s="6">
        <f>VLOOKUP($E185,Sheet3!$B$3:$G$54,5,0)</f>
        <v>133692</v>
      </c>
      <c r="J185" s="5">
        <f>VLOOKUP($E185,Sheet3!$B$3:$G$54,4,0)</f>
        <v>3.4</v>
      </c>
      <c r="K185" s="5">
        <f>VLOOKUP($E185,Sheet3!$B$3:$G$54,6,0)</f>
        <v>1.5</v>
      </c>
      <c r="L185" s="6">
        <v>0</v>
      </c>
      <c r="M185" s="6">
        <v>0</v>
      </c>
      <c r="N185" s="6">
        <v>12</v>
      </c>
      <c r="O185" s="14" t="e">
        <f t="shared" si="5"/>
        <v>#DIV/0!</v>
      </c>
    </row>
    <row r="186" spans="1:15" x14ac:dyDescent="0.3">
      <c r="A186" s="15" t="s">
        <v>43</v>
      </c>
      <c r="B186" s="12" t="s">
        <v>29</v>
      </c>
      <c r="C186" s="12" t="s">
        <v>29</v>
      </c>
      <c r="D186" s="6">
        <f t="shared" si="4"/>
        <v>43</v>
      </c>
      <c r="E186" s="6">
        <v>3</v>
      </c>
      <c r="F186" s="6">
        <f>VLOOKUP($E186,Sheet3!$B$3:$D$54,2,0)</f>
        <v>1</v>
      </c>
      <c r="G186" s="6">
        <f>VLOOKUP($E186,Sheet3!$B$3:$G$54,3,0)</f>
        <v>0</v>
      </c>
      <c r="H186" s="5">
        <f>VLOOKUP($A186,Sheet3!$I$3:$J$38,2,0)</f>
        <v>18.100000000000001</v>
      </c>
      <c r="I186" s="6">
        <f>VLOOKUP($E186,Sheet3!$B$3:$G$54,5,0)</f>
        <v>133692</v>
      </c>
      <c r="J186" s="5">
        <f>VLOOKUP($E186,Sheet3!$B$3:$G$54,4,0)</f>
        <v>3.4</v>
      </c>
      <c r="K186" s="5">
        <f>VLOOKUP($E186,Sheet3!$B$3:$G$54,6,0)</f>
        <v>1.5</v>
      </c>
      <c r="L186" s="6">
        <v>392</v>
      </c>
      <c r="M186" s="6">
        <v>0</v>
      </c>
      <c r="N186" s="6">
        <v>12</v>
      </c>
      <c r="O186" s="14">
        <f t="shared" si="5"/>
        <v>0</v>
      </c>
    </row>
    <row r="187" spans="1:15" x14ac:dyDescent="0.3">
      <c r="A187" s="15" t="s">
        <v>43</v>
      </c>
      <c r="B187" s="12" t="s">
        <v>29</v>
      </c>
      <c r="C187" s="12" t="s">
        <v>29</v>
      </c>
      <c r="D187" s="6">
        <f t="shared" si="4"/>
        <v>43</v>
      </c>
      <c r="E187" s="6">
        <v>4</v>
      </c>
      <c r="F187" s="6">
        <f>VLOOKUP($E187,Sheet3!$B$3:$D$54,2,0)</f>
        <v>1</v>
      </c>
      <c r="G187" s="6">
        <f>VLOOKUP($E187,Sheet3!$B$3:$G$54,3,0)</f>
        <v>0</v>
      </c>
      <c r="H187" s="5">
        <f>VLOOKUP($A187,Sheet3!$I$3:$J$38,2,0)</f>
        <v>18.100000000000001</v>
      </c>
      <c r="I187" s="6">
        <f>VLOOKUP($E187,Sheet3!$B$3:$G$54,5,0)</f>
        <v>133692</v>
      </c>
      <c r="J187" s="5">
        <f>VLOOKUP($E187,Sheet3!$B$3:$G$54,4,0)</f>
        <v>3.4</v>
      </c>
      <c r="K187" s="5">
        <f>VLOOKUP($E187,Sheet3!$B$3:$G$54,6,0)</f>
        <v>1.5</v>
      </c>
      <c r="L187" s="6">
        <v>784</v>
      </c>
      <c r="M187" s="6">
        <v>0</v>
      </c>
      <c r="N187" s="6">
        <v>13</v>
      </c>
      <c r="O187" s="14">
        <f t="shared" si="5"/>
        <v>0</v>
      </c>
    </row>
    <row r="188" spans="1:15" x14ac:dyDescent="0.3">
      <c r="A188" s="15" t="s">
        <v>43</v>
      </c>
      <c r="B188" s="12" t="s">
        <v>29</v>
      </c>
      <c r="C188" s="12" t="s">
        <v>29</v>
      </c>
      <c r="D188" s="6">
        <f t="shared" si="4"/>
        <v>43</v>
      </c>
      <c r="E188" s="6">
        <v>5</v>
      </c>
      <c r="F188" s="6">
        <f>VLOOKUP($E188,Sheet3!$B$3:$D$54,2,0)</f>
        <v>1</v>
      </c>
      <c r="G188" s="6">
        <f>VLOOKUP($E188,Sheet3!$B$3:$G$54,3,0)</f>
        <v>0</v>
      </c>
      <c r="H188" s="5">
        <f>VLOOKUP($A188,Sheet3!$I$3:$J$38,2,0)</f>
        <v>18.100000000000001</v>
      </c>
      <c r="I188" s="6">
        <f>VLOOKUP($E188,Sheet3!$B$3:$G$54,5,0)</f>
        <v>133692</v>
      </c>
      <c r="J188" s="5">
        <f>VLOOKUP($E188,Sheet3!$B$3:$G$54,4,0)</f>
        <v>3.4</v>
      </c>
      <c r="K188" s="5">
        <f>VLOOKUP($E188,Sheet3!$B$3:$G$54,6,0)</f>
        <v>1.5</v>
      </c>
      <c r="L188" s="6">
        <v>672</v>
      </c>
      <c r="M188" s="6">
        <v>0</v>
      </c>
      <c r="N188" s="6">
        <v>14</v>
      </c>
      <c r="O188" s="14">
        <f t="shared" si="5"/>
        <v>0</v>
      </c>
    </row>
    <row r="189" spans="1:15" x14ac:dyDescent="0.3">
      <c r="A189" s="15" t="s">
        <v>43</v>
      </c>
      <c r="B189" s="12" t="s">
        <v>29</v>
      </c>
      <c r="C189" s="12" t="s">
        <v>29</v>
      </c>
      <c r="D189" s="6">
        <f t="shared" si="4"/>
        <v>49</v>
      </c>
      <c r="E189" s="6">
        <v>6</v>
      </c>
      <c r="F189" s="6">
        <f>VLOOKUP($E189,Sheet3!$B$3:$D$54,2,0)</f>
        <v>2</v>
      </c>
      <c r="G189" s="6">
        <f>VLOOKUP($E189,Sheet3!$B$3:$G$54,3,0)</f>
        <v>0</v>
      </c>
      <c r="H189" s="5">
        <f>VLOOKUP($A189,Sheet3!$I$3:$J$38,2,0)</f>
        <v>18.100000000000001</v>
      </c>
      <c r="I189" s="6">
        <f>VLOOKUP($E189,Sheet3!$B$3:$G$54,5,0)</f>
        <v>137922</v>
      </c>
      <c r="J189" s="5">
        <f>VLOOKUP($E189,Sheet3!$B$3:$G$54,4,0)</f>
        <v>3.15</v>
      </c>
      <c r="K189" s="5">
        <f>VLOOKUP($E189,Sheet3!$B$3:$G$54,6,0)</f>
        <v>1.6</v>
      </c>
      <c r="L189" s="6">
        <v>784</v>
      </c>
      <c r="M189" s="6">
        <v>280</v>
      </c>
      <c r="N189" s="6">
        <v>9</v>
      </c>
      <c r="O189" s="14">
        <f t="shared" si="5"/>
        <v>0.35714285714285715</v>
      </c>
    </row>
    <row r="190" spans="1:15" x14ac:dyDescent="0.3">
      <c r="A190" s="15" t="s">
        <v>43</v>
      </c>
      <c r="B190" s="12" t="s">
        <v>29</v>
      </c>
      <c r="C190" s="12" t="s">
        <v>29</v>
      </c>
      <c r="D190" s="6">
        <f t="shared" si="4"/>
        <v>49</v>
      </c>
      <c r="E190" s="6">
        <v>7</v>
      </c>
      <c r="F190" s="6">
        <f>VLOOKUP($E190,Sheet3!$B$3:$D$54,2,0)</f>
        <v>2</v>
      </c>
      <c r="G190" s="6">
        <f>VLOOKUP($E190,Sheet3!$B$3:$G$54,3,0)</f>
        <v>0</v>
      </c>
      <c r="H190" s="5">
        <f>VLOOKUP($A190,Sheet3!$I$3:$J$38,2,0)</f>
        <v>18.100000000000001</v>
      </c>
      <c r="I190" s="6">
        <f>VLOOKUP($E190,Sheet3!$B$3:$G$54,5,0)</f>
        <v>137922</v>
      </c>
      <c r="J190" s="5">
        <f>VLOOKUP($E190,Sheet3!$B$3:$G$54,4,0)</f>
        <v>3.15</v>
      </c>
      <c r="K190" s="5">
        <f>VLOOKUP($E190,Sheet3!$B$3:$G$54,6,0)</f>
        <v>1.6</v>
      </c>
      <c r="L190" s="6">
        <v>672</v>
      </c>
      <c r="M190" s="6">
        <v>504</v>
      </c>
      <c r="N190" s="6">
        <v>10</v>
      </c>
      <c r="O190" s="14">
        <f t="shared" si="5"/>
        <v>0.75</v>
      </c>
    </row>
    <row r="191" spans="1:15" x14ac:dyDescent="0.3">
      <c r="A191" s="15" t="s">
        <v>43</v>
      </c>
      <c r="B191" s="12" t="s">
        <v>29</v>
      </c>
      <c r="C191" s="12" t="s">
        <v>29</v>
      </c>
      <c r="D191" s="6">
        <f t="shared" si="4"/>
        <v>49</v>
      </c>
      <c r="E191" s="6">
        <v>8</v>
      </c>
      <c r="F191" s="6">
        <f>VLOOKUP($E191,Sheet3!$B$3:$D$54,2,0)</f>
        <v>2</v>
      </c>
      <c r="G191" s="6">
        <f>VLOOKUP($E191,Sheet3!$B$3:$G$54,3,0)</f>
        <v>0</v>
      </c>
      <c r="H191" s="5">
        <f>VLOOKUP($A191,Sheet3!$I$3:$J$38,2,0)</f>
        <v>18.100000000000001</v>
      </c>
      <c r="I191" s="6">
        <f>VLOOKUP($E191,Sheet3!$B$3:$G$54,5,0)</f>
        <v>137922</v>
      </c>
      <c r="J191" s="5">
        <f>VLOOKUP($E191,Sheet3!$B$3:$G$54,4,0)</f>
        <v>3.15</v>
      </c>
      <c r="K191" s="5">
        <f>VLOOKUP($E191,Sheet3!$B$3:$G$54,6,0)</f>
        <v>1.6</v>
      </c>
      <c r="L191" s="6">
        <v>728</v>
      </c>
      <c r="M191" s="6">
        <v>560</v>
      </c>
      <c r="N191" s="6">
        <v>11</v>
      </c>
      <c r="O191" s="14">
        <f t="shared" si="5"/>
        <v>0.76923076923076927</v>
      </c>
    </row>
    <row r="192" spans="1:15" x14ac:dyDescent="0.3">
      <c r="A192" s="15" t="s">
        <v>43</v>
      </c>
      <c r="B192" s="12" t="s">
        <v>29</v>
      </c>
      <c r="C192" s="12" t="s">
        <v>29</v>
      </c>
      <c r="D192" s="6">
        <f t="shared" ref="D192:D254" si="6">IF(E192-N192&lt;0,E192-N192+52,E192-N192)</f>
        <v>49</v>
      </c>
      <c r="E192" s="6">
        <v>9</v>
      </c>
      <c r="F192" s="6">
        <f>VLOOKUP($E192,Sheet3!$B$3:$D$54,2,0)</f>
        <v>2</v>
      </c>
      <c r="G192" s="6">
        <f>VLOOKUP($E192,Sheet3!$B$3:$G$54,3,0)</f>
        <v>0</v>
      </c>
      <c r="H192" s="5">
        <f>VLOOKUP($A192,Sheet3!$I$3:$J$38,2,0)</f>
        <v>18.100000000000001</v>
      </c>
      <c r="I192" s="6">
        <f>VLOOKUP($E192,Sheet3!$B$3:$G$54,5,0)</f>
        <v>137922</v>
      </c>
      <c r="J192" s="5">
        <f>VLOOKUP($E192,Sheet3!$B$3:$G$54,4,0)</f>
        <v>3.15</v>
      </c>
      <c r="K192" s="5">
        <f>VLOOKUP($E192,Sheet3!$B$3:$G$54,6,0)</f>
        <v>1.6</v>
      </c>
      <c r="L192" s="6">
        <v>728</v>
      </c>
      <c r="M192" s="6">
        <v>224</v>
      </c>
      <c r="N192" s="6">
        <v>12</v>
      </c>
      <c r="O192" s="14">
        <f t="shared" ref="O192:O254" si="7">M192/L192</f>
        <v>0.30769230769230771</v>
      </c>
    </row>
    <row r="193" spans="1:15" x14ac:dyDescent="0.3">
      <c r="A193" s="15" t="s">
        <v>43</v>
      </c>
      <c r="B193" s="12" t="s">
        <v>29</v>
      </c>
      <c r="C193" s="12" t="s">
        <v>29</v>
      </c>
      <c r="D193" s="6">
        <f t="shared" si="6"/>
        <v>1</v>
      </c>
      <c r="E193" s="6">
        <v>10</v>
      </c>
      <c r="F193" s="6">
        <f>VLOOKUP($E193,Sheet3!$B$3:$D$54,2,0)</f>
        <v>3</v>
      </c>
      <c r="G193" s="6">
        <f>VLOOKUP($E193,Sheet3!$B$3:$G$54,3,0)</f>
        <v>0</v>
      </c>
      <c r="H193" s="5">
        <f>VLOOKUP($A193,Sheet3!$I$3:$J$38,2,0)</f>
        <v>18.100000000000001</v>
      </c>
      <c r="I193" s="6">
        <f>VLOOKUP($E193,Sheet3!$B$3:$G$54,5,0)</f>
        <v>172223</v>
      </c>
      <c r="J193" s="5">
        <f>VLOOKUP($E193,Sheet3!$B$3:$G$54,4,0)</f>
        <v>3.15</v>
      </c>
      <c r="K193" s="5">
        <f>VLOOKUP($E193,Sheet3!$B$3:$G$54,6,0)</f>
        <v>1.9</v>
      </c>
      <c r="L193" s="6">
        <v>504</v>
      </c>
      <c r="M193" s="6">
        <v>728</v>
      </c>
      <c r="N193" s="6">
        <v>9</v>
      </c>
      <c r="O193" s="14">
        <f t="shared" si="7"/>
        <v>1.4444444444444444</v>
      </c>
    </row>
    <row r="194" spans="1:15" x14ac:dyDescent="0.3">
      <c r="A194" s="15" t="s">
        <v>43</v>
      </c>
      <c r="B194" s="12" t="s">
        <v>29</v>
      </c>
      <c r="C194" s="12" t="s">
        <v>29</v>
      </c>
      <c r="D194" s="6">
        <f t="shared" si="6"/>
        <v>1</v>
      </c>
      <c r="E194" s="6">
        <v>11</v>
      </c>
      <c r="F194" s="6">
        <f>VLOOKUP($E194,Sheet3!$B$3:$D$54,2,0)</f>
        <v>3</v>
      </c>
      <c r="G194" s="6">
        <f>VLOOKUP($E194,Sheet3!$B$3:$G$54,3,0)</f>
        <v>0</v>
      </c>
      <c r="H194" s="5">
        <f>VLOOKUP($A194,Sheet3!$I$3:$J$38,2,0)</f>
        <v>18.100000000000001</v>
      </c>
      <c r="I194" s="6">
        <f>VLOOKUP($E194,Sheet3!$B$3:$G$54,5,0)</f>
        <v>172223</v>
      </c>
      <c r="J194" s="5">
        <f>VLOOKUP($E194,Sheet3!$B$3:$G$54,4,0)</f>
        <v>2.9</v>
      </c>
      <c r="K194" s="5">
        <f>VLOOKUP($E194,Sheet3!$B$3:$G$54,6,0)</f>
        <v>1.9</v>
      </c>
      <c r="L194" s="6">
        <v>560</v>
      </c>
      <c r="M194" s="6">
        <v>784</v>
      </c>
      <c r="N194" s="6">
        <v>10</v>
      </c>
      <c r="O194" s="14">
        <f t="shared" si="7"/>
        <v>1.4</v>
      </c>
    </row>
    <row r="195" spans="1:15" x14ac:dyDescent="0.3">
      <c r="A195" s="15" t="s">
        <v>43</v>
      </c>
      <c r="B195" s="12" t="s">
        <v>29</v>
      </c>
      <c r="C195" s="12" t="s">
        <v>29</v>
      </c>
      <c r="D195" s="6">
        <f t="shared" si="6"/>
        <v>1</v>
      </c>
      <c r="E195" s="6">
        <v>12</v>
      </c>
      <c r="F195" s="6">
        <f>VLOOKUP($E195,Sheet3!$B$3:$D$54,2,0)</f>
        <v>3</v>
      </c>
      <c r="G195" s="6">
        <f>VLOOKUP($E195,Sheet3!$B$3:$G$54,3,0)</f>
        <v>0</v>
      </c>
      <c r="H195" s="5">
        <f>VLOOKUP($A195,Sheet3!$I$3:$J$38,2,0)</f>
        <v>18.100000000000001</v>
      </c>
      <c r="I195" s="6">
        <f>VLOOKUP($E195,Sheet3!$B$3:$G$54,5,0)</f>
        <v>172223</v>
      </c>
      <c r="J195" s="5">
        <f>VLOOKUP($E195,Sheet3!$B$3:$G$54,4,0)</f>
        <v>2.9</v>
      </c>
      <c r="K195" s="5">
        <f>VLOOKUP($E195,Sheet3!$B$3:$G$54,6,0)</f>
        <v>1.9</v>
      </c>
      <c r="L195" s="6">
        <v>560</v>
      </c>
      <c r="M195" s="6">
        <v>448</v>
      </c>
      <c r="N195" s="6">
        <v>11</v>
      </c>
      <c r="O195" s="14">
        <f t="shared" si="7"/>
        <v>0.8</v>
      </c>
    </row>
    <row r="196" spans="1:15" x14ac:dyDescent="0.3">
      <c r="A196" s="15" t="s">
        <v>43</v>
      </c>
      <c r="B196" s="12" t="s">
        <v>29</v>
      </c>
      <c r="C196" s="12" t="s">
        <v>29</v>
      </c>
      <c r="D196" s="6">
        <f t="shared" si="6"/>
        <v>1</v>
      </c>
      <c r="E196" s="6">
        <v>13</v>
      </c>
      <c r="F196" s="6">
        <f>VLOOKUP($E196,Sheet3!$B$3:$D$54,2,0)</f>
        <v>3</v>
      </c>
      <c r="G196" s="6">
        <f>VLOOKUP($E196,Sheet3!$B$3:$G$54,3,0)</f>
        <v>0</v>
      </c>
      <c r="H196" s="5">
        <f>VLOOKUP($A196,Sheet3!$I$3:$J$38,2,0)</f>
        <v>18.100000000000001</v>
      </c>
      <c r="I196" s="6">
        <f>VLOOKUP($E196,Sheet3!$B$3:$G$54,5,0)</f>
        <v>172223</v>
      </c>
      <c r="J196" s="5">
        <f>VLOOKUP($E196,Sheet3!$B$3:$G$54,4,0)</f>
        <v>2.9</v>
      </c>
      <c r="K196" s="5">
        <f>VLOOKUP($E196,Sheet3!$B$3:$G$54,6,0)</f>
        <v>1.9</v>
      </c>
      <c r="L196" s="6">
        <v>448</v>
      </c>
      <c r="M196" s="6">
        <v>784</v>
      </c>
      <c r="N196" s="6">
        <v>12</v>
      </c>
      <c r="O196" s="14">
        <f t="shared" si="7"/>
        <v>1.75</v>
      </c>
    </row>
    <row r="197" spans="1:15" x14ac:dyDescent="0.3">
      <c r="A197" s="15" t="s">
        <v>43</v>
      </c>
      <c r="B197" s="12" t="s">
        <v>29</v>
      </c>
      <c r="C197" s="12" t="s">
        <v>29</v>
      </c>
      <c r="D197" s="6">
        <f t="shared" si="6"/>
        <v>1</v>
      </c>
      <c r="E197" s="6">
        <v>14</v>
      </c>
      <c r="F197" s="6">
        <f>VLOOKUP($E197,Sheet3!$B$3:$D$54,2,0)</f>
        <v>3</v>
      </c>
      <c r="G197" s="6">
        <f>VLOOKUP($E197,Sheet3!$B$3:$G$54,3,0)</f>
        <v>0</v>
      </c>
      <c r="H197" s="5">
        <f>VLOOKUP($A197,Sheet3!$I$3:$J$38,2,0)</f>
        <v>18.100000000000001</v>
      </c>
      <c r="I197" s="6">
        <f>VLOOKUP($E197,Sheet3!$B$3:$G$54,5,0)</f>
        <v>172223</v>
      </c>
      <c r="J197" s="5">
        <f>VLOOKUP($E197,Sheet3!$B$3:$G$54,4,0)</f>
        <v>2.9</v>
      </c>
      <c r="K197" s="5">
        <f>VLOOKUP($E197,Sheet3!$B$3:$G$54,6,0)</f>
        <v>1.9</v>
      </c>
      <c r="L197" s="6">
        <v>560</v>
      </c>
      <c r="M197" s="6">
        <v>616</v>
      </c>
      <c r="N197" s="6">
        <v>13</v>
      </c>
      <c r="O197" s="14">
        <f t="shared" si="7"/>
        <v>1.1000000000000001</v>
      </c>
    </row>
    <row r="198" spans="1:15" x14ac:dyDescent="0.3">
      <c r="A198" s="15" t="s">
        <v>43</v>
      </c>
      <c r="B198" s="12" t="s">
        <v>29</v>
      </c>
      <c r="C198" s="12" t="s">
        <v>29</v>
      </c>
      <c r="D198" s="6">
        <f t="shared" si="6"/>
        <v>5</v>
      </c>
      <c r="E198" s="6">
        <v>15</v>
      </c>
      <c r="F198" s="6">
        <f>VLOOKUP($E198,Sheet3!$B$3:$D$54,2,0)</f>
        <v>4</v>
      </c>
      <c r="G198" s="6">
        <f>VLOOKUP($E198,Sheet3!$B$3:$G$54,3,0)</f>
        <v>0</v>
      </c>
      <c r="H198" s="5">
        <f>VLOOKUP($A198,Sheet3!$I$3:$J$38,2,0)</f>
        <v>18.100000000000001</v>
      </c>
      <c r="I198" s="6">
        <f>VLOOKUP($E198,Sheet3!$B$3:$G$54,5,0)</f>
        <v>139084</v>
      </c>
      <c r="J198" s="5">
        <f>VLOOKUP($E198,Sheet3!$B$3:$G$54,4,0)</f>
        <v>2.9</v>
      </c>
      <c r="K198" s="5">
        <f>VLOOKUP($E198,Sheet3!$B$3:$G$54,6,0)</f>
        <v>1.9</v>
      </c>
      <c r="L198" s="6">
        <v>392</v>
      </c>
      <c r="M198" s="6">
        <v>672</v>
      </c>
      <c r="N198" s="6">
        <v>10</v>
      </c>
      <c r="O198" s="14">
        <f t="shared" si="7"/>
        <v>1.7142857142857142</v>
      </c>
    </row>
    <row r="199" spans="1:15" x14ac:dyDescent="0.3">
      <c r="A199" s="15" t="s">
        <v>43</v>
      </c>
      <c r="B199" s="12" t="s">
        <v>29</v>
      </c>
      <c r="C199" s="12" t="s">
        <v>29</v>
      </c>
      <c r="D199" s="6">
        <f t="shared" si="6"/>
        <v>5</v>
      </c>
      <c r="E199" s="6">
        <v>16</v>
      </c>
      <c r="F199" s="6">
        <f>VLOOKUP($E199,Sheet3!$B$3:$D$54,2,0)</f>
        <v>4</v>
      </c>
      <c r="G199" s="6">
        <f>VLOOKUP($E199,Sheet3!$B$3:$G$54,3,0)</f>
        <v>0</v>
      </c>
      <c r="H199" s="5">
        <f>VLOOKUP($A199,Sheet3!$I$3:$J$38,2,0)</f>
        <v>18.100000000000001</v>
      </c>
      <c r="I199" s="6">
        <f>VLOOKUP($E199,Sheet3!$B$3:$G$54,5,0)</f>
        <v>139084</v>
      </c>
      <c r="J199" s="5">
        <f>VLOOKUP($E199,Sheet3!$B$3:$G$54,4,0)</f>
        <v>2.9</v>
      </c>
      <c r="K199" s="5">
        <f>VLOOKUP($E199,Sheet3!$B$3:$G$54,6,0)</f>
        <v>1.9</v>
      </c>
      <c r="L199" s="6">
        <v>336</v>
      </c>
      <c r="M199" s="6">
        <v>392</v>
      </c>
      <c r="N199" s="6">
        <v>11</v>
      </c>
      <c r="O199" s="14">
        <f t="shared" si="7"/>
        <v>1.1666666666666667</v>
      </c>
    </row>
    <row r="200" spans="1:15" x14ac:dyDescent="0.3">
      <c r="A200" s="15" t="s">
        <v>43</v>
      </c>
      <c r="B200" s="12" t="s">
        <v>29</v>
      </c>
      <c r="C200" s="12" t="s">
        <v>29</v>
      </c>
      <c r="D200" s="6">
        <f t="shared" si="6"/>
        <v>5</v>
      </c>
      <c r="E200" s="6">
        <v>17</v>
      </c>
      <c r="F200" s="6">
        <f>VLOOKUP($E200,Sheet3!$B$3:$D$54,2,0)</f>
        <v>4</v>
      </c>
      <c r="G200" s="6">
        <f>VLOOKUP($E200,Sheet3!$B$3:$G$54,3,0)</f>
        <v>1</v>
      </c>
      <c r="H200" s="5">
        <f>VLOOKUP($A200,Sheet3!$I$3:$J$38,2,0)</f>
        <v>18.100000000000001</v>
      </c>
      <c r="I200" s="6">
        <f>VLOOKUP($E200,Sheet3!$B$3:$G$54,5,0)</f>
        <v>139084</v>
      </c>
      <c r="J200" s="5">
        <f>VLOOKUP($E200,Sheet3!$B$3:$G$54,4,0)</f>
        <v>2.65</v>
      </c>
      <c r="K200" s="5">
        <f>VLOOKUP($E200,Sheet3!$B$3:$G$54,6,0)</f>
        <v>1.9</v>
      </c>
      <c r="L200" s="6">
        <v>0</v>
      </c>
      <c r="M200" s="6">
        <v>0</v>
      </c>
      <c r="N200" s="6">
        <v>12</v>
      </c>
      <c r="O200" s="14" t="e">
        <f t="shared" si="7"/>
        <v>#DIV/0!</v>
      </c>
    </row>
    <row r="201" spans="1:15" x14ac:dyDescent="0.3">
      <c r="A201" s="15" t="s">
        <v>43</v>
      </c>
      <c r="B201" s="12" t="s">
        <v>29</v>
      </c>
      <c r="C201" s="12" t="s">
        <v>29</v>
      </c>
      <c r="D201" s="6">
        <f t="shared" si="6"/>
        <v>6</v>
      </c>
      <c r="E201" s="6">
        <v>18</v>
      </c>
      <c r="F201" s="6">
        <f>VLOOKUP($E201,Sheet3!$B$3:$D$54,2,0)</f>
        <v>4</v>
      </c>
      <c r="G201" s="6">
        <f>VLOOKUP($E201,Sheet3!$B$3:$G$54,3,0)</f>
        <v>1</v>
      </c>
      <c r="H201" s="5">
        <f>VLOOKUP($A201,Sheet3!$I$3:$J$38,2,0)</f>
        <v>18.100000000000001</v>
      </c>
      <c r="I201" s="6">
        <f>VLOOKUP($E201,Sheet3!$B$3:$G$54,5,0)</f>
        <v>139084</v>
      </c>
      <c r="J201" s="5">
        <f>VLOOKUP($E201,Sheet3!$B$3:$G$54,4,0)</f>
        <v>2.65</v>
      </c>
      <c r="K201" s="5">
        <f>VLOOKUP($E201,Sheet3!$B$3:$G$54,6,0)</f>
        <v>1.9</v>
      </c>
      <c r="L201" s="6">
        <v>168</v>
      </c>
      <c r="M201" s="6">
        <v>0</v>
      </c>
      <c r="N201" s="6">
        <v>12</v>
      </c>
      <c r="O201" s="14">
        <f t="shared" si="7"/>
        <v>0</v>
      </c>
    </row>
    <row r="202" spans="1:15" x14ac:dyDescent="0.3">
      <c r="A202" s="15" t="s">
        <v>43</v>
      </c>
      <c r="B202" s="12" t="s">
        <v>29</v>
      </c>
      <c r="C202" s="12" t="s">
        <v>29</v>
      </c>
      <c r="D202" s="6">
        <f t="shared" si="6"/>
        <v>7</v>
      </c>
      <c r="E202" s="6">
        <v>19</v>
      </c>
      <c r="F202" s="6">
        <f>VLOOKUP($E202,Sheet3!$B$3:$D$54,2,0)</f>
        <v>5</v>
      </c>
      <c r="G202" s="6">
        <f>VLOOKUP($E202,Sheet3!$B$3:$G$54,3,0)</f>
        <v>0</v>
      </c>
      <c r="H202" s="5">
        <f>VLOOKUP($A202,Sheet3!$I$3:$J$38,2,0)</f>
        <v>18.100000000000001</v>
      </c>
      <c r="I202" s="6">
        <f>VLOOKUP($E202,Sheet3!$B$3:$G$54,5,0)</f>
        <v>139390</v>
      </c>
      <c r="J202" s="5">
        <f>VLOOKUP($E202,Sheet3!$B$3:$G$54,4,0)</f>
        <v>2.65</v>
      </c>
      <c r="K202" s="5">
        <f>VLOOKUP($E202,Sheet3!$B$3:$G$54,6,0)</f>
        <v>1.6</v>
      </c>
      <c r="L202" s="6">
        <v>448</v>
      </c>
      <c r="M202" s="6">
        <v>0</v>
      </c>
      <c r="N202" s="6">
        <v>12</v>
      </c>
      <c r="O202" s="14">
        <f t="shared" si="7"/>
        <v>0</v>
      </c>
    </row>
    <row r="203" spans="1:15" x14ac:dyDescent="0.3">
      <c r="A203" s="15" t="s">
        <v>43</v>
      </c>
      <c r="B203" s="12" t="s">
        <v>29</v>
      </c>
      <c r="C203" s="12" t="s">
        <v>29</v>
      </c>
      <c r="D203" s="6">
        <f t="shared" si="6"/>
        <v>7</v>
      </c>
      <c r="E203" s="6">
        <v>20</v>
      </c>
      <c r="F203" s="6">
        <f>VLOOKUP($E203,Sheet3!$B$3:$D$54,2,0)</f>
        <v>5</v>
      </c>
      <c r="G203" s="6">
        <f>VLOOKUP($E203,Sheet3!$B$3:$G$54,3,0)</f>
        <v>0</v>
      </c>
      <c r="H203" s="5">
        <f>VLOOKUP($A203,Sheet3!$I$3:$J$38,2,0)</f>
        <v>18.100000000000001</v>
      </c>
      <c r="I203" s="6">
        <f>VLOOKUP($E203,Sheet3!$B$3:$G$54,5,0)</f>
        <v>139390</v>
      </c>
      <c r="J203" s="5">
        <f>VLOOKUP($E203,Sheet3!$B$3:$G$54,4,0)</f>
        <v>2.65</v>
      </c>
      <c r="K203" s="5">
        <f>VLOOKUP($E203,Sheet3!$B$3:$G$54,6,0)</f>
        <v>1.6</v>
      </c>
      <c r="L203" s="6">
        <v>112</v>
      </c>
      <c r="M203" s="6">
        <v>112</v>
      </c>
      <c r="N203" s="6">
        <v>13</v>
      </c>
      <c r="O203" s="14">
        <f t="shared" si="7"/>
        <v>1</v>
      </c>
    </row>
    <row r="204" spans="1:15" x14ac:dyDescent="0.3">
      <c r="A204" s="15" t="s">
        <v>43</v>
      </c>
      <c r="B204" s="12" t="s">
        <v>29</v>
      </c>
      <c r="C204" s="12" t="s">
        <v>29</v>
      </c>
      <c r="D204" s="6">
        <f t="shared" si="6"/>
        <v>7</v>
      </c>
      <c r="E204" s="6">
        <v>21</v>
      </c>
      <c r="F204" s="6">
        <f>VLOOKUP($E204,Sheet3!$B$3:$D$54,2,0)</f>
        <v>5</v>
      </c>
      <c r="G204" s="6">
        <f>VLOOKUP($E204,Sheet3!$B$3:$G$54,3,0)</f>
        <v>0</v>
      </c>
      <c r="H204" s="5">
        <f>VLOOKUP($A204,Sheet3!$I$3:$J$38,2,0)</f>
        <v>18.100000000000001</v>
      </c>
      <c r="I204" s="6">
        <f>VLOOKUP($E204,Sheet3!$B$3:$G$54,5,0)</f>
        <v>139390</v>
      </c>
      <c r="J204" s="5">
        <f>VLOOKUP($E204,Sheet3!$B$3:$G$54,4,0)</f>
        <v>2.65</v>
      </c>
      <c r="K204" s="5">
        <f>VLOOKUP($E204,Sheet3!$B$3:$G$54,6,0)</f>
        <v>1.6</v>
      </c>
      <c r="L204" s="6">
        <v>392</v>
      </c>
      <c r="M204" s="6">
        <v>672</v>
      </c>
      <c r="N204" s="6">
        <v>14</v>
      </c>
      <c r="O204" s="14">
        <f t="shared" si="7"/>
        <v>1.7142857142857142</v>
      </c>
    </row>
    <row r="205" spans="1:15" x14ac:dyDescent="0.3">
      <c r="A205" s="15" t="s">
        <v>43</v>
      </c>
      <c r="B205" s="12" t="s">
        <v>29</v>
      </c>
      <c r="C205" s="12" t="s">
        <v>29</v>
      </c>
      <c r="D205" s="6">
        <f t="shared" si="6"/>
        <v>7</v>
      </c>
      <c r="E205" s="6">
        <v>22</v>
      </c>
      <c r="F205" s="6">
        <f>VLOOKUP($E205,Sheet3!$B$3:$D$54,2,0)</f>
        <v>5</v>
      </c>
      <c r="G205" s="6">
        <f>VLOOKUP($E205,Sheet3!$B$3:$G$54,3,0)</f>
        <v>0</v>
      </c>
      <c r="H205" s="5">
        <f>VLOOKUP($A205,Sheet3!$I$3:$J$38,2,0)</f>
        <v>18.100000000000001</v>
      </c>
      <c r="I205" s="6">
        <f>VLOOKUP($E205,Sheet3!$B$3:$G$54,5,0)</f>
        <v>139390</v>
      </c>
      <c r="J205" s="5">
        <f>VLOOKUP($E205,Sheet3!$B$3:$G$54,4,0)</f>
        <v>2.65</v>
      </c>
      <c r="K205" s="5">
        <f>VLOOKUP($E205,Sheet3!$B$3:$G$54,6,0)</f>
        <v>1.6</v>
      </c>
      <c r="L205" s="6">
        <v>448</v>
      </c>
      <c r="M205" s="6">
        <v>56</v>
      </c>
      <c r="N205" s="6">
        <v>15</v>
      </c>
      <c r="O205" s="14">
        <f t="shared" si="7"/>
        <v>0.125</v>
      </c>
    </row>
    <row r="206" spans="1:15" x14ac:dyDescent="0.3">
      <c r="A206" s="15" t="s">
        <v>43</v>
      </c>
      <c r="B206" s="12" t="s">
        <v>29</v>
      </c>
      <c r="C206" s="12" t="s">
        <v>29</v>
      </c>
      <c r="D206" s="6">
        <f t="shared" si="6"/>
        <v>11</v>
      </c>
      <c r="E206" s="6">
        <v>23</v>
      </c>
      <c r="F206" s="6">
        <f>VLOOKUP($E206,Sheet3!$B$3:$D$54,2,0)</f>
        <v>5</v>
      </c>
      <c r="G206" s="6">
        <f>VLOOKUP($E206,Sheet3!$B$3:$G$54,3,0)</f>
        <v>1</v>
      </c>
      <c r="H206" s="5">
        <f>VLOOKUP($A206,Sheet3!$I$3:$J$38,2,0)</f>
        <v>18.100000000000001</v>
      </c>
      <c r="I206" s="6">
        <f>VLOOKUP($E206,Sheet3!$B$3:$G$54,5,0)</f>
        <v>139390</v>
      </c>
      <c r="J206" s="5">
        <f>VLOOKUP($E206,Sheet3!$B$3:$G$54,4,0)</f>
        <v>2.4</v>
      </c>
      <c r="K206" s="5">
        <f>VLOOKUP($E206,Sheet3!$B$3:$G$54,6,0)</f>
        <v>1.6</v>
      </c>
      <c r="L206" s="6">
        <v>224</v>
      </c>
      <c r="M206" s="6">
        <v>560</v>
      </c>
      <c r="N206" s="6">
        <v>12</v>
      </c>
      <c r="O206" s="14">
        <f t="shared" si="7"/>
        <v>2.5</v>
      </c>
    </row>
    <row r="207" spans="1:15" x14ac:dyDescent="0.3">
      <c r="A207" s="15" t="s">
        <v>43</v>
      </c>
      <c r="B207" s="12" t="s">
        <v>29</v>
      </c>
      <c r="C207" s="12" t="s">
        <v>29</v>
      </c>
      <c r="D207" s="6">
        <f t="shared" si="6"/>
        <v>11</v>
      </c>
      <c r="E207" s="6">
        <v>24</v>
      </c>
      <c r="F207" s="6">
        <f>VLOOKUP($E207,Sheet3!$B$3:$D$54,2,0)</f>
        <v>6</v>
      </c>
      <c r="G207" s="6">
        <f>VLOOKUP($E207,Sheet3!$B$3:$G$54,3,0)</f>
        <v>0</v>
      </c>
      <c r="H207" s="5">
        <f>VLOOKUP($A207,Sheet3!$I$3:$J$38,2,0)</f>
        <v>18.100000000000001</v>
      </c>
      <c r="I207" s="6">
        <f>VLOOKUP($E207,Sheet3!$B$3:$G$54,5,0)</f>
        <v>132191</v>
      </c>
      <c r="J207" s="5">
        <f>VLOOKUP($E207,Sheet3!$B$3:$G$54,4,0)</f>
        <v>2.4</v>
      </c>
      <c r="K207" s="5">
        <f>VLOOKUP($E207,Sheet3!$B$3:$G$54,6,0)</f>
        <v>1.7</v>
      </c>
      <c r="L207" s="6">
        <v>224</v>
      </c>
      <c r="M207" s="6">
        <v>0</v>
      </c>
      <c r="N207" s="6">
        <v>13</v>
      </c>
      <c r="O207" s="14">
        <f t="shared" si="7"/>
        <v>0</v>
      </c>
    </row>
    <row r="208" spans="1:15" x14ac:dyDescent="0.3">
      <c r="A208" s="15" t="s">
        <v>43</v>
      </c>
      <c r="B208" s="12" t="s">
        <v>29</v>
      </c>
      <c r="C208" s="12" t="s">
        <v>29</v>
      </c>
      <c r="D208" s="6">
        <f t="shared" si="6"/>
        <v>11</v>
      </c>
      <c r="E208" s="6">
        <v>25</v>
      </c>
      <c r="F208" s="6">
        <f>VLOOKUP($E208,Sheet3!$B$3:$D$54,2,0)</f>
        <v>6</v>
      </c>
      <c r="G208" s="6">
        <f>VLOOKUP($E208,Sheet3!$B$3:$G$54,3,0)</f>
        <v>0</v>
      </c>
      <c r="H208" s="5">
        <f>VLOOKUP($A208,Sheet3!$I$3:$J$38,2,0)</f>
        <v>18.100000000000001</v>
      </c>
      <c r="I208" s="6">
        <f>VLOOKUP($E208,Sheet3!$B$3:$G$54,5,0)</f>
        <v>132191</v>
      </c>
      <c r="J208" s="5">
        <f>VLOOKUP($E208,Sheet3!$B$3:$G$54,4,0)</f>
        <v>2.4</v>
      </c>
      <c r="K208" s="5">
        <f>VLOOKUP($E208,Sheet3!$B$3:$G$54,6,0)</f>
        <v>1.7</v>
      </c>
      <c r="L208" s="6">
        <v>280</v>
      </c>
      <c r="M208" s="6">
        <v>728</v>
      </c>
      <c r="N208" s="6">
        <v>14</v>
      </c>
      <c r="O208" s="14">
        <f t="shared" si="7"/>
        <v>2.6</v>
      </c>
    </row>
    <row r="209" spans="1:15" x14ac:dyDescent="0.3">
      <c r="A209" s="15" t="s">
        <v>43</v>
      </c>
      <c r="B209" s="12" t="s">
        <v>29</v>
      </c>
      <c r="C209" s="12" t="s">
        <v>29</v>
      </c>
      <c r="D209" s="6">
        <f t="shared" si="6"/>
        <v>11</v>
      </c>
      <c r="E209" s="6">
        <v>26</v>
      </c>
      <c r="F209" s="6">
        <f>VLOOKUP($E209,Sheet3!$B$3:$D$54,2,0)</f>
        <v>6</v>
      </c>
      <c r="G209" s="6">
        <f>VLOOKUP($E209,Sheet3!$B$3:$G$54,3,0)</f>
        <v>0</v>
      </c>
      <c r="H209" s="5">
        <f>VLOOKUP($A209,Sheet3!$I$3:$J$38,2,0)</f>
        <v>18.100000000000001</v>
      </c>
      <c r="I209" s="6">
        <f>VLOOKUP($E209,Sheet3!$B$3:$G$54,5,0)</f>
        <v>132191</v>
      </c>
      <c r="J209" s="5">
        <f>VLOOKUP($E209,Sheet3!$B$3:$G$54,4,0)</f>
        <v>2.4</v>
      </c>
      <c r="K209" s="5">
        <f>VLOOKUP($E209,Sheet3!$B$3:$G$54,6,0)</f>
        <v>1.7</v>
      </c>
      <c r="L209" s="6">
        <v>336</v>
      </c>
      <c r="M209" s="6">
        <v>168</v>
      </c>
      <c r="N209" s="6">
        <v>15</v>
      </c>
      <c r="O209" s="14">
        <f t="shared" si="7"/>
        <v>0.5</v>
      </c>
    </row>
    <row r="210" spans="1:15" x14ac:dyDescent="0.3">
      <c r="A210" s="16" t="s">
        <v>29</v>
      </c>
      <c r="B210" s="12" t="s">
        <v>30</v>
      </c>
      <c r="C210" s="12" t="s">
        <v>29</v>
      </c>
      <c r="D210" s="6">
        <f t="shared" si="6"/>
        <v>12</v>
      </c>
      <c r="E210">
        <v>27</v>
      </c>
      <c r="F210" s="6">
        <f>VLOOKUP($E210,Sheet3!$B$3:$D$54,2,0)</f>
        <v>7</v>
      </c>
      <c r="G210" s="6">
        <f>VLOOKUP($E210,Sheet3!$B$3:$G$54,3,0)</f>
        <v>0</v>
      </c>
      <c r="H210" s="5">
        <f>VLOOKUP($A210,Sheet3!$I$3:$J$38,2,0)</f>
        <v>19.29</v>
      </c>
      <c r="I210" s="6">
        <f>VLOOKUP($E210,Sheet3!$B$3:$G$54,5,0)</f>
        <v>124806</v>
      </c>
      <c r="J210" s="5">
        <f>VLOOKUP($E210,Sheet3!$B$3:$G$54,4,0)</f>
        <v>4.5</v>
      </c>
      <c r="K210" s="5">
        <f>VLOOKUP($E210,Sheet3!$B$3:$G$54,6,0)</f>
        <v>1.3</v>
      </c>
      <c r="L210">
        <v>2208</v>
      </c>
      <c r="M210">
        <v>816</v>
      </c>
      <c r="N210">
        <v>15</v>
      </c>
      <c r="O210" s="14">
        <f t="shared" si="7"/>
        <v>0.36956521739130432</v>
      </c>
    </row>
    <row r="211" spans="1:15" x14ac:dyDescent="0.3">
      <c r="A211" s="16" t="s">
        <v>29</v>
      </c>
      <c r="B211" s="12" t="s">
        <v>30</v>
      </c>
      <c r="C211" s="12" t="s">
        <v>29</v>
      </c>
      <c r="D211" s="6">
        <f t="shared" si="6"/>
        <v>12</v>
      </c>
      <c r="E211">
        <v>28</v>
      </c>
      <c r="F211" s="6">
        <f>VLOOKUP($E211,Sheet3!$B$3:$D$54,2,0)</f>
        <v>7</v>
      </c>
      <c r="G211" s="6">
        <f>VLOOKUP($E211,Sheet3!$B$3:$G$54,3,0)</f>
        <v>0</v>
      </c>
      <c r="H211" s="5">
        <f>VLOOKUP($A211,Sheet3!$I$3:$J$38,2,0)</f>
        <v>19.29</v>
      </c>
      <c r="I211" s="6">
        <f>VLOOKUP($E211,Sheet3!$B$3:$G$54,5,0)</f>
        <v>124806</v>
      </c>
      <c r="J211" s="5">
        <f>VLOOKUP($E211,Sheet3!$B$3:$G$54,4,0)</f>
        <v>4.5</v>
      </c>
      <c r="K211" s="5">
        <f>VLOOKUP($E211,Sheet3!$B$3:$G$54,6,0)</f>
        <v>1.3</v>
      </c>
      <c r="L211">
        <v>1920</v>
      </c>
      <c r="M211">
        <v>1536</v>
      </c>
      <c r="N211">
        <v>16</v>
      </c>
      <c r="O211" s="14">
        <f t="shared" si="7"/>
        <v>0.8</v>
      </c>
    </row>
    <row r="212" spans="1:15" x14ac:dyDescent="0.3">
      <c r="A212" s="16" t="s">
        <v>29</v>
      </c>
      <c r="B212" s="12" t="s">
        <v>30</v>
      </c>
      <c r="C212" s="12" t="s">
        <v>29</v>
      </c>
      <c r="D212" s="6">
        <f t="shared" si="6"/>
        <v>12</v>
      </c>
      <c r="E212">
        <v>29</v>
      </c>
      <c r="F212" s="6">
        <f>VLOOKUP($E212,Sheet3!$B$3:$D$54,2,0)</f>
        <v>7</v>
      </c>
      <c r="G212" s="6">
        <f>VLOOKUP($E212,Sheet3!$B$3:$G$54,3,0)</f>
        <v>0</v>
      </c>
      <c r="H212" s="5">
        <f>VLOOKUP($A212,Sheet3!$I$3:$J$38,2,0)</f>
        <v>19.29</v>
      </c>
      <c r="I212" s="6">
        <f>VLOOKUP($E212,Sheet3!$B$3:$G$54,5,0)</f>
        <v>124806</v>
      </c>
      <c r="J212" s="5">
        <f>VLOOKUP($E212,Sheet3!$B$3:$G$54,4,0)</f>
        <v>4.5</v>
      </c>
      <c r="K212" s="5">
        <f>VLOOKUP($E212,Sheet3!$B$3:$G$54,6,0)</f>
        <v>1.3</v>
      </c>
      <c r="L212">
        <v>1848</v>
      </c>
      <c r="M212">
        <v>0</v>
      </c>
      <c r="N212">
        <v>17</v>
      </c>
      <c r="O212" s="14">
        <f t="shared" si="7"/>
        <v>0</v>
      </c>
    </row>
    <row r="213" spans="1:15" x14ac:dyDescent="0.3">
      <c r="A213" s="16" t="s">
        <v>29</v>
      </c>
      <c r="B213" s="12" t="s">
        <v>30</v>
      </c>
      <c r="C213" s="12" t="s">
        <v>29</v>
      </c>
      <c r="D213" s="6">
        <f t="shared" si="6"/>
        <v>12</v>
      </c>
      <c r="E213">
        <v>30</v>
      </c>
      <c r="F213" s="6">
        <f>VLOOKUP($E213,Sheet3!$B$3:$D$54,2,0)</f>
        <v>7</v>
      </c>
      <c r="G213" s="6">
        <f>VLOOKUP($E213,Sheet3!$B$3:$G$54,3,0)</f>
        <v>0</v>
      </c>
      <c r="H213" s="5">
        <f>VLOOKUP($A213,Sheet3!$I$3:$J$38,2,0)</f>
        <v>19.29</v>
      </c>
      <c r="I213" s="6">
        <f>VLOOKUP($E213,Sheet3!$B$3:$G$54,5,0)</f>
        <v>124806</v>
      </c>
      <c r="J213" s="5">
        <f>VLOOKUP($E213,Sheet3!$B$3:$G$54,4,0)</f>
        <v>4.5</v>
      </c>
      <c r="K213" s="5">
        <f>VLOOKUP($E213,Sheet3!$B$3:$G$54,6,0)</f>
        <v>1.3</v>
      </c>
      <c r="L213">
        <v>1848</v>
      </c>
      <c r="M213">
        <v>2568</v>
      </c>
      <c r="N213">
        <v>18</v>
      </c>
      <c r="O213" s="14">
        <f t="shared" si="7"/>
        <v>1.3896103896103895</v>
      </c>
    </row>
    <row r="214" spans="1:15" x14ac:dyDescent="0.3">
      <c r="A214" s="16" t="s">
        <v>29</v>
      </c>
      <c r="B214" s="12" t="s">
        <v>30</v>
      </c>
      <c r="C214" s="12" t="s">
        <v>29</v>
      </c>
      <c r="D214" s="6">
        <f t="shared" si="6"/>
        <v>12</v>
      </c>
      <c r="E214">
        <v>31</v>
      </c>
      <c r="F214" s="6">
        <f>VLOOKUP($E214,Sheet3!$B$3:$D$54,2,0)</f>
        <v>7</v>
      </c>
      <c r="G214" s="6">
        <f>VLOOKUP($E214,Sheet3!$B$3:$G$54,3,0)</f>
        <v>0</v>
      </c>
      <c r="H214" s="5">
        <f>VLOOKUP($A214,Sheet3!$I$3:$J$38,2,0)</f>
        <v>19.29</v>
      </c>
      <c r="I214" s="6">
        <f>VLOOKUP($E214,Sheet3!$B$3:$G$54,5,0)</f>
        <v>124806</v>
      </c>
      <c r="J214" s="5">
        <f>VLOOKUP($E214,Sheet3!$B$3:$G$54,4,0)</f>
        <v>4.5</v>
      </c>
      <c r="K214" s="5">
        <f>VLOOKUP($E214,Sheet3!$B$3:$G$54,6,0)</f>
        <v>1.3</v>
      </c>
      <c r="L214">
        <v>1704</v>
      </c>
      <c r="M214">
        <v>720</v>
      </c>
      <c r="N214">
        <v>19</v>
      </c>
      <c r="O214" s="14">
        <f t="shared" si="7"/>
        <v>0.42253521126760563</v>
      </c>
    </row>
    <row r="215" spans="1:15" x14ac:dyDescent="0.3">
      <c r="A215" s="16" t="s">
        <v>29</v>
      </c>
      <c r="B215" s="12" t="s">
        <v>30</v>
      </c>
      <c r="C215" s="12" t="s">
        <v>29</v>
      </c>
      <c r="D215" s="6">
        <f t="shared" si="6"/>
        <v>13</v>
      </c>
      <c r="E215">
        <v>32</v>
      </c>
      <c r="F215" s="6">
        <f>VLOOKUP($E215,Sheet3!$B$3:$D$54,2,0)</f>
        <v>8</v>
      </c>
      <c r="G215" s="6">
        <f>VLOOKUP($E215,Sheet3!$B$3:$G$54,3,0)</f>
        <v>1</v>
      </c>
      <c r="H215" s="5">
        <f>VLOOKUP($A215,Sheet3!$I$3:$J$38,2,0)</f>
        <v>19.29</v>
      </c>
      <c r="I215" s="6">
        <f>VLOOKUP($E215,Sheet3!$B$3:$G$54,5,0)</f>
        <v>69121</v>
      </c>
      <c r="J215" s="5">
        <f>VLOOKUP($E215,Sheet3!$B$3:$G$54,4,0)</f>
        <v>4.5</v>
      </c>
      <c r="K215" s="5">
        <f>VLOOKUP($E215,Sheet3!$B$3:$G$54,6,0)</f>
        <v>1.1000000000000001</v>
      </c>
      <c r="L215">
        <v>0</v>
      </c>
      <c r="M215">
        <v>0</v>
      </c>
      <c r="N215">
        <v>19</v>
      </c>
      <c r="O215" s="14" t="e">
        <f t="shared" si="7"/>
        <v>#DIV/0!</v>
      </c>
    </row>
    <row r="216" spans="1:15" x14ac:dyDescent="0.3">
      <c r="A216" s="16" t="s">
        <v>29</v>
      </c>
      <c r="B216" s="12" t="s">
        <v>30</v>
      </c>
      <c r="C216" s="12" t="s">
        <v>29</v>
      </c>
      <c r="D216" s="6">
        <f t="shared" si="6"/>
        <v>14</v>
      </c>
      <c r="E216">
        <v>33</v>
      </c>
      <c r="F216" s="6">
        <f>VLOOKUP($E216,Sheet3!$B$3:$D$54,2,0)</f>
        <v>8</v>
      </c>
      <c r="G216" s="6">
        <f>VLOOKUP($E216,Sheet3!$B$3:$G$54,3,0)</f>
        <v>1</v>
      </c>
      <c r="H216" s="5">
        <f>VLOOKUP($A216,Sheet3!$I$3:$J$38,2,0)</f>
        <v>19.29</v>
      </c>
      <c r="I216" s="6">
        <f>VLOOKUP($E216,Sheet3!$B$3:$G$54,5,0)</f>
        <v>69121</v>
      </c>
      <c r="J216" s="5">
        <f>VLOOKUP($E216,Sheet3!$B$3:$G$54,4,0)</f>
        <v>4.5</v>
      </c>
      <c r="K216" s="5">
        <f>VLOOKUP($E216,Sheet3!$B$3:$G$54,6,0)</f>
        <v>1.1000000000000001</v>
      </c>
      <c r="L216">
        <v>0</v>
      </c>
      <c r="M216">
        <v>0</v>
      </c>
      <c r="N216">
        <v>19</v>
      </c>
      <c r="O216" s="14" t="e">
        <f t="shared" si="7"/>
        <v>#DIV/0!</v>
      </c>
    </row>
    <row r="217" spans="1:15" x14ac:dyDescent="0.3">
      <c r="A217" s="16" t="s">
        <v>29</v>
      </c>
      <c r="B217" s="12" t="s">
        <v>30</v>
      </c>
      <c r="C217" s="12" t="s">
        <v>29</v>
      </c>
      <c r="D217" s="6">
        <f t="shared" si="6"/>
        <v>15</v>
      </c>
      <c r="E217">
        <v>34</v>
      </c>
      <c r="F217" s="6">
        <f>VLOOKUP($E217,Sheet3!$B$3:$D$54,2,0)</f>
        <v>8</v>
      </c>
      <c r="G217" s="6">
        <f>VLOOKUP($E217,Sheet3!$B$3:$G$54,3,0)</f>
        <v>0</v>
      </c>
      <c r="H217" s="5">
        <f>VLOOKUP($A217,Sheet3!$I$3:$J$38,2,0)</f>
        <v>19.29</v>
      </c>
      <c r="I217" s="6">
        <f>VLOOKUP($E217,Sheet3!$B$3:$G$54,5,0)</f>
        <v>69121</v>
      </c>
      <c r="J217" s="5">
        <f>VLOOKUP($E217,Sheet3!$B$3:$G$54,4,0)</f>
        <v>4.5</v>
      </c>
      <c r="K217" s="5">
        <f>VLOOKUP($E217,Sheet3!$B$3:$G$54,6,0)</f>
        <v>1.1000000000000001</v>
      </c>
      <c r="L217">
        <v>2160</v>
      </c>
      <c r="M217">
        <v>1152</v>
      </c>
      <c r="N217">
        <v>19</v>
      </c>
      <c r="O217" s="14">
        <f t="shared" si="7"/>
        <v>0.53333333333333333</v>
      </c>
    </row>
    <row r="218" spans="1:15" x14ac:dyDescent="0.3">
      <c r="A218" s="16" t="s">
        <v>29</v>
      </c>
      <c r="B218" s="12" t="s">
        <v>30</v>
      </c>
      <c r="C218" s="12" t="s">
        <v>29</v>
      </c>
      <c r="D218" s="6">
        <f t="shared" si="6"/>
        <v>14</v>
      </c>
      <c r="E218">
        <v>35</v>
      </c>
      <c r="F218" s="6">
        <f>VLOOKUP($E218,Sheet3!$B$3:$D$54,2,0)</f>
        <v>8</v>
      </c>
      <c r="G218" s="6">
        <f>VLOOKUP($E218,Sheet3!$B$3:$G$54,3,0)</f>
        <v>0</v>
      </c>
      <c r="H218" s="5">
        <f>VLOOKUP($A218,Sheet3!$I$3:$J$38,2,0)</f>
        <v>19.29</v>
      </c>
      <c r="I218" s="6">
        <f>VLOOKUP($E218,Sheet3!$B$3:$G$54,5,0)</f>
        <v>69121</v>
      </c>
      <c r="J218" s="5">
        <f>VLOOKUP($E218,Sheet3!$B$3:$G$54,4,0)</f>
        <v>4.5</v>
      </c>
      <c r="K218" s="5">
        <f>VLOOKUP($E218,Sheet3!$B$3:$G$54,6,0)</f>
        <v>1.1000000000000001</v>
      </c>
      <c r="L218">
        <v>2523</v>
      </c>
      <c r="M218">
        <v>1944</v>
      </c>
      <c r="N218">
        <v>21</v>
      </c>
      <c r="O218" s="14">
        <f t="shared" si="7"/>
        <v>0.77051129607609992</v>
      </c>
    </row>
    <row r="219" spans="1:15" x14ac:dyDescent="0.3">
      <c r="A219" s="16" t="s">
        <v>29</v>
      </c>
      <c r="B219" s="12" t="s">
        <v>30</v>
      </c>
      <c r="C219" s="12" t="s">
        <v>29</v>
      </c>
      <c r="D219" s="6">
        <f t="shared" si="6"/>
        <v>22</v>
      </c>
      <c r="E219">
        <v>36</v>
      </c>
      <c r="F219" s="6">
        <f>VLOOKUP($E219,Sheet3!$B$3:$D$54,2,0)</f>
        <v>9</v>
      </c>
      <c r="G219" s="6">
        <f>VLOOKUP($E219,Sheet3!$B$3:$G$54,3,0)</f>
        <v>0</v>
      </c>
      <c r="H219" s="5">
        <f>VLOOKUP($A219,Sheet3!$I$3:$J$38,2,0)</f>
        <v>19.29</v>
      </c>
      <c r="I219" s="6">
        <f>VLOOKUP($E219,Sheet3!$B$3:$G$54,5,0)</f>
        <v>121666</v>
      </c>
      <c r="J219" s="5">
        <f>VLOOKUP($E219,Sheet3!$B$3:$G$54,4,0)</f>
        <v>4.5</v>
      </c>
      <c r="K219" s="5">
        <f>VLOOKUP($E219,Sheet3!$B$3:$G$54,6,0)</f>
        <v>0.7</v>
      </c>
      <c r="L219">
        <v>1824</v>
      </c>
      <c r="M219">
        <v>1296</v>
      </c>
      <c r="N219">
        <v>14</v>
      </c>
      <c r="O219" s="14">
        <f t="shared" si="7"/>
        <v>0.71052631578947367</v>
      </c>
    </row>
    <row r="220" spans="1:15" x14ac:dyDescent="0.3">
      <c r="A220" s="16" t="s">
        <v>29</v>
      </c>
      <c r="B220" s="12" t="s">
        <v>30</v>
      </c>
      <c r="C220" s="12" t="s">
        <v>29</v>
      </c>
      <c r="D220" s="6">
        <f t="shared" si="6"/>
        <v>22</v>
      </c>
      <c r="E220">
        <v>37</v>
      </c>
      <c r="F220" s="6">
        <f>VLOOKUP($E220,Sheet3!$B$3:$D$54,2,0)</f>
        <v>9</v>
      </c>
      <c r="G220" s="6">
        <f>VLOOKUP($E220,Sheet3!$B$3:$G$54,3,0)</f>
        <v>0</v>
      </c>
      <c r="H220" s="5">
        <f>VLOOKUP($A220,Sheet3!$I$3:$J$38,2,0)</f>
        <v>19.29</v>
      </c>
      <c r="I220" s="6">
        <f>VLOOKUP($E220,Sheet3!$B$3:$G$54,5,0)</f>
        <v>121666</v>
      </c>
      <c r="J220" s="5">
        <f>VLOOKUP($E220,Sheet3!$B$3:$G$54,4,0)</f>
        <v>4.5</v>
      </c>
      <c r="K220" s="5">
        <f>VLOOKUP($E220,Sheet3!$B$3:$G$54,6,0)</f>
        <v>0.7</v>
      </c>
      <c r="L220">
        <v>1632</v>
      </c>
      <c r="M220">
        <v>1680</v>
      </c>
      <c r="N220">
        <v>15</v>
      </c>
      <c r="O220" s="14">
        <f t="shared" si="7"/>
        <v>1.0294117647058822</v>
      </c>
    </row>
    <row r="221" spans="1:15" x14ac:dyDescent="0.3">
      <c r="A221" s="16" t="s">
        <v>29</v>
      </c>
      <c r="B221" s="12" t="s">
        <v>30</v>
      </c>
      <c r="C221" s="12" t="s">
        <v>29</v>
      </c>
      <c r="D221" s="6">
        <f t="shared" si="6"/>
        <v>22</v>
      </c>
      <c r="E221">
        <v>38</v>
      </c>
      <c r="F221" s="6">
        <f>VLOOKUP($E221,Sheet3!$B$3:$D$54,2,0)</f>
        <v>9</v>
      </c>
      <c r="G221" s="6">
        <f>VLOOKUP($E221,Sheet3!$B$3:$G$54,3,0)</f>
        <v>0</v>
      </c>
      <c r="H221" s="5">
        <f>VLOOKUP($A221,Sheet3!$I$3:$J$38,2,0)</f>
        <v>19.29</v>
      </c>
      <c r="I221" s="6">
        <f>VLOOKUP($E221,Sheet3!$B$3:$G$54,5,0)</f>
        <v>121666</v>
      </c>
      <c r="J221" s="5">
        <f>VLOOKUP($E221,Sheet3!$B$3:$G$54,4,0)</f>
        <v>3.9</v>
      </c>
      <c r="K221" s="5">
        <f>VLOOKUP($E221,Sheet3!$B$3:$G$54,6,0)</f>
        <v>0.7</v>
      </c>
      <c r="L221">
        <v>2328</v>
      </c>
      <c r="M221">
        <v>1320</v>
      </c>
      <c r="N221">
        <v>16</v>
      </c>
      <c r="O221" s="14">
        <f t="shared" si="7"/>
        <v>0.5670103092783505</v>
      </c>
    </row>
    <row r="222" spans="1:15" x14ac:dyDescent="0.3">
      <c r="A222" s="16" t="s">
        <v>29</v>
      </c>
      <c r="B222" s="12" t="s">
        <v>30</v>
      </c>
      <c r="C222" s="12" t="s">
        <v>29</v>
      </c>
      <c r="D222" s="6">
        <f t="shared" si="6"/>
        <v>22</v>
      </c>
      <c r="E222">
        <v>39</v>
      </c>
      <c r="F222" s="6">
        <f>VLOOKUP($E222,Sheet3!$B$3:$D$54,2,0)</f>
        <v>9</v>
      </c>
      <c r="G222" s="6">
        <f>VLOOKUP($E222,Sheet3!$B$3:$G$54,3,0)</f>
        <v>0</v>
      </c>
      <c r="H222" s="5">
        <f>VLOOKUP($A222,Sheet3!$I$3:$J$38,2,0)</f>
        <v>19.29</v>
      </c>
      <c r="I222" s="6">
        <f>VLOOKUP($E222,Sheet3!$B$3:$G$54,5,0)</f>
        <v>121666</v>
      </c>
      <c r="J222" s="5">
        <f>VLOOKUP($E222,Sheet3!$B$3:$G$54,4,0)</f>
        <v>3.9</v>
      </c>
      <c r="K222" s="5">
        <f>VLOOKUP($E222,Sheet3!$B$3:$G$54,6,0)</f>
        <v>0.7</v>
      </c>
      <c r="L222">
        <v>2520</v>
      </c>
      <c r="M222">
        <v>1584</v>
      </c>
      <c r="N222">
        <v>17</v>
      </c>
      <c r="O222" s="14">
        <f t="shared" si="7"/>
        <v>0.62857142857142856</v>
      </c>
    </row>
    <row r="223" spans="1:15" x14ac:dyDescent="0.3">
      <c r="A223" s="16" t="s">
        <v>29</v>
      </c>
      <c r="B223" s="12" t="s">
        <v>30</v>
      </c>
      <c r="C223" s="12" t="s">
        <v>29</v>
      </c>
      <c r="D223" s="6">
        <f t="shared" si="6"/>
        <v>26</v>
      </c>
      <c r="E223">
        <v>40</v>
      </c>
      <c r="F223" s="6">
        <f>VLOOKUP($E223,Sheet3!$B$3:$D$54,2,0)</f>
        <v>9</v>
      </c>
      <c r="G223" s="6">
        <f>VLOOKUP($E223,Sheet3!$B$3:$G$54,3,0)</f>
        <v>0</v>
      </c>
      <c r="H223" s="5">
        <f>VLOOKUP($A223,Sheet3!$I$3:$J$38,2,0)</f>
        <v>19.29</v>
      </c>
      <c r="I223" s="6">
        <f>VLOOKUP($E223,Sheet3!$B$3:$G$54,5,0)</f>
        <v>121666</v>
      </c>
      <c r="J223" s="5">
        <f>VLOOKUP($E223,Sheet3!$B$3:$G$54,4,0)</f>
        <v>3.9</v>
      </c>
      <c r="K223" s="5">
        <f>VLOOKUP($E223,Sheet3!$B$3:$G$54,6,0)</f>
        <v>0.7</v>
      </c>
      <c r="L223">
        <v>2688</v>
      </c>
      <c r="M223">
        <v>1296</v>
      </c>
      <c r="N223">
        <v>14</v>
      </c>
      <c r="O223" s="14">
        <f t="shared" si="7"/>
        <v>0.48214285714285715</v>
      </c>
    </row>
    <row r="224" spans="1:15" x14ac:dyDescent="0.3">
      <c r="A224" s="16" t="s">
        <v>29</v>
      </c>
      <c r="B224" s="12" t="s">
        <v>30</v>
      </c>
      <c r="C224" s="12" t="s">
        <v>29</v>
      </c>
      <c r="D224" s="6">
        <f t="shared" si="6"/>
        <v>26</v>
      </c>
      <c r="E224">
        <v>41</v>
      </c>
      <c r="F224" s="6">
        <f>VLOOKUP($E224,Sheet3!$B$3:$D$54,2,0)</f>
        <v>10</v>
      </c>
      <c r="G224" s="6">
        <f>VLOOKUP($E224,Sheet3!$B$3:$G$54,3,0)</f>
        <v>0</v>
      </c>
      <c r="H224" s="5">
        <f>VLOOKUP($A224,Sheet3!$I$3:$J$38,2,0)</f>
        <v>19.29</v>
      </c>
      <c r="I224" s="6">
        <f>VLOOKUP($E224,Sheet3!$B$3:$G$54,5,0)</f>
        <v>126488</v>
      </c>
      <c r="J224" s="5">
        <f>VLOOKUP($E224,Sheet3!$B$3:$G$54,4,0)</f>
        <v>3.9</v>
      </c>
      <c r="K224" s="5">
        <f>VLOOKUP($E224,Sheet3!$B$3:$G$54,6,0)</f>
        <v>0.9</v>
      </c>
      <c r="L224">
        <v>2736</v>
      </c>
      <c r="M224">
        <v>528</v>
      </c>
      <c r="N224">
        <v>15</v>
      </c>
      <c r="O224" s="14">
        <f t="shared" si="7"/>
        <v>0.19298245614035087</v>
      </c>
    </row>
    <row r="225" spans="1:15" x14ac:dyDescent="0.3">
      <c r="A225" s="16" t="s">
        <v>29</v>
      </c>
      <c r="B225" s="12" t="s">
        <v>30</v>
      </c>
      <c r="C225" s="12" t="s">
        <v>29</v>
      </c>
      <c r="D225" s="6">
        <f t="shared" si="6"/>
        <v>26</v>
      </c>
      <c r="E225">
        <v>42</v>
      </c>
      <c r="F225" s="6">
        <f>VLOOKUP($E225,Sheet3!$B$3:$D$54,2,0)</f>
        <v>10</v>
      </c>
      <c r="G225" s="6">
        <f>VLOOKUP($E225,Sheet3!$B$3:$G$54,3,0)</f>
        <v>0</v>
      </c>
      <c r="H225" s="5">
        <f>VLOOKUP($A225,Sheet3!$I$3:$J$38,2,0)</f>
        <v>19.29</v>
      </c>
      <c r="I225" s="6">
        <f>VLOOKUP($E225,Sheet3!$B$3:$G$54,5,0)</f>
        <v>126488</v>
      </c>
      <c r="J225" s="5">
        <f>VLOOKUP($E225,Sheet3!$B$3:$G$54,4,0)</f>
        <v>3.9</v>
      </c>
      <c r="K225" s="5">
        <f>VLOOKUP($E225,Sheet3!$B$3:$G$54,6,0)</f>
        <v>0.9</v>
      </c>
      <c r="L225">
        <v>2280</v>
      </c>
      <c r="M225">
        <v>1608</v>
      </c>
      <c r="N225">
        <v>16</v>
      </c>
      <c r="O225" s="14">
        <f t="shared" si="7"/>
        <v>0.70526315789473681</v>
      </c>
    </row>
    <row r="226" spans="1:15" x14ac:dyDescent="0.3">
      <c r="A226" s="16" t="s">
        <v>29</v>
      </c>
      <c r="B226" s="12" t="s">
        <v>30</v>
      </c>
      <c r="C226" s="12" t="s">
        <v>29</v>
      </c>
      <c r="D226" s="6">
        <f t="shared" si="6"/>
        <v>26</v>
      </c>
      <c r="E226">
        <v>43</v>
      </c>
      <c r="F226" s="6">
        <f>VLOOKUP($E226,Sheet3!$B$3:$D$54,2,0)</f>
        <v>10</v>
      </c>
      <c r="G226" s="6">
        <f>VLOOKUP($E226,Sheet3!$B$3:$G$54,3,0)</f>
        <v>0</v>
      </c>
      <c r="H226" s="5">
        <f>VLOOKUP($A226,Sheet3!$I$3:$J$38,2,0)</f>
        <v>19.29</v>
      </c>
      <c r="I226" s="6">
        <f>VLOOKUP($E226,Sheet3!$B$3:$G$54,5,0)</f>
        <v>126488</v>
      </c>
      <c r="J226" s="5">
        <f>VLOOKUP($E226,Sheet3!$B$3:$G$54,4,0)</f>
        <v>3.65</v>
      </c>
      <c r="K226" s="5">
        <f>VLOOKUP($E226,Sheet3!$B$3:$G$54,6,0)</f>
        <v>0.9</v>
      </c>
      <c r="L226">
        <v>2520</v>
      </c>
      <c r="M226">
        <v>1680</v>
      </c>
      <c r="N226">
        <v>17</v>
      </c>
      <c r="O226" s="14">
        <f t="shared" si="7"/>
        <v>0.66666666666666663</v>
      </c>
    </row>
    <row r="227" spans="1:15" x14ac:dyDescent="0.3">
      <c r="A227" s="16" t="s">
        <v>29</v>
      </c>
      <c r="B227" s="12" t="s">
        <v>30</v>
      </c>
      <c r="C227" s="12" t="s">
        <v>29</v>
      </c>
      <c r="D227" s="6">
        <f t="shared" si="6"/>
        <v>26</v>
      </c>
      <c r="E227">
        <v>44</v>
      </c>
      <c r="F227" s="6">
        <f>VLOOKUP($E227,Sheet3!$B$3:$D$54,2,0)</f>
        <v>10</v>
      </c>
      <c r="G227" s="6">
        <f>VLOOKUP($E227,Sheet3!$B$3:$G$54,3,0)</f>
        <v>1</v>
      </c>
      <c r="H227" s="5">
        <f>VLOOKUP($A227,Sheet3!$I$3:$J$38,2,0)</f>
        <v>19.29</v>
      </c>
      <c r="I227" s="6">
        <f>VLOOKUP($E227,Sheet3!$B$3:$G$54,5,0)</f>
        <v>126488</v>
      </c>
      <c r="J227" s="5">
        <f>VLOOKUP($E227,Sheet3!$B$3:$G$54,4,0)</f>
        <v>3.65</v>
      </c>
      <c r="K227" s="5">
        <f>VLOOKUP($E227,Sheet3!$B$3:$G$54,6,0)</f>
        <v>0.9</v>
      </c>
      <c r="L227">
        <v>1320</v>
      </c>
      <c r="M227">
        <v>960</v>
      </c>
      <c r="N227">
        <v>18</v>
      </c>
      <c r="O227" s="14">
        <f t="shared" si="7"/>
        <v>0.72727272727272729</v>
      </c>
    </row>
    <row r="228" spans="1:15" x14ac:dyDescent="0.3">
      <c r="A228" s="16" t="s">
        <v>29</v>
      </c>
      <c r="B228" s="12" t="s">
        <v>30</v>
      </c>
      <c r="C228" s="12" t="s">
        <v>29</v>
      </c>
      <c r="D228" s="6">
        <f t="shared" si="6"/>
        <v>33</v>
      </c>
      <c r="E228">
        <v>45</v>
      </c>
      <c r="F228" s="6">
        <f>VLOOKUP($E228,Sheet3!$B$3:$D$54,2,0)</f>
        <v>11</v>
      </c>
      <c r="G228" s="6">
        <f>VLOOKUP($E228,Sheet3!$B$3:$G$54,3,0)</f>
        <v>0</v>
      </c>
      <c r="H228" s="5">
        <f>VLOOKUP($A228,Sheet3!$I$3:$J$38,2,0)</f>
        <v>19.29</v>
      </c>
      <c r="I228" s="6">
        <f>VLOOKUP($E228,Sheet3!$B$3:$G$54,5,0)</f>
        <v>124251</v>
      </c>
      <c r="J228" s="5">
        <f>VLOOKUP($E228,Sheet3!$B$3:$G$54,4,0)</f>
        <v>3.65</v>
      </c>
      <c r="K228" s="5">
        <f>VLOOKUP($E228,Sheet3!$B$3:$G$54,6,0)</f>
        <v>1.3</v>
      </c>
      <c r="L228">
        <v>2448</v>
      </c>
      <c r="M228">
        <v>1584</v>
      </c>
      <c r="N228">
        <v>12</v>
      </c>
      <c r="O228" s="14">
        <f t="shared" si="7"/>
        <v>0.6470588235294118</v>
      </c>
    </row>
    <row r="229" spans="1:15" x14ac:dyDescent="0.3">
      <c r="A229" s="16" t="s">
        <v>29</v>
      </c>
      <c r="B229" s="12" t="s">
        <v>30</v>
      </c>
      <c r="C229" s="12" t="s">
        <v>29</v>
      </c>
      <c r="D229" s="6">
        <f t="shared" si="6"/>
        <v>33</v>
      </c>
      <c r="E229">
        <v>46</v>
      </c>
      <c r="F229" s="6">
        <f>VLOOKUP($E229,Sheet3!$B$3:$D$54,2,0)</f>
        <v>11</v>
      </c>
      <c r="G229" s="6">
        <f>VLOOKUP($E229,Sheet3!$B$3:$G$54,3,0)</f>
        <v>0</v>
      </c>
      <c r="H229" s="5">
        <f>VLOOKUP($A229,Sheet3!$I$3:$J$38,2,0)</f>
        <v>19.29</v>
      </c>
      <c r="I229" s="6">
        <f>VLOOKUP($E229,Sheet3!$B$3:$G$54,5,0)</f>
        <v>124251</v>
      </c>
      <c r="J229" s="5">
        <f>VLOOKUP($E229,Sheet3!$B$3:$G$54,4,0)</f>
        <v>3.65</v>
      </c>
      <c r="K229" s="5">
        <f>VLOOKUP($E229,Sheet3!$B$3:$G$54,6,0)</f>
        <v>1.3</v>
      </c>
      <c r="L229">
        <v>2256</v>
      </c>
      <c r="M229">
        <v>1968</v>
      </c>
      <c r="N229">
        <v>13</v>
      </c>
      <c r="O229" s="14">
        <f t="shared" si="7"/>
        <v>0.87234042553191493</v>
      </c>
    </row>
    <row r="230" spans="1:15" x14ac:dyDescent="0.3">
      <c r="A230" s="16" t="s">
        <v>29</v>
      </c>
      <c r="B230" s="12" t="s">
        <v>30</v>
      </c>
      <c r="C230" s="12" t="s">
        <v>29</v>
      </c>
      <c r="D230" s="6">
        <f t="shared" si="6"/>
        <v>33</v>
      </c>
      <c r="E230">
        <v>47</v>
      </c>
      <c r="F230" s="6">
        <f>VLOOKUP($E230,Sheet3!$B$3:$D$54,2,0)</f>
        <v>11</v>
      </c>
      <c r="G230" s="6">
        <f>VLOOKUP($E230,Sheet3!$B$3:$G$54,3,0)</f>
        <v>0</v>
      </c>
      <c r="H230" s="5">
        <f>VLOOKUP($A230,Sheet3!$I$3:$J$38,2,0)</f>
        <v>19.29</v>
      </c>
      <c r="I230" s="6">
        <f>VLOOKUP($E230,Sheet3!$B$3:$G$54,5,0)</f>
        <v>124251</v>
      </c>
      <c r="J230" s="5">
        <f>VLOOKUP($E230,Sheet3!$B$3:$G$54,4,0)</f>
        <v>3.65</v>
      </c>
      <c r="K230" s="5">
        <f>VLOOKUP($E230,Sheet3!$B$3:$G$54,6,0)</f>
        <v>1.3</v>
      </c>
      <c r="L230">
        <v>2496</v>
      </c>
      <c r="M230">
        <v>1368</v>
      </c>
      <c r="N230">
        <v>14</v>
      </c>
      <c r="O230" s="14">
        <f t="shared" si="7"/>
        <v>0.54807692307692313</v>
      </c>
    </row>
    <row r="231" spans="1:15" x14ac:dyDescent="0.3">
      <c r="A231" s="16" t="s">
        <v>29</v>
      </c>
      <c r="B231" s="12" t="s">
        <v>30</v>
      </c>
      <c r="C231" s="12" t="s">
        <v>29</v>
      </c>
      <c r="D231" s="6">
        <f t="shared" si="6"/>
        <v>33</v>
      </c>
      <c r="E231">
        <v>48</v>
      </c>
      <c r="F231" s="6">
        <f>VLOOKUP($E231,Sheet3!$B$3:$D$54,2,0)</f>
        <v>11</v>
      </c>
      <c r="G231" s="6">
        <f>VLOOKUP($E231,Sheet3!$B$3:$G$54,3,0)</f>
        <v>0</v>
      </c>
      <c r="H231" s="5">
        <f>VLOOKUP($A231,Sheet3!$I$3:$J$38,2,0)</f>
        <v>19.29</v>
      </c>
      <c r="I231" s="6">
        <f>VLOOKUP($E231,Sheet3!$B$3:$G$54,5,0)</f>
        <v>124251</v>
      </c>
      <c r="J231" s="5">
        <f>VLOOKUP($E231,Sheet3!$B$3:$G$54,4,0)</f>
        <v>3.65</v>
      </c>
      <c r="K231" s="5">
        <f>VLOOKUP($E231,Sheet3!$B$3:$G$54,6,0)</f>
        <v>1.3</v>
      </c>
      <c r="L231">
        <v>2256</v>
      </c>
      <c r="M231">
        <v>1872</v>
      </c>
      <c r="N231">
        <v>15</v>
      </c>
      <c r="O231" s="14">
        <f t="shared" si="7"/>
        <v>0.82978723404255317</v>
      </c>
    </row>
    <row r="232" spans="1:15" x14ac:dyDescent="0.3">
      <c r="A232" s="16" t="s">
        <v>29</v>
      </c>
      <c r="B232" s="12" t="s">
        <v>30</v>
      </c>
      <c r="C232" s="12" t="s">
        <v>29</v>
      </c>
      <c r="D232" s="6">
        <f t="shared" si="6"/>
        <v>37</v>
      </c>
      <c r="E232">
        <v>49</v>
      </c>
      <c r="F232" s="6">
        <f>VLOOKUP($E232,Sheet3!$B$3:$D$54,2,0)</f>
        <v>12</v>
      </c>
      <c r="G232" s="6">
        <f>VLOOKUP($E232,Sheet3!$B$3:$G$54,3,0)</f>
        <v>1</v>
      </c>
      <c r="H232" s="5">
        <f>VLOOKUP($A232,Sheet3!$I$3:$J$38,2,0)</f>
        <v>19.29</v>
      </c>
      <c r="I232" s="6">
        <f>VLOOKUP($E232,Sheet3!$B$3:$G$54,5,0)</f>
        <v>105715</v>
      </c>
      <c r="J232" s="5">
        <f>VLOOKUP($E232,Sheet3!$B$3:$G$54,4,0)</f>
        <v>3.65</v>
      </c>
      <c r="K232" s="5">
        <f>VLOOKUP($E232,Sheet3!$B$3:$G$54,6,0)</f>
        <v>1.3</v>
      </c>
      <c r="L232">
        <v>2016</v>
      </c>
      <c r="M232">
        <v>1920</v>
      </c>
      <c r="N232">
        <v>12</v>
      </c>
      <c r="O232" s="14">
        <f t="shared" si="7"/>
        <v>0.95238095238095233</v>
      </c>
    </row>
    <row r="233" spans="1:15" x14ac:dyDescent="0.3">
      <c r="A233" s="16" t="s">
        <v>29</v>
      </c>
      <c r="B233" s="12" t="s">
        <v>30</v>
      </c>
      <c r="C233" s="12" t="s">
        <v>29</v>
      </c>
      <c r="D233" s="6">
        <f t="shared" si="6"/>
        <v>37</v>
      </c>
      <c r="E233">
        <v>50</v>
      </c>
      <c r="F233" s="6">
        <f>VLOOKUP($E233,Sheet3!$B$3:$D$54,2,0)</f>
        <v>12</v>
      </c>
      <c r="G233" s="6">
        <f>VLOOKUP($E233,Sheet3!$B$3:$G$54,3,0)</f>
        <v>0</v>
      </c>
      <c r="H233" s="5">
        <f>VLOOKUP($A233,Sheet3!$I$3:$J$38,2,0)</f>
        <v>19.29</v>
      </c>
      <c r="I233" s="6">
        <f>VLOOKUP($E233,Sheet3!$B$3:$G$54,5,0)</f>
        <v>105715</v>
      </c>
      <c r="J233" s="5">
        <f>VLOOKUP($E233,Sheet3!$B$3:$G$54,4,0)</f>
        <v>3.4</v>
      </c>
      <c r="K233" s="5">
        <f>VLOOKUP($E233,Sheet3!$B$3:$G$54,6,0)</f>
        <v>1.3</v>
      </c>
      <c r="L233">
        <v>2184</v>
      </c>
      <c r="M233">
        <v>1992</v>
      </c>
      <c r="N233">
        <v>13</v>
      </c>
      <c r="O233" s="14">
        <f t="shared" si="7"/>
        <v>0.91208791208791207</v>
      </c>
    </row>
    <row r="234" spans="1:15" x14ac:dyDescent="0.3">
      <c r="A234" s="16" t="s">
        <v>29</v>
      </c>
      <c r="B234" s="12" t="s">
        <v>30</v>
      </c>
      <c r="C234" s="12" t="s">
        <v>29</v>
      </c>
      <c r="D234" s="6">
        <f t="shared" si="6"/>
        <v>37</v>
      </c>
      <c r="E234">
        <v>51</v>
      </c>
      <c r="F234" s="6">
        <f>VLOOKUP($E234,Sheet3!$B$3:$D$54,2,0)</f>
        <v>12</v>
      </c>
      <c r="G234" s="6">
        <f>VLOOKUP($E234,Sheet3!$B$3:$G$54,3,0)</f>
        <v>0</v>
      </c>
      <c r="H234" s="5">
        <f>VLOOKUP($A234,Sheet3!$I$3:$J$38,2,0)</f>
        <v>19.29</v>
      </c>
      <c r="I234" s="6">
        <f>VLOOKUP($E234,Sheet3!$B$3:$G$54,5,0)</f>
        <v>105715</v>
      </c>
      <c r="J234" s="5">
        <f>VLOOKUP($E234,Sheet3!$B$3:$G$54,4,0)</f>
        <v>3.4</v>
      </c>
      <c r="K234" s="5">
        <f>VLOOKUP($E234,Sheet3!$B$3:$G$54,6,0)</f>
        <v>1.3</v>
      </c>
      <c r="L234">
        <v>2232</v>
      </c>
      <c r="M234">
        <v>384</v>
      </c>
      <c r="N234">
        <v>14</v>
      </c>
      <c r="O234" s="14">
        <f t="shared" si="7"/>
        <v>0.17204301075268819</v>
      </c>
    </row>
    <row r="235" spans="1:15" x14ac:dyDescent="0.3">
      <c r="A235" s="16" t="s">
        <v>29</v>
      </c>
      <c r="B235" s="12" t="s">
        <v>30</v>
      </c>
      <c r="C235" s="12" t="s">
        <v>29</v>
      </c>
      <c r="D235" s="6">
        <f t="shared" si="6"/>
        <v>44</v>
      </c>
      <c r="E235">
        <v>52</v>
      </c>
      <c r="F235" s="6">
        <f>VLOOKUP($E235,Sheet3!$B$3:$D$54,2,0)</f>
        <v>12</v>
      </c>
      <c r="G235" s="6">
        <f>VLOOKUP($E235,Sheet3!$B$3:$G$54,3,0)</f>
        <v>1</v>
      </c>
      <c r="H235" s="5">
        <f>VLOOKUP($A235,Sheet3!$I$3:$J$38,2,0)</f>
        <v>19.29</v>
      </c>
      <c r="I235" s="6">
        <f>VLOOKUP($E235,Sheet3!$B$3:$G$54,5,0)</f>
        <v>105715</v>
      </c>
      <c r="J235" s="5">
        <f>VLOOKUP($E235,Sheet3!$B$3:$G$54,4,0)</f>
        <v>3.4</v>
      </c>
      <c r="K235" s="5">
        <f>VLOOKUP($E235,Sheet3!$B$3:$G$54,6,0)</f>
        <v>1.3</v>
      </c>
      <c r="L235">
        <v>0</v>
      </c>
      <c r="M235">
        <v>0</v>
      </c>
      <c r="N235">
        <v>8</v>
      </c>
      <c r="O235" s="14" t="e">
        <f t="shared" si="7"/>
        <v>#DIV/0!</v>
      </c>
    </row>
    <row r="236" spans="1:15" x14ac:dyDescent="0.3">
      <c r="A236" s="16" t="s">
        <v>29</v>
      </c>
      <c r="B236" s="12" t="s">
        <v>30</v>
      </c>
      <c r="C236" s="12" t="s">
        <v>29</v>
      </c>
      <c r="D236" s="6">
        <f t="shared" si="6"/>
        <v>47</v>
      </c>
      <c r="E236">
        <v>1</v>
      </c>
      <c r="F236" s="6">
        <f>VLOOKUP($E236,Sheet3!$B$3:$D$54,2,0)</f>
        <v>12</v>
      </c>
      <c r="G236" s="6">
        <f>VLOOKUP($E236,Sheet3!$B$3:$G$54,3,0)</f>
        <v>1</v>
      </c>
      <c r="H236" s="5">
        <f>VLOOKUP($A236,Sheet3!$I$3:$J$38,2,0)</f>
        <v>19.29</v>
      </c>
      <c r="I236" s="6">
        <f>VLOOKUP($E236,Sheet3!$B$3:$G$54,5,0)</f>
        <v>105715</v>
      </c>
      <c r="J236" s="5">
        <f>VLOOKUP($E236,Sheet3!$B$3:$G$54,4,0)</f>
        <v>3.4</v>
      </c>
      <c r="K236" s="5">
        <f>VLOOKUP($E236,Sheet3!$B$3:$G$54,6,0)</f>
        <v>1.3</v>
      </c>
      <c r="L236">
        <v>0</v>
      </c>
      <c r="M236">
        <v>0</v>
      </c>
      <c r="N236">
        <v>6</v>
      </c>
      <c r="O236" s="14" t="e">
        <f t="shared" si="7"/>
        <v>#DIV/0!</v>
      </c>
    </row>
    <row r="237" spans="1:15" x14ac:dyDescent="0.3">
      <c r="A237" s="16" t="s">
        <v>29</v>
      </c>
      <c r="B237" s="12" t="s">
        <v>30</v>
      </c>
      <c r="C237" s="12" t="s">
        <v>29</v>
      </c>
      <c r="D237" s="6">
        <f t="shared" si="6"/>
        <v>41</v>
      </c>
      <c r="E237">
        <v>2</v>
      </c>
      <c r="F237" s="6">
        <f>VLOOKUP($E237,Sheet3!$B$3:$D$54,2,0)</f>
        <v>1</v>
      </c>
      <c r="G237" s="6">
        <f>VLOOKUP($E237,Sheet3!$B$3:$G$54,3,0)</f>
        <v>1</v>
      </c>
      <c r="H237" s="5">
        <f>VLOOKUP($A237,Sheet3!$I$3:$J$38,2,0)</f>
        <v>19.29</v>
      </c>
      <c r="I237" s="6">
        <f>VLOOKUP($E237,Sheet3!$B$3:$G$54,5,0)</f>
        <v>133692</v>
      </c>
      <c r="J237" s="5">
        <f>VLOOKUP($E237,Sheet3!$B$3:$G$54,4,0)</f>
        <v>3.4</v>
      </c>
      <c r="K237" s="5">
        <f>VLOOKUP($E237,Sheet3!$B$3:$G$54,6,0)</f>
        <v>1.5</v>
      </c>
      <c r="L237">
        <v>2448</v>
      </c>
      <c r="M237">
        <v>1920</v>
      </c>
      <c r="N237">
        <v>13</v>
      </c>
      <c r="O237" s="14">
        <f t="shared" si="7"/>
        <v>0.78431372549019607</v>
      </c>
    </row>
    <row r="238" spans="1:15" x14ac:dyDescent="0.3">
      <c r="A238" s="16" t="s">
        <v>29</v>
      </c>
      <c r="B238" s="12" t="s">
        <v>30</v>
      </c>
      <c r="C238" s="12" t="s">
        <v>29</v>
      </c>
      <c r="D238" s="6">
        <f t="shared" si="6"/>
        <v>41</v>
      </c>
      <c r="E238">
        <v>3</v>
      </c>
      <c r="F238" s="6">
        <f>VLOOKUP($E238,Sheet3!$B$3:$D$54,2,0)</f>
        <v>1</v>
      </c>
      <c r="G238" s="6">
        <f>VLOOKUP($E238,Sheet3!$B$3:$G$54,3,0)</f>
        <v>0</v>
      </c>
      <c r="H238" s="5">
        <f>VLOOKUP($A238,Sheet3!$I$3:$J$38,2,0)</f>
        <v>19.29</v>
      </c>
      <c r="I238" s="6">
        <f>VLOOKUP($E238,Sheet3!$B$3:$G$54,5,0)</f>
        <v>133692</v>
      </c>
      <c r="J238" s="5">
        <f>VLOOKUP($E238,Sheet3!$B$3:$G$54,4,0)</f>
        <v>3.4</v>
      </c>
      <c r="K238" s="5">
        <f>VLOOKUP($E238,Sheet3!$B$3:$G$54,6,0)</f>
        <v>1.5</v>
      </c>
      <c r="L238">
        <v>3336</v>
      </c>
      <c r="M238">
        <v>1728</v>
      </c>
      <c r="N238">
        <v>14</v>
      </c>
      <c r="O238" s="14">
        <f t="shared" si="7"/>
        <v>0.51798561151079137</v>
      </c>
    </row>
    <row r="239" spans="1:15" x14ac:dyDescent="0.3">
      <c r="A239" s="16" t="s">
        <v>29</v>
      </c>
      <c r="B239" s="12" t="s">
        <v>30</v>
      </c>
      <c r="C239" s="12" t="s">
        <v>29</v>
      </c>
      <c r="D239" s="6">
        <f t="shared" si="6"/>
        <v>41</v>
      </c>
      <c r="E239">
        <v>4</v>
      </c>
      <c r="F239" s="6">
        <f>VLOOKUP($E239,Sheet3!$B$3:$D$54,2,0)</f>
        <v>1</v>
      </c>
      <c r="G239" s="6">
        <f>VLOOKUP($E239,Sheet3!$B$3:$G$54,3,0)</f>
        <v>0</v>
      </c>
      <c r="H239" s="5">
        <f>VLOOKUP($A239,Sheet3!$I$3:$J$38,2,0)</f>
        <v>19.29</v>
      </c>
      <c r="I239" s="6">
        <f>VLOOKUP($E239,Sheet3!$B$3:$G$54,5,0)</f>
        <v>133692</v>
      </c>
      <c r="J239" s="5">
        <f>VLOOKUP($E239,Sheet3!$B$3:$G$54,4,0)</f>
        <v>3.4</v>
      </c>
      <c r="K239" s="5">
        <f>VLOOKUP($E239,Sheet3!$B$3:$G$54,6,0)</f>
        <v>1.5</v>
      </c>
      <c r="L239">
        <v>2688</v>
      </c>
      <c r="M239">
        <v>1848</v>
      </c>
      <c r="N239">
        <v>15</v>
      </c>
      <c r="O239" s="14">
        <f t="shared" si="7"/>
        <v>0.6875</v>
      </c>
    </row>
    <row r="240" spans="1:15" x14ac:dyDescent="0.3">
      <c r="A240" s="16" t="s">
        <v>29</v>
      </c>
      <c r="B240" s="12" t="s">
        <v>30</v>
      </c>
      <c r="C240" s="12" t="s">
        <v>29</v>
      </c>
      <c r="D240" s="6">
        <f t="shared" si="6"/>
        <v>41</v>
      </c>
      <c r="E240">
        <v>5</v>
      </c>
      <c r="F240" s="6">
        <f>VLOOKUP($E240,Sheet3!$B$3:$D$54,2,0)</f>
        <v>1</v>
      </c>
      <c r="G240" s="6">
        <f>VLOOKUP($E240,Sheet3!$B$3:$G$54,3,0)</f>
        <v>0</v>
      </c>
      <c r="H240" s="5">
        <f>VLOOKUP($A240,Sheet3!$I$3:$J$38,2,0)</f>
        <v>19.29</v>
      </c>
      <c r="I240" s="6">
        <f>VLOOKUP($E240,Sheet3!$B$3:$G$54,5,0)</f>
        <v>133692</v>
      </c>
      <c r="J240" s="5">
        <f>VLOOKUP($E240,Sheet3!$B$3:$G$54,4,0)</f>
        <v>3.4</v>
      </c>
      <c r="K240" s="5">
        <f>VLOOKUP($E240,Sheet3!$B$3:$G$54,6,0)</f>
        <v>1.5</v>
      </c>
      <c r="L240">
        <v>2880</v>
      </c>
      <c r="M240">
        <v>2376</v>
      </c>
      <c r="N240">
        <v>16</v>
      </c>
      <c r="O240" s="14">
        <f t="shared" si="7"/>
        <v>0.82499999999999996</v>
      </c>
    </row>
    <row r="241" spans="1:15" x14ac:dyDescent="0.3">
      <c r="A241" s="16" t="s">
        <v>29</v>
      </c>
      <c r="B241" s="12" t="s">
        <v>30</v>
      </c>
      <c r="C241" s="12" t="s">
        <v>29</v>
      </c>
      <c r="D241" s="6">
        <f t="shared" si="6"/>
        <v>46</v>
      </c>
      <c r="E241">
        <v>6</v>
      </c>
      <c r="F241" s="6">
        <f>VLOOKUP($E241,Sheet3!$B$3:$D$54,2,0)</f>
        <v>2</v>
      </c>
      <c r="G241" s="6">
        <f>VLOOKUP($E241,Sheet3!$B$3:$G$54,3,0)</f>
        <v>0</v>
      </c>
      <c r="H241" s="5">
        <f>VLOOKUP($A241,Sheet3!$I$3:$J$38,2,0)</f>
        <v>19.29</v>
      </c>
      <c r="I241" s="6">
        <f>VLOOKUP($E241,Sheet3!$B$3:$G$54,5,0)</f>
        <v>137922</v>
      </c>
      <c r="J241" s="5">
        <f>VLOOKUP($E241,Sheet3!$B$3:$G$54,4,0)</f>
        <v>3.15</v>
      </c>
      <c r="K241" s="5">
        <f>VLOOKUP($E241,Sheet3!$B$3:$G$54,6,0)</f>
        <v>1.6</v>
      </c>
      <c r="L241">
        <v>2952</v>
      </c>
      <c r="M241">
        <v>1848</v>
      </c>
      <c r="N241">
        <v>12</v>
      </c>
      <c r="O241" s="14">
        <f t="shared" si="7"/>
        <v>0.62601626016260159</v>
      </c>
    </row>
    <row r="242" spans="1:15" x14ac:dyDescent="0.3">
      <c r="A242" s="16" t="s">
        <v>29</v>
      </c>
      <c r="B242" s="12" t="s">
        <v>30</v>
      </c>
      <c r="C242" s="12" t="s">
        <v>29</v>
      </c>
      <c r="D242" s="6">
        <f t="shared" si="6"/>
        <v>46</v>
      </c>
      <c r="E242">
        <v>7</v>
      </c>
      <c r="F242" s="6">
        <f>VLOOKUP($E242,Sheet3!$B$3:$D$54,2,0)</f>
        <v>2</v>
      </c>
      <c r="G242" s="6">
        <f>VLOOKUP($E242,Sheet3!$B$3:$G$54,3,0)</f>
        <v>0</v>
      </c>
      <c r="H242" s="5">
        <f>VLOOKUP($A242,Sheet3!$I$3:$J$38,2,0)</f>
        <v>19.29</v>
      </c>
      <c r="I242" s="6">
        <f>VLOOKUP($E242,Sheet3!$B$3:$G$54,5,0)</f>
        <v>137922</v>
      </c>
      <c r="J242" s="5">
        <f>VLOOKUP($E242,Sheet3!$B$3:$G$54,4,0)</f>
        <v>3.15</v>
      </c>
      <c r="K242" s="5">
        <f>VLOOKUP($E242,Sheet3!$B$3:$G$54,6,0)</f>
        <v>1.6</v>
      </c>
      <c r="L242">
        <v>3384</v>
      </c>
      <c r="M242">
        <v>2424</v>
      </c>
      <c r="N242">
        <v>13</v>
      </c>
      <c r="O242" s="14">
        <f t="shared" si="7"/>
        <v>0.71631205673758869</v>
      </c>
    </row>
    <row r="243" spans="1:15" x14ac:dyDescent="0.3">
      <c r="A243" s="16" t="s">
        <v>29</v>
      </c>
      <c r="B243" s="12" t="s">
        <v>30</v>
      </c>
      <c r="C243" s="12" t="s">
        <v>29</v>
      </c>
      <c r="D243" s="6">
        <f t="shared" si="6"/>
        <v>46</v>
      </c>
      <c r="E243">
        <v>8</v>
      </c>
      <c r="F243" s="6">
        <f>VLOOKUP($E243,Sheet3!$B$3:$D$54,2,0)</f>
        <v>2</v>
      </c>
      <c r="G243" s="6">
        <f>VLOOKUP($E243,Sheet3!$B$3:$G$54,3,0)</f>
        <v>0</v>
      </c>
      <c r="H243" s="5">
        <f>VLOOKUP($A243,Sheet3!$I$3:$J$38,2,0)</f>
        <v>19.29</v>
      </c>
      <c r="I243" s="6">
        <f>VLOOKUP($E243,Sheet3!$B$3:$G$54,5,0)</f>
        <v>137922</v>
      </c>
      <c r="J243" s="5">
        <f>VLOOKUP($E243,Sheet3!$B$3:$G$54,4,0)</f>
        <v>3.15</v>
      </c>
      <c r="K243" s="5">
        <f>VLOOKUP($E243,Sheet3!$B$3:$G$54,6,0)</f>
        <v>1.6</v>
      </c>
      <c r="L243">
        <v>2832</v>
      </c>
      <c r="M243">
        <v>2520</v>
      </c>
      <c r="N243">
        <v>14</v>
      </c>
      <c r="O243" s="14">
        <f t="shared" si="7"/>
        <v>0.88983050847457623</v>
      </c>
    </row>
    <row r="244" spans="1:15" x14ac:dyDescent="0.3">
      <c r="A244" s="16" t="s">
        <v>29</v>
      </c>
      <c r="B244" s="12" t="s">
        <v>30</v>
      </c>
      <c r="C244" s="12" t="s">
        <v>29</v>
      </c>
      <c r="D244" s="6">
        <f t="shared" si="6"/>
        <v>46</v>
      </c>
      <c r="E244">
        <v>9</v>
      </c>
      <c r="F244" s="6">
        <f>VLOOKUP($E244,Sheet3!$B$3:$D$54,2,0)</f>
        <v>2</v>
      </c>
      <c r="G244" s="6">
        <f>VLOOKUP($E244,Sheet3!$B$3:$G$54,3,0)</f>
        <v>0</v>
      </c>
      <c r="H244" s="5">
        <f>VLOOKUP($A244,Sheet3!$I$3:$J$38,2,0)</f>
        <v>19.29</v>
      </c>
      <c r="I244" s="6">
        <f>VLOOKUP($E244,Sheet3!$B$3:$G$54,5,0)</f>
        <v>137922</v>
      </c>
      <c r="J244" s="5">
        <f>VLOOKUP($E244,Sheet3!$B$3:$G$54,4,0)</f>
        <v>3.15</v>
      </c>
      <c r="K244" s="5">
        <f>VLOOKUP($E244,Sheet3!$B$3:$G$54,6,0)</f>
        <v>1.6</v>
      </c>
      <c r="L244">
        <v>2856</v>
      </c>
      <c r="M244">
        <v>2496</v>
      </c>
      <c r="N244">
        <v>15</v>
      </c>
      <c r="O244" s="14">
        <f t="shared" si="7"/>
        <v>0.87394957983193278</v>
      </c>
    </row>
    <row r="245" spans="1:15" x14ac:dyDescent="0.3">
      <c r="A245" s="16" t="s">
        <v>29</v>
      </c>
      <c r="B245" s="12" t="s">
        <v>30</v>
      </c>
      <c r="C245" s="12" t="s">
        <v>29</v>
      </c>
      <c r="D245" s="6">
        <f t="shared" si="6"/>
        <v>51</v>
      </c>
      <c r="E245">
        <v>10</v>
      </c>
      <c r="F245" s="6">
        <f>VLOOKUP($E245,Sheet3!$B$3:$D$54,2,0)</f>
        <v>3</v>
      </c>
      <c r="G245" s="6">
        <f>VLOOKUP($E245,Sheet3!$B$3:$G$54,3,0)</f>
        <v>0</v>
      </c>
      <c r="H245" s="5">
        <f>VLOOKUP($A245,Sheet3!$I$3:$J$38,2,0)</f>
        <v>19.29</v>
      </c>
      <c r="I245" s="6">
        <f>VLOOKUP($E245,Sheet3!$B$3:$G$54,5,0)</f>
        <v>172223</v>
      </c>
      <c r="J245" s="5">
        <f>VLOOKUP($E245,Sheet3!$B$3:$G$54,4,0)</f>
        <v>3.15</v>
      </c>
      <c r="K245" s="5">
        <f>VLOOKUP($E245,Sheet3!$B$3:$G$54,6,0)</f>
        <v>1.9</v>
      </c>
      <c r="L245">
        <v>1872</v>
      </c>
      <c r="M245">
        <v>2112</v>
      </c>
      <c r="N245">
        <v>11</v>
      </c>
      <c r="O245" s="14">
        <f t="shared" si="7"/>
        <v>1.1282051282051282</v>
      </c>
    </row>
    <row r="246" spans="1:15" x14ac:dyDescent="0.3">
      <c r="A246" s="16" t="s">
        <v>29</v>
      </c>
      <c r="B246" s="12" t="s">
        <v>30</v>
      </c>
      <c r="C246" s="12" t="s">
        <v>29</v>
      </c>
      <c r="D246" s="6">
        <f t="shared" si="6"/>
        <v>51</v>
      </c>
      <c r="E246">
        <v>11</v>
      </c>
      <c r="F246" s="6">
        <f>VLOOKUP($E246,Sheet3!$B$3:$D$54,2,0)</f>
        <v>3</v>
      </c>
      <c r="G246" s="6">
        <f>VLOOKUP($E246,Sheet3!$B$3:$G$54,3,0)</f>
        <v>0</v>
      </c>
      <c r="H246" s="5">
        <f>VLOOKUP($A246,Sheet3!$I$3:$J$38,2,0)</f>
        <v>19.29</v>
      </c>
      <c r="I246" s="6">
        <f>VLOOKUP($E246,Sheet3!$B$3:$G$54,5,0)</f>
        <v>172223</v>
      </c>
      <c r="J246" s="5">
        <f>VLOOKUP($E246,Sheet3!$B$3:$G$54,4,0)</f>
        <v>2.9</v>
      </c>
      <c r="K246" s="5">
        <f>VLOOKUP($E246,Sheet3!$B$3:$G$54,6,0)</f>
        <v>1.9</v>
      </c>
      <c r="L246">
        <v>2112</v>
      </c>
      <c r="M246">
        <v>1776</v>
      </c>
      <c r="N246">
        <v>12</v>
      </c>
      <c r="O246" s="14">
        <f t="shared" si="7"/>
        <v>0.84090909090909094</v>
      </c>
    </row>
    <row r="247" spans="1:15" x14ac:dyDescent="0.3">
      <c r="A247" s="16" t="s">
        <v>29</v>
      </c>
      <c r="B247" s="12" t="s">
        <v>30</v>
      </c>
      <c r="C247" s="12" t="s">
        <v>29</v>
      </c>
      <c r="D247" s="6">
        <f t="shared" si="6"/>
        <v>51</v>
      </c>
      <c r="E247">
        <v>12</v>
      </c>
      <c r="F247" s="6">
        <f>VLOOKUP($E247,Sheet3!$B$3:$D$54,2,0)</f>
        <v>3</v>
      </c>
      <c r="G247" s="6">
        <f>VLOOKUP($E247,Sheet3!$B$3:$G$54,3,0)</f>
        <v>0</v>
      </c>
      <c r="H247" s="5">
        <f>VLOOKUP($A247,Sheet3!$I$3:$J$38,2,0)</f>
        <v>19.29</v>
      </c>
      <c r="I247" s="6">
        <f>VLOOKUP($E247,Sheet3!$B$3:$G$54,5,0)</f>
        <v>172223</v>
      </c>
      <c r="J247" s="5">
        <f>VLOOKUP($E247,Sheet3!$B$3:$G$54,4,0)</f>
        <v>2.9</v>
      </c>
      <c r="K247" s="5">
        <f>VLOOKUP($E247,Sheet3!$B$3:$G$54,6,0)</f>
        <v>1.9</v>
      </c>
      <c r="L247">
        <v>1704</v>
      </c>
      <c r="M247">
        <v>2328</v>
      </c>
      <c r="N247">
        <v>13</v>
      </c>
      <c r="O247" s="14">
        <f t="shared" si="7"/>
        <v>1.3661971830985915</v>
      </c>
    </row>
    <row r="248" spans="1:15" x14ac:dyDescent="0.3">
      <c r="A248" s="16" t="s">
        <v>29</v>
      </c>
      <c r="B248" s="12" t="s">
        <v>30</v>
      </c>
      <c r="C248" s="12" t="s">
        <v>29</v>
      </c>
      <c r="D248" s="6">
        <f t="shared" si="6"/>
        <v>51</v>
      </c>
      <c r="E248">
        <v>13</v>
      </c>
      <c r="F248" s="6">
        <f>VLOOKUP($E248,Sheet3!$B$3:$D$54,2,0)</f>
        <v>3</v>
      </c>
      <c r="G248" s="6">
        <f>VLOOKUP($E248,Sheet3!$B$3:$G$54,3,0)</f>
        <v>0</v>
      </c>
      <c r="H248" s="5">
        <f>VLOOKUP($A248,Sheet3!$I$3:$J$38,2,0)</f>
        <v>19.29</v>
      </c>
      <c r="I248" s="6">
        <f>VLOOKUP($E248,Sheet3!$B$3:$G$54,5,0)</f>
        <v>172223</v>
      </c>
      <c r="J248" s="5">
        <f>VLOOKUP($E248,Sheet3!$B$3:$G$54,4,0)</f>
        <v>2.9</v>
      </c>
      <c r="K248" s="5">
        <f>VLOOKUP($E248,Sheet3!$B$3:$G$54,6,0)</f>
        <v>1.9</v>
      </c>
      <c r="L248">
        <v>1656</v>
      </c>
      <c r="M248">
        <v>2184</v>
      </c>
      <c r="N248">
        <v>14</v>
      </c>
      <c r="O248" s="14">
        <f t="shared" si="7"/>
        <v>1.318840579710145</v>
      </c>
    </row>
    <row r="249" spans="1:15" x14ac:dyDescent="0.3">
      <c r="A249" s="16" t="s">
        <v>29</v>
      </c>
      <c r="B249" s="12" t="s">
        <v>30</v>
      </c>
      <c r="C249" s="12" t="s">
        <v>29</v>
      </c>
      <c r="D249" s="6">
        <f t="shared" si="6"/>
        <v>51</v>
      </c>
      <c r="E249">
        <v>14</v>
      </c>
      <c r="F249" s="6">
        <f>VLOOKUP($E249,Sheet3!$B$3:$D$54,2,0)</f>
        <v>3</v>
      </c>
      <c r="G249" s="6">
        <f>VLOOKUP($E249,Sheet3!$B$3:$G$54,3,0)</f>
        <v>0</v>
      </c>
      <c r="H249" s="5">
        <f>VLOOKUP($A249,Sheet3!$I$3:$J$38,2,0)</f>
        <v>19.29</v>
      </c>
      <c r="I249" s="6">
        <f>VLOOKUP($E249,Sheet3!$B$3:$G$54,5,0)</f>
        <v>172223</v>
      </c>
      <c r="J249" s="5">
        <f>VLOOKUP($E249,Sheet3!$B$3:$G$54,4,0)</f>
        <v>2.9</v>
      </c>
      <c r="K249" s="5">
        <f>VLOOKUP($E249,Sheet3!$B$3:$G$54,6,0)</f>
        <v>1.9</v>
      </c>
      <c r="L249">
        <v>1944</v>
      </c>
      <c r="M249">
        <v>1848</v>
      </c>
      <c r="N249">
        <v>15</v>
      </c>
      <c r="O249" s="14">
        <f t="shared" si="7"/>
        <v>0.95061728395061729</v>
      </c>
    </row>
    <row r="250" spans="1:15" x14ac:dyDescent="0.3">
      <c r="A250" s="16" t="s">
        <v>29</v>
      </c>
      <c r="B250" s="12" t="s">
        <v>30</v>
      </c>
      <c r="C250" s="12" t="s">
        <v>29</v>
      </c>
      <c r="D250" s="6">
        <f t="shared" si="6"/>
        <v>3</v>
      </c>
      <c r="E250">
        <v>15</v>
      </c>
      <c r="F250" s="6">
        <f>VLOOKUP($E250,Sheet3!$B$3:$D$54,2,0)</f>
        <v>4</v>
      </c>
      <c r="G250" s="6">
        <f>VLOOKUP($E250,Sheet3!$B$3:$G$54,3,0)</f>
        <v>0</v>
      </c>
      <c r="H250" s="5">
        <f>VLOOKUP($A250,Sheet3!$I$3:$J$38,2,0)</f>
        <v>19.29</v>
      </c>
      <c r="I250" s="6">
        <f>VLOOKUP($E250,Sheet3!$B$3:$G$54,5,0)</f>
        <v>139084</v>
      </c>
      <c r="J250" s="5">
        <f>VLOOKUP($E250,Sheet3!$B$3:$G$54,4,0)</f>
        <v>2.9</v>
      </c>
      <c r="K250" s="5">
        <f>VLOOKUP($E250,Sheet3!$B$3:$G$54,6,0)</f>
        <v>1.9</v>
      </c>
      <c r="L250">
        <v>2448</v>
      </c>
      <c r="M250">
        <v>1896</v>
      </c>
      <c r="N250">
        <v>12</v>
      </c>
      <c r="O250" s="14">
        <f t="shared" si="7"/>
        <v>0.77450980392156865</v>
      </c>
    </row>
    <row r="251" spans="1:15" x14ac:dyDescent="0.3">
      <c r="A251" s="16" t="s">
        <v>29</v>
      </c>
      <c r="B251" s="12" t="s">
        <v>30</v>
      </c>
      <c r="C251" s="12" t="s">
        <v>29</v>
      </c>
      <c r="D251" s="6">
        <f t="shared" si="6"/>
        <v>3</v>
      </c>
      <c r="E251">
        <v>16</v>
      </c>
      <c r="F251" s="6">
        <f>VLOOKUP($E251,Sheet3!$B$3:$D$54,2,0)</f>
        <v>4</v>
      </c>
      <c r="G251" s="6">
        <f>VLOOKUP($E251,Sheet3!$B$3:$G$54,3,0)</f>
        <v>0</v>
      </c>
      <c r="H251" s="5">
        <f>VLOOKUP($A251,Sheet3!$I$3:$J$38,2,0)</f>
        <v>19.29</v>
      </c>
      <c r="I251" s="6">
        <f>VLOOKUP($E251,Sheet3!$B$3:$G$54,5,0)</f>
        <v>139084</v>
      </c>
      <c r="J251" s="5">
        <f>VLOOKUP($E251,Sheet3!$B$3:$G$54,4,0)</f>
        <v>2.9</v>
      </c>
      <c r="K251" s="5">
        <f>VLOOKUP($E251,Sheet3!$B$3:$G$54,6,0)</f>
        <v>1.9</v>
      </c>
      <c r="L251">
        <v>4104</v>
      </c>
      <c r="M251">
        <v>2544</v>
      </c>
      <c r="N251">
        <v>13</v>
      </c>
      <c r="O251" s="14">
        <f t="shared" si="7"/>
        <v>0.61988304093567248</v>
      </c>
    </row>
    <row r="252" spans="1:15" x14ac:dyDescent="0.3">
      <c r="A252" s="16" t="s">
        <v>29</v>
      </c>
      <c r="B252" s="12" t="s">
        <v>30</v>
      </c>
      <c r="C252" s="12" t="s">
        <v>29</v>
      </c>
      <c r="D252" s="6">
        <f t="shared" si="6"/>
        <v>4</v>
      </c>
      <c r="E252">
        <v>17</v>
      </c>
      <c r="F252" s="6">
        <f>VLOOKUP($E252,Sheet3!$B$3:$D$54,2,0)</f>
        <v>4</v>
      </c>
      <c r="G252" s="6">
        <f>VLOOKUP($E252,Sheet3!$B$3:$G$54,3,0)</f>
        <v>1</v>
      </c>
      <c r="H252" s="5">
        <f>VLOOKUP($A252,Sheet3!$I$3:$J$38,2,0)</f>
        <v>19.29</v>
      </c>
      <c r="I252" s="6">
        <f>VLOOKUP($E252,Sheet3!$B$3:$G$54,5,0)</f>
        <v>139084</v>
      </c>
      <c r="J252" s="5">
        <f>VLOOKUP($E252,Sheet3!$B$3:$G$54,4,0)</f>
        <v>2.65</v>
      </c>
      <c r="K252" s="5">
        <f>VLOOKUP($E252,Sheet3!$B$3:$G$54,6,0)</f>
        <v>1.9</v>
      </c>
      <c r="L252">
        <v>0</v>
      </c>
      <c r="M252">
        <v>1368</v>
      </c>
      <c r="N252">
        <v>13</v>
      </c>
      <c r="O252" s="14" t="e">
        <f t="shared" si="7"/>
        <v>#DIV/0!</v>
      </c>
    </row>
    <row r="253" spans="1:15" x14ac:dyDescent="0.3">
      <c r="A253" s="16" t="s">
        <v>29</v>
      </c>
      <c r="B253" s="12" t="s">
        <v>30</v>
      </c>
      <c r="C253" s="12" t="s">
        <v>29</v>
      </c>
      <c r="D253" s="6">
        <f t="shared" si="6"/>
        <v>4</v>
      </c>
      <c r="E253">
        <v>18</v>
      </c>
      <c r="F253" s="6">
        <f>VLOOKUP($E253,Sheet3!$B$3:$D$54,2,0)</f>
        <v>4</v>
      </c>
      <c r="G253" s="6">
        <f>VLOOKUP($E253,Sheet3!$B$3:$G$54,3,0)</f>
        <v>1</v>
      </c>
      <c r="H253" s="5">
        <f>VLOOKUP($A253,Sheet3!$I$3:$J$38,2,0)</f>
        <v>19.29</v>
      </c>
      <c r="I253" s="6">
        <f>VLOOKUP($E253,Sheet3!$B$3:$G$54,5,0)</f>
        <v>139084</v>
      </c>
      <c r="J253" s="5">
        <f>VLOOKUP($E253,Sheet3!$B$3:$G$54,4,0)</f>
        <v>2.65</v>
      </c>
      <c r="K253" s="5">
        <f>VLOOKUP($E253,Sheet3!$B$3:$G$54,6,0)</f>
        <v>1.9</v>
      </c>
      <c r="L253">
        <v>1560</v>
      </c>
      <c r="M253">
        <v>2136</v>
      </c>
      <c r="N253">
        <v>14</v>
      </c>
      <c r="O253" s="14">
        <f t="shared" si="7"/>
        <v>1.3692307692307693</v>
      </c>
    </row>
    <row r="254" spans="1:15" x14ac:dyDescent="0.3">
      <c r="A254" s="16" t="s">
        <v>29</v>
      </c>
      <c r="B254" s="12" t="s">
        <v>30</v>
      </c>
      <c r="C254" s="12" t="s">
        <v>29</v>
      </c>
      <c r="D254" s="6">
        <f t="shared" si="6"/>
        <v>7</v>
      </c>
      <c r="E254">
        <v>19</v>
      </c>
      <c r="F254" s="6">
        <f>VLOOKUP($E254,Sheet3!$B$3:$D$54,2,0)</f>
        <v>5</v>
      </c>
      <c r="G254" s="6">
        <f>VLOOKUP($E254,Sheet3!$B$3:$G$54,3,0)</f>
        <v>0</v>
      </c>
      <c r="H254" s="5">
        <f>VLOOKUP($A254,Sheet3!$I$3:$J$38,2,0)</f>
        <v>19.29</v>
      </c>
      <c r="I254" s="6">
        <f>VLOOKUP($E254,Sheet3!$B$3:$G$54,5,0)</f>
        <v>139390</v>
      </c>
      <c r="J254" s="5">
        <f>VLOOKUP($E254,Sheet3!$B$3:$G$54,4,0)</f>
        <v>2.65</v>
      </c>
      <c r="K254" s="5">
        <f>VLOOKUP($E254,Sheet3!$B$3:$G$54,6,0)</f>
        <v>1.6</v>
      </c>
      <c r="L254">
        <v>2208</v>
      </c>
      <c r="M254">
        <v>2136</v>
      </c>
      <c r="N254">
        <v>12</v>
      </c>
      <c r="O254" s="14">
        <f t="shared" si="7"/>
        <v>0.96739130434782605</v>
      </c>
    </row>
    <row r="255" spans="1:15" x14ac:dyDescent="0.3">
      <c r="A255" s="16" t="s">
        <v>29</v>
      </c>
      <c r="B255" s="12" t="s">
        <v>30</v>
      </c>
      <c r="C255" s="12" t="s">
        <v>29</v>
      </c>
      <c r="D255" s="6">
        <f t="shared" ref="D255:D316" si="8">IF(E255-N255&lt;0,E255-N255+52,E255-N255)</f>
        <v>7</v>
      </c>
      <c r="E255">
        <v>20</v>
      </c>
      <c r="F255" s="6">
        <f>VLOOKUP($E255,Sheet3!$B$3:$D$54,2,0)</f>
        <v>5</v>
      </c>
      <c r="G255" s="6">
        <f>VLOOKUP($E255,Sheet3!$B$3:$G$54,3,0)</f>
        <v>0</v>
      </c>
      <c r="H255" s="5">
        <f>VLOOKUP($A255,Sheet3!$I$3:$J$38,2,0)</f>
        <v>19.29</v>
      </c>
      <c r="I255" s="6">
        <f>VLOOKUP($E255,Sheet3!$B$3:$G$54,5,0)</f>
        <v>139390</v>
      </c>
      <c r="J255" s="5">
        <f>VLOOKUP($E255,Sheet3!$B$3:$G$54,4,0)</f>
        <v>2.65</v>
      </c>
      <c r="K255" s="5">
        <f>VLOOKUP($E255,Sheet3!$B$3:$G$54,6,0)</f>
        <v>1.6</v>
      </c>
      <c r="L255">
        <v>2736</v>
      </c>
      <c r="M255">
        <v>1968</v>
      </c>
      <c r="N255">
        <v>13</v>
      </c>
      <c r="O255" s="14">
        <f t="shared" ref="O255:O316" si="9">M255/L255</f>
        <v>0.7192982456140351</v>
      </c>
    </row>
    <row r="256" spans="1:15" x14ac:dyDescent="0.3">
      <c r="A256" s="16" t="s">
        <v>29</v>
      </c>
      <c r="B256" s="12" t="s">
        <v>30</v>
      </c>
      <c r="C256" s="12" t="s">
        <v>29</v>
      </c>
      <c r="D256" s="6">
        <f t="shared" si="8"/>
        <v>7</v>
      </c>
      <c r="E256">
        <v>21</v>
      </c>
      <c r="F256" s="6">
        <f>VLOOKUP($E256,Sheet3!$B$3:$D$54,2,0)</f>
        <v>5</v>
      </c>
      <c r="G256" s="6">
        <f>VLOOKUP($E256,Sheet3!$B$3:$G$54,3,0)</f>
        <v>0</v>
      </c>
      <c r="H256" s="5">
        <f>VLOOKUP($A256,Sheet3!$I$3:$J$38,2,0)</f>
        <v>19.29</v>
      </c>
      <c r="I256" s="6">
        <f>VLOOKUP($E256,Sheet3!$B$3:$G$54,5,0)</f>
        <v>139390</v>
      </c>
      <c r="J256" s="5">
        <f>VLOOKUP($E256,Sheet3!$B$3:$G$54,4,0)</f>
        <v>2.65</v>
      </c>
      <c r="K256" s="5">
        <f>VLOOKUP($E256,Sheet3!$B$3:$G$54,6,0)</f>
        <v>1.6</v>
      </c>
      <c r="L256">
        <v>1824</v>
      </c>
      <c r="M256">
        <v>1728</v>
      </c>
      <c r="N256">
        <v>14</v>
      </c>
      <c r="O256" s="14">
        <f t="shared" si="9"/>
        <v>0.94736842105263153</v>
      </c>
    </row>
    <row r="257" spans="1:15" x14ac:dyDescent="0.3">
      <c r="A257" s="16" t="s">
        <v>29</v>
      </c>
      <c r="B257" s="12" t="s">
        <v>30</v>
      </c>
      <c r="C257" s="12" t="s">
        <v>29</v>
      </c>
      <c r="D257" s="6">
        <f t="shared" si="8"/>
        <v>7</v>
      </c>
      <c r="E257">
        <v>22</v>
      </c>
      <c r="F257" s="6">
        <f>VLOOKUP($E257,Sheet3!$B$3:$D$54,2,0)</f>
        <v>5</v>
      </c>
      <c r="G257" s="6">
        <f>VLOOKUP($E257,Sheet3!$B$3:$G$54,3,0)</f>
        <v>0</v>
      </c>
      <c r="H257" s="5">
        <f>VLOOKUP($A257,Sheet3!$I$3:$J$38,2,0)</f>
        <v>19.29</v>
      </c>
      <c r="I257" s="6">
        <f>VLOOKUP($E257,Sheet3!$B$3:$G$54,5,0)</f>
        <v>139390</v>
      </c>
      <c r="J257" s="5">
        <f>VLOOKUP($E257,Sheet3!$B$3:$G$54,4,0)</f>
        <v>2.65</v>
      </c>
      <c r="K257" s="5">
        <f>VLOOKUP($E257,Sheet3!$B$3:$G$54,6,0)</f>
        <v>1.6</v>
      </c>
      <c r="L257">
        <v>3984</v>
      </c>
      <c r="M257">
        <v>1992</v>
      </c>
      <c r="N257">
        <v>15</v>
      </c>
      <c r="O257" s="14">
        <f t="shared" si="9"/>
        <v>0.5</v>
      </c>
    </row>
    <row r="258" spans="1:15" x14ac:dyDescent="0.3">
      <c r="A258" s="16" t="s">
        <v>29</v>
      </c>
      <c r="B258" s="12" t="s">
        <v>30</v>
      </c>
      <c r="C258" s="12" t="s">
        <v>29</v>
      </c>
      <c r="D258" s="6">
        <f t="shared" si="8"/>
        <v>12</v>
      </c>
      <c r="E258">
        <v>23</v>
      </c>
      <c r="F258" s="6">
        <f>VLOOKUP($E258,Sheet3!$B$3:$D$54,2,0)</f>
        <v>5</v>
      </c>
      <c r="G258" s="6">
        <f>VLOOKUP($E258,Sheet3!$B$3:$G$54,3,0)</f>
        <v>1</v>
      </c>
      <c r="H258" s="5">
        <f>VLOOKUP($A258,Sheet3!$I$3:$J$38,2,0)</f>
        <v>19.29</v>
      </c>
      <c r="I258" s="6">
        <f>VLOOKUP($E258,Sheet3!$B$3:$G$54,5,0)</f>
        <v>139390</v>
      </c>
      <c r="J258" s="5">
        <f>VLOOKUP($E258,Sheet3!$B$3:$G$54,4,0)</f>
        <v>2.4</v>
      </c>
      <c r="K258" s="5">
        <f>VLOOKUP($E258,Sheet3!$B$3:$G$54,6,0)</f>
        <v>1.6</v>
      </c>
      <c r="L258">
        <v>1848</v>
      </c>
      <c r="M258">
        <v>1488</v>
      </c>
      <c r="N258">
        <v>11</v>
      </c>
      <c r="O258" s="14">
        <f t="shared" si="9"/>
        <v>0.80519480519480524</v>
      </c>
    </row>
    <row r="259" spans="1:15" x14ac:dyDescent="0.3">
      <c r="A259" s="16" t="s">
        <v>29</v>
      </c>
      <c r="B259" s="12" t="s">
        <v>30</v>
      </c>
      <c r="C259" s="12" t="s">
        <v>29</v>
      </c>
      <c r="D259" s="6">
        <f t="shared" si="8"/>
        <v>12</v>
      </c>
      <c r="E259">
        <v>24</v>
      </c>
      <c r="F259" s="6">
        <f>VLOOKUP($E259,Sheet3!$B$3:$D$54,2,0)</f>
        <v>6</v>
      </c>
      <c r="G259" s="6">
        <f>VLOOKUP($E259,Sheet3!$B$3:$G$54,3,0)</f>
        <v>0</v>
      </c>
      <c r="H259" s="5">
        <f>VLOOKUP($A259,Sheet3!$I$3:$J$38,2,0)</f>
        <v>19.29</v>
      </c>
      <c r="I259" s="6">
        <f>VLOOKUP($E259,Sheet3!$B$3:$G$54,5,0)</f>
        <v>132191</v>
      </c>
      <c r="J259" s="5">
        <f>VLOOKUP($E259,Sheet3!$B$3:$G$54,4,0)</f>
        <v>2.4</v>
      </c>
      <c r="K259" s="5">
        <f>VLOOKUP($E259,Sheet3!$B$3:$G$54,6,0)</f>
        <v>1.7</v>
      </c>
      <c r="L259">
        <v>2352</v>
      </c>
      <c r="M259">
        <v>1992</v>
      </c>
      <c r="N259">
        <v>12</v>
      </c>
      <c r="O259" s="14">
        <f t="shared" si="9"/>
        <v>0.84693877551020413</v>
      </c>
    </row>
    <row r="260" spans="1:15" x14ac:dyDescent="0.3">
      <c r="A260" s="16" t="s">
        <v>29</v>
      </c>
      <c r="B260" s="12" t="s">
        <v>30</v>
      </c>
      <c r="C260" s="12" t="s">
        <v>29</v>
      </c>
      <c r="D260" s="6">
        <f t="shared" si="8"/>
        <v>12</v>
      </c>
      <c r="E260">
        <v>25</v>
      </c>
      <c r="F260" s="6">
        <f>VLOOKUP($E260,Sheet3!$B$3:$D$54,2,0)</f>
        <v>6</v>
      </c>
      <c r="G260" s="6">
        <f>VLOOKUP($E260,Sheet3!$B$3:$G$54,3,0)</f>
        <v>0</v>
      </c>
      <c r="H260" s="5">
        <f>VLOOKUP($A260,Sheet3!$I$3:$J$38,2,0)</f>
        <v>19.29</v>
      </c>
      <c r="I260" s="6">
        <f>VLOOKUP($E260,Sheet3!$B$3:$G$54,5,0)</f>
        <v>132191</v>
      </c>
      <c r="J260" s="5">
        <f>VLOOKUP($E260,Sheet3!$B$3:$G$54,4,0)</f>
        <v>2.4</v>
      </c>
      <c r="K260" s="5">
        <f>VLOOKUP($E260,Sheet3!$B$3:$G$54,6,0)</f>
        <v>1.7</v>
      </c>
      <c r="L260">
        <v>2352</v>
      </c>
      <c r="M260">
        <v>2400</v>
      </c>
      <c r="N260">
        <v>13</v>
      </c>
      <c r="O260" s="14">
        <f t="shared" si="9"/>
        <v>1.0204081632653061</v>
      </c>
    </row>
    <row r="261" spans="1:15" x14ac:dyDescent="0.3">
      <c r="A261" s="16" t="s">
        <v>29</v>
      </c>
      <c r="B261" s="12" t="s">
        <v>30</v>
      </c>
      <c r="C261" s="12" t="s">
        <v>29</v>
      </c>
      <c r="D261" s="6">
        <f t="shared" si="8"/>
        <v>12</v>
      </c>
      <c r="E261">
        <v>26</v>
      </c>
      <c r="F261" s="6">
        <f>VLOOKUP($E261,Sheet3!$B$3:$D$54,2,0)</f>
        <v>6</v>
      </c>
      <c r="G261" s="6">
        <f>VLOOKUP($E261,Sheet3!$B$3:$G$54,3,0)</f>
        <v>0</v>
      </c>
      <c r="H261" s="5">
        <f>VLOOKUP($A261,Sheet3!$I$3:$J$38,2,0)</f>
        <v>19.29</v>
      </c>
      <c r="I261" s="6">
        <f>VLOOKUP($E261,Sheet3!$B$3:$G$54,5,0)</f>
        <v>132191</v>
      </c>
      <c r="J261" s="5">
        <f>VLOOKUP($E261,Sheet3!$B$3:$G$54,4,0)</f>
        <v>2.4</v>
      </c>
      <c r="K261" s="5">
        <f>VLOOKUP($E261,Sheet3!$B$3:$G$54,6,0)</f>
        <v>1.7</v>
      </c>
      <c r="L261">
        <v>2376</v>
      </c>
      <c r="M261">
        <v>2952</v>
      </c>
      <c r="N261">
        <v>14</v>
      </c>
      <c r="O261" s="14">
        <f t="shared" si="9"/>
        <v>1.2424242424242424</v>
      </c>
    </row>
    <row r="262" spans="1:15" x14ac:dyDescent="0.3">
      <c r="A262" s="16" t="s">
        <v>30</v>
      </c>
      <c r="B262" s="12" t="s">
        <v>30</v>
      </c>
      <c r="C262" s="12" t="s">
        <v>29</v>
      </c>
      <c r="D262" s="6">
        <f t="shared" si="8"/>
        <v>12</v>
      </c>
      <c r="E262">
        <v>27</v>
      </c>
      <c r="F262" s="6">
        <f>VLOOKUP($E262,Sheet3!$B$3:$D$54,2,0)</f>
        <v>7</v>
      </c>
      <c r="G262" s="6">
        <f>VLOOKUP($E262,Sheet3!$B$3:$G$54,3,0)</f>
        <v>0</v>
      </c>
      <c r="H262" s="5">
        <f>VLOOKUP($A262,Sheet3!$I$3:$J$38,2,0)</f>
        <v>29.53</v>
      </c>
      <c r="I262" s="6">
        <f>VLOOKUP($E262,Sheet3!$B$3:$G$54,5,0)</f>
        <v>124806</v>
      </c>
      <c r="J262" s="5">
        <f>VLOOKUP($E262,Sheet3!$B$3:$G$54,4,0)</f>
        <v>4.5</v>
      </c>
      <c r="K262" s="5">
        <f>VLOOKUP($E262,Sheet3!$B$3:$G$54,6,0)</f>
        <v>1.3</v>
      </c>
      <c r="L262">
        <v>360</v>
      </c>
      <c r="M262">
        <v>144</v>
      </c>
      <c r="N262">
        <v>15</v>
      </c>
      <c r="O262" s="14">
        <f t="shared" si="9"/>
        <v>0.4</v>
      </c>
    </row>
    <row r="263" spans="1:15" x14ac:dyDescent="0.3">
      <c r="A263" s="16" t="s">
        <v>30</v>
      </c>
      <c r="B263" s="12" t="s">
        <v>30</v>
      </c>
      <c r="C263" s="12" t="s">
        <v>29</v>
      </c>
      <c r="D263" s="6">
        <f t="shared" si="8"/>
        <v>12</v>
      </c>
      <c r="E263">
        <v>28</v>
      </c>
      <c r="F263" s="6">
        <f>VLOOKUP($E263,Sheet3!$B$3:$D$54,2,0)</f>
        <v>7</v>
      </c>
      <c r="G263" s="6">
        <f>VLOOKUP($E263,Sheet3!$B$3:$G$54,3,0)</f>
        <v>0</v>
      </c>
      <c r="H263" s="5">
        <f>VLOOKUP($A263,Sheet3!$I$3:$J$38,2,0)</f>
        <v>29.53</v>
      </c>
      <c r="I263" s="6">
        <f>VLOOKUP($E263,Sheet3!$B$3:$G$54,5,0)</f>
        <v>124806</v>
      </c>
      <c r="J263" s="5">
        <f>VLOOKUP($E263,Sheet3!$B$3:$G$54,4,0)</f>
        <v>4.5</v>
      </c>
      <c r="K263" s="5">
        <f>VLOOKUP($E263,Sheet3!$B$3:$G$54,6,0)</f>
        <v>1.3</v>
      </c>
      <c r="L263">
        <v>504</v>
      </c>
      <c r="M263">
        <v>360</v>
      </c>
      <c r="N263">
        <v>16</v>
      </c>
      <c r="O263" s="14">
        <f t="shared" si="9"/>
        <v>0.7142857142857143</v>
      </c>
    </row>
    <row r="264" spans="1:15" x14ac:dyDescent="0.3">
      <c r="A264" s="16" t="s">
        <v>30</v>
      </c>
      <c r="B264" s="12" t="s">
        <v>30</v>
      </c>
      <c r="C264" s="12" t="s">
        <v>29</v>
      </c>
      <c r="D264" s="6">
        <f t="shared" si="8"/>
        <v>12</v>
      </c>
      <c r="E264">
        <v>29</v>
      </c>
      <c r="F264" s="6">
        <f>VLOOKUP($E264,Sheet3!$B$3:$D$54,2,0)</f>
        <v>7</v>
      </c>
      <c r="G264" s="6">
        <f>VLOOKUP($E264,Sheet3!$B$3:$G$54,3,0)</f>
        <v>0</v>
      </c>
      <c r="H264" s="5">
        <f>VLOOKUP($A264,Sheet3!$I$3:$J$38,2,0)</f>
        <v>29.53</v>
      </c>
      <c r="I264" s="6">
        <f>VLOOKUP($E264,Sheet3!$B$3:$G$54,5,0)</f>
        <v>124806</v>
      </c>
      <c r="J264" s="5">
        <f>VLOOKUP($E264,Sheet3!$B$3:$G$54,4,0)</f>
        <v>4.5</v>
      </c>
      <c r="K264" s="5">
        <f>VLOOKUP($E264,Sheet3!$B$3:$G$54,6,0)</f>
        <v>1.3</v>
      </c>
      <c r="L264">
        <v>528</v>
      </c>
      <c r="M264">
        <v>0</v>
      </c>
      <c r="N264">
        <v>17</v>
      </c>
      <c r="O264" s="14">
        <f t="shared" si="9"/>
        <v>0</v>
      </c>
    </row>
    <row r="265" spans="1:15" x14ac:dyDescent="0.3">
      <c r="A265" s="16" t="s">
        <v>30</v>
      </c>
      <c r="B265" s="12" t="s">
        <v>30</v>
      </c>
      <c r="C265" s="12" t="s">
        <v>29</v>
      </c>
      <c r="D265" s="6">
        <f t="shared" si="8"/>
        <v>12</v>
      </c>
      <c r="E265">
        <v>30</v>
      </c>
      <c r="F265" s="6">
        <f>VLOOKUP($E265,Sheet3!$B$3:$D$54,2,0)</f>
        <v>7</v>
      </c>
      <c r="G265" s="6">
        <f>VLOOKUP($E265,Sheet3!$B$3:$G$54,3,0)</f>
        <v>0</v>
      </c>
      <c r="H265" s="5">
        <f>VLOOKUP($A265,Sheet3!$I$3:$J$38,2,0)</f>
        <v>29.53</v>
      </c>
      <c r="I265" s="6">
        <f>VLOOKUP($E265,Sheet3!$B$3:$G$54,5,0)</f>
        <v>124806</v>
      </c>
      <c r="J265" s="5">
        <f>VLOOKUP($E265,Sheet3!$B$3:$G$54,4,0)</f>
        <v>4.5</v>
      </c>
      <c r="K265" s="5">
        <f>VLOOKUP($E265,Sheet3!$B$3:$G$54,6,0)</f>
        <v>1.3</v>
      </c>
      <c r="L265">
        <v>408</v>
      </c>
      <c r="M265">
        <v>360</v>
      </c>
      <c r="N265">
        <v>18</v>
      </c>
      <c r="O265" s="14">
        <f t="shared" si="9"/>
        <v>0.88235294117647056</v>
      </c>
    </row>
    <row r="266" spans="1:15" x14ac:dyDescent="0.3">
      <c r="A266" s="16" t="s">
        <v>30</v>
      </c>
      <c r="B266" s="12" t="s">
        <v>30</v>
      </c>
      <c r="C266" s="12" t="s">
        <v>29</v>
      </c>
      <c r="D266" s="6">
        <f t="shared" si="8"/>
        <v>12</v>
      </c>
      <c r="E266">
        <v>31</v>
      </c>
      <c r="F266" s="6">
        <f>VLOOKUP($E266,Sheet3!$B$3:$D$54,2,0)</f>
        <v>7</v>
      </c>
      <c r="G266" s="6">
        <f>VLOOKUP($E266,Sheet3!$B$3:$G$54,3,0)</f>
        <v>0</v>
      </c>
      <c r="H266" s="5">
        <f>VLOOKUP($A266,Sheet3!$I$3:$J$38,2,0)</f>
        <v>29.53</v>
      </c>
      <c r="I266" s="6">
        <f>VLOOKUP($E266,Sheet3!$B$3:$G$54,5,0)</f>
        <v>124806</v>
      </c>
      <c r="J266" s="5">
        <f>VLOOKUP($E266,Sheet3!$B$3:$G$54,4,0)</f>
        <v>4.5</v>
      </c>
      <c r="K266" s="5">
        <f>VLOOKUP($E266,Sheet3!$B$3:$G$54,6,0)</f>
        <v>1.3</v>
      </c>
      <c r="L266">
        <v>144</v>
      </c>
      <c r="M266">
        <v>192</v>
      </c>
      <c r="N266">
        <v>19</v>
      </c>
      <c r="O266" s="14">
        <f t="shared" si="9"/>
        <v>1.3333333333333333</v>
      </c>
    </row>
    <row r="267" spans="1:15" x14ac:dyDescent="0.3">
      <c r="A267" s="16" t="s">
        <v>30</v>
      </c>
      <c r="B267" s="12" t="s">
        <v>30</v>
      </c>
      <c r="C267" s="12" t="s">
        <v>29</v>
      </c>
      <c r="D267" s="6">
        <f t="shared" si="8"/>
        <v>14</v>
      </c>
      <c r="E267">
        <v>32</v>
      </c>
      <c r="F267" s="6">
        <f>VLOOKUP($E267,Sheet3!$B$3:$D$54,2,0)</f>
        <v>8</v>
      </c>
      <c r="G267" s="6">
        <f>VLOOKUP($E267,Sheet3!$B$3:$G$54,3,0)</f>
        <v>1</v>
      </c>
      <c r="H267" s="5">
        <f>VLOOKUP($A267,Sheet3!$I$3:$J$38,2,0)</f>
        <v>29.53</v>
      </c>
      <c r="I267" s="6">
        <f>VLOOKUP($E267,Sheet3!$B$3:$G$54,5,0)</f>
        <v>69121</v>
      </c>
      <c r="J267" s="5">
        <f>VLOOKUP($E267,Sheet3!$B$3:$G$54,4,0)</f>
        <v>4.5</v>
      </c>
      <c r="K267" s="5">
        <f>VLOOKUP($E267,Sheet3!$B$3:$G$54,6,0)</f>
        <v>1.1000000000000001</v>
      </c>
      <c r="L267">
        <v>0</v>
      </c>
      <c r="M267">
        <v>0</v>
      </c>
      <c r="N267">
        <v>18</v>
      </c>
      <c r="O267" s="14" t="e">
        <f t="shared" si="9"/>
        <v>#DIV/0!</v>
      </c>
    </row>
    <row r="268" spans="1:15" x14ac:dyDescent="0.3">
      <c r="A268" s="16" t="s">
        <v>30</v>
      </c>
      <c r="B268" s="12" t="s">
        <v>30</v>
      </c>
      <c r="C268" s="12" t="s">
        <v>29</v>
      </c>
      <c r="D268" s="6">
        <f t="shared" si="8"/>
        <v>15</v>
      </c>
      <c r="E268">
        <v>33</v>
      </c>
      <c r="F268" s="6">
        <f>VLOOKUP($E268,Sheet3!$B$3:$D$54,2,0)</f>
        <v>8</v>
      </c>
      <c r="G268" s="6">
        <f>VLOOKUP($E268,Sheet3!$B$3:$G$54,3,0)</f>
        <v>1</v>
      </c>
      <c r="H268" s="5">
        <f>VLOOKUP($A268,Sheet3!$I$3:$J$38,2,0)</f>
        <v>29.53</v>
      </c>
      <c r="I268" s="6">
        <f>VLOOKUP($E268,Sheet3!$B$3:$G$54,5,0)</f>
        <v>69121</v>
      </c>
      <c r="J268" s="5">
        <f>VLOOKUP($E268,Sheet3!$B$3:$G$54,4,0)</f>
        <v>4.5</v>
      </c>
      <c r="K268" s="5">
        <f>VLOOKUP($E268,Sheet3!$B$3:$G$54,6,0)</f>
        <v>1.1000000000000001</v>
      </c>
      <c r="L268">
        <v>0</v>
      </c>
      <c r="M268">
        <v>0</v>
      </c>
      <c r="N268">
        <v>18</v>
      </c>
      <c r="O268" s="14" t="e">
        <f t="shared" si="9"/>
        <v>#DIV/0!</v>
      </c>
    </row>
    <row r="269" spans="1:15" x14ac:dyDescent="0.3">
      <c r="A269" s="16" t="s">
        <v>30</v>
      </c>
      <c r="B269" s="12" t="s">
        <v>30</v>
      </c>
      <c r="C269" s="12" t="s">
        <v>29</v>
      </c>
      <c r="D269" s="6">
        <f t="shared" si="8"/>
        <v>15</v>
      </c>
      <c r="E269">
        <v>34</v>
      </c>
      <c r="F269" s="6">
        <f>VLOOKUP($E269,Sheet3!$B$3:$D$54,2,0)</f>
        <v>8</v>
      </c>
      <c r="G269" s="6">
        <f>VLOOKUP($E269,Sheet3!$B$3:$G$54,3,0)</f>
        <v>0</v>
      </c>
      <c r="H269" s="5">
        <f>VLOOKUP($A269,Sheet3!$I$3:$J$38,2,0)</f>
        <v>29.53</v>
      </c>
      <c r="I269" s="6">
        <f>VLOOKUP($E269,Sheet3!$B$3:$G$54,5,0)</f>
        <v>69121</v>
      </c>
      <c r="J269" s="5">
        <f>VLOOKUP($E269,Sheet3!$B$3:$G$54,4,0)</f>
        <v>4.5</v>
      </c>
      <c r="K269" s="5">
        <f>VLOOKUP($E269,Sheet3!$B$3:$G$54,6,0)</f>
        <v>1.1000000000000001</v>
      </c>
      <c r="L269">
        <v>480</v>
      </c>
      <c r="M269">
        <v>168</v>
      </c>
      <c r="N269">
        <v>19</v>
      </c>
      <c r="O269" s="14">
        <f t="shared" si="9"/>
        <v>0.35</v>
      </c>
    </row>
    <row r="270" spans="1:15" x14ac:dyDescent="0.3">
      <c r="A270" s="16" t="s">
        <v>30</v>
      </c>
      <c r="B270" s="12" t="s">
        <v>30</v>
      </c>
      <c r="C270" s="12" t="s">
        <v>29</v>
      </c>
      <c r="D270" s="6">
        <f t="shared" si="8"/>
        <v>14</v>
      </c>
      <c r="E270">
        <v>35</v>
      </c>
      <c r="F270" s="6">
        <f>VLOOKUP($E270,Sheet3!$B$3:$D$54,2,0)</f>
        <v>8</v>
      </c>
      <c r="G270" s="6">
        <f>VLOOKUP($E270,Sheet3!$B$3:$G$54,3,0)</f>
        <v>0</v>
      </c>
      <c r="H270" s="5">
        <f>VLOOKUP($A270,Sheet3!$I$3:$J$38,2,0)</f>
        <v>29.53</v>
      </c>
      <c r="I270" s="6">
        <f>VLOOKUP($E270,Sheet3!$B$3:$G$54,5,0)</f>
        <v>69121</v>
      </c>
      <c r="J270" s="5">
        <f>VLOOKUP($E270,Sheet3!$B$3:$G$54,4,0)</f>
        <v>4.5</v>
      </c>
      <c r="K270" s="5">
        <f>VLOOKUP($E270,Sheet3!$B$3:$G$54,6,0)</f>
        <v>1.1000000000000001</v>
      </c>
      <c r="L270">
        <v>638</v>
      </c>
      <c r="M270">
        <v>72</v>
      </c>
      <c r="N270">
        <v>21</v>
      </c>
      <c r="O270" s="14">
        <f t="shared" si="9"/>
        <v>0.11285266457680251</v>
      </c>
    </row>
    <row r="271" spans="1:15" x14ac:dyDescent="0.3">
      <c r="A271" s="16" t="s">
        <v>30</v>
      </c>
      <c r="B271" s="12" t="s">
        <v>30</v>
      </c>
      <c r="C271" s="12" t="s">
        <v>29</v>
      </c>
      <c r="D271" s="6">
        <f t="shared" si="8"/>
        <v>22</v>
      </c>
      <c r="E271">
        <v>36</v>
      </c>
      <c r="F271" s="6">
        <f>VLOOKUP($E271,Sheet3!$B$3:$D$54,2,0)</f>
        <v>9</v>
      </c>
      <c r="G271" s="6">
        <f>VLOOKUP($E271,Sheet3!$B$3:$G$54,3,0)</f>
        <v>0</v>
      </c>
      <c r="H271" s="5">
        <f>VLOOKUP($A271,Sheet3!$I$3:$J$38,2,0)</f>
        <v>29.53</v>
      </c>
      <c r="I271" s="6">
        <f>VLOOKUP($E271,Sheet3!$B$3:$G$54,5,0)</f>
        <v>121666</v>
      </c>
      <c r="J271" s="5">
        <f>VLOOKUP($E271,Sheet3!$B$3:$G$54,4,0)</f>
        <v>4.5</v>
      </c>
      <c r="K271" s="5">
        <f>VLOOKUP($E271,Sheet3!$B$3:$G$54,6,0)</f>
        <v>0.7</v>
      </c>
      <c r="L271">
        <v>600</v>
      </c>
      <c r="M271">
        <v>144</v>
      </c>
      <c r="N271">
        <v>14</v>
      </c>
      <c r="O271" s="14">
        <f t="shared" si="9"/>
        <v>0.24</v>
      </c>
    </row>
    <row r="272" spans="1:15" x14ac:dyDescent="0.3">
      <c r="A272" s="16" t="s">
        <v>30</v>
      </c>
      <c r="B272" s="12" t="s">
        <v>30</v>
      </c>
      <c r="C272" s="12" t="s">
        <v>29</v>
      </c>
      <c r="D272" s="6">
        <f t="shared" si="8"/>
        <v>22</v>
      </c>
      <c r="E272">
        <v>37</v>
      </c>
      <c r="F272" s="6">
        <f>VLOOKUP($E272,Sheet3!$B$3:$D$54,2,0)</f>
        <v>9</v>
      </c>
      <c r="G272" s="6">
        <f>VLOOKUP($E272,Sheet3!$B$3:$G$54,3,0)</f>
        <v>0</v>
      </c>
      <c r="H272" s="5">
        <f>VLOOKUP($A272,Sheet3!$I$3:$J$38,2,0)</f>
        <v>29.53</v>
      </c>
      <c r="I272" s="6">
        <f>VLOOKUP($E272,Sheet3!$B$3:$G$54,5,0)</f>
        <v>121666</v>
      </c>
      <c r="J272" s="5">
        <f>VLOOKUP($E272,Sheet3!$B$3:$G$54,4,0)</f>
        <v>4.5</v>
      </c>
      <c r="K272" s="5">
        <f>VLOOKUP($E272,Sheet3!$B$3:$G$54,6,0)</f>
        <v>0.7</v>
      </c>
      <c r="L272">
        <v>432</v>
      </c>
      <c r="M272">
        <v>192</v>
      </c>
      <c r="N272">
        <v>15</v>
      </c>
      <c r="O272" s="14">
        <f t="shared" si="9"/>
        <v>0.44444444444444442</v>
      </c>
    </row>
    <row r="273" spans="1:15" x14ac:dyDescent="0.3">
      <c r="A273" s="16" t="s">
        <v>30</v>
      </c>
      <c r="B273" s="12" t="s">
        <v>30</v>
      </c>
      <c r="C273" s="12" t="s">
        <v>29</v>
      </c>
      <c r="D273" s="6">
        <f t="shared" si="8"/>
        <v>22</v>
      </c>
      <c r="E273">
        <v>38</v>
      </c>
      <c r="F273" s="6">
        <f>VLOOKUP($E273,Sheet3!$B$3:$D$54,2,0)</f>
        <v>9</v>
      </c>
      <c r="G273" s="6">
        <f>VLOOKUP($E273,Sheet3!$B$3:$G$54,3,0)</f>
        <v>0</v>
      </c>
      <c r="H273" s="5">
        <f>VLOOKUP($A273,Sheet3!$I$3:$J$38,2,0)</f>
        <v>29.53</v>
      </c>
      <c r="I273" s="6">
        <f>VLOOKUP($E273,Sheet3!$B$3:$G$54,5,0)</f>
        <v>121666</v>
      </c>
      <c r="J273" s="5">
        <f>VLOOKUP($E273,Sheet3!$B$3:$G$54,4,0)</f>
        <v>3.9</v>
      </c>
      <c r="K273" s="5">
        <f>VLOOKUP($E273,Sheet3!$B$3:$G$54,6,0)</f>
        <v>0.7</v>
      </c>
      <c r="L273">
        <v>144</v>
      </c>
      <c r="M273">
        <v>72</v>
      </c>
      <c r="N273">
        <v>16</v>
      </c>
      <c r="O273" s="14">
        <f t="shared" si="9"/>
        <v>0.5</v>
      </c>
    </row>
    <row r="274" spans="1:15" x14ac:dyDescent="0.3">
      <c r="A274" s="16" t="s">
        <v>30</v>
      </c>
      <c r="B274" s="12" t="s">
        <v>30</v>
      </c>
      <c r="C274" s="12" t="s">
        <v>29</v>
      </c>
      <c r="D274" s="6">
        <f t="shared" si="8"/>
        <v>22</v>
      </c>
      <c r="E274">
        <v>39</v>
      </c>
      <c r="F274" s="6">
        <f>VLOOKUP($E274,Sheet3!$B$3:$D$54,2,0)</f>
        <v>9</v>
      </c>
      <c r="G274" s="6">
        <f>VLOOKUP($E274,Sheet3!$B$3:$G$54,3,0)</f>
        <v>0</v>
      </c>
      <c r="H274" s="5">
        <f>VLOOKUP($A274,Sheet3!$I$3:$J$38,2,0)</f>
        <v>29.53</v>
      </c>
      <c r="I274" s="6">
        <f>VLOOKUP($E274,Sheet3!$B$3:$G$54,5,0)</f>
        <v>121666</v>
      </c>
      <c r="J274" s="5">
        <f>VLOOKUP($E274,Sheet3!$B$3:$G$54,4,0)</f>
        <v>3.9</v>
      </c>
      <c r="K274" s="5">
        <f>VLOOKUP($E274,Sheet3!$B$3:$G$54,6,0)</f>
        <v>0.7</v>
      </c>
      <c r="L274">
        <v>216</v>
      </c>
      <c r="M274">
        <v>240</v>
      </c>
      <c r="N274">
        <v>17</v>
      </c>
      <c r="O274" s="14">
        <f t="shared" si="9"/>
        <v>1.1111111111111112</v>
      </c>
    </row>
    <row r="275" spans="1:15" x14ac:dyDescent="0.3">
      <c r="A275" s="16" t="s">
        <v>30</v>
      </c>
      <c r="B275" s="12" t="s">
        <v>30</v>
      </c>
      <c r="C275" s="12" t="s">
        <v>29</v>
      </c>
      <c r="D275" s="6">
        <f t="shared" si="8"/>
        <v>26</v>
      </c>
      <c r="E275">
        <v>40</v>
      </c>
      <c r="F275" s="6">
        <f>VLOOKUP($E275,Sheet3!$B$3:$D$54,2,0)</f>
        <v>9</v>
      </c>
      <c r="G275" s="6">
        <f>VLOOKUP($E275,Sheet3!$B$3:$G$54,3,0)</f>
        <v>0</v>
      </c>
      <c r="H275" s="5">
        <f>VLOOKUP($A275,Sheet3!$I$3:$J$38,2,0)</f>
        <v>29.53</v>
      </c>
      <c r="I275" s="6">
        <f>VLOOKUP($E275,Sheet3!$B$3:$G$54,5,0)</f>
        <v>121666</v>
      </c>
      <c r="J275" s="5">
        <f>VLOOKUP($E275,Sheet3!$B$3:$G$54,4,0)</f>
        <v>3.9</v>
      </c>
      <c r="K275" s="5">
        <f>VLOOKUP($E275,Sheet3!$B$3:$G$54,6,0)</f>
        <v>0.7</v>
      </c>
      <c r="L275">
        <v>240</v>
      </c>
      <c r="M275">
        <v>48</v>
      </c>
      <c r="N275">
        <v>14</v>
      </c>
      <c r="O275" s="14">
        <f t="shared" si="9"/>
        <v>0.2</v>
      </c>
    </row>
    <row r="276" spans="1:15" x14ac:dyDescent="0.3">
      <c r="A276" s="16" t="s">
        <v>30</v>
      </c>
      <c r="B276" s="12" t="s">
        <v>30</v>
      </c>
      <c r="C276" s="12" t="s">
        <v>29</v>
      </c>
      <c r="D276" s="6">
        <f t="shared" si="8"/>
        <v>26</v>
      </c>
      <c r="E276">
        <v>41</v>
      </c>
      <c r="F276" s="6">
        <f>VLOOKUP($E276,Sheet3!$B$3:$D$54,2,0)</f>
        <v>10</v>
      </c>
      <c r="G276" s="6">
        <f>VLOOKUP($E276,Sheet3!$B$3:$G$54,3,0)</f>
        <v>0</v>
      </c>
      <c r="H276" s="5">
        <f>VLOOKUP($A276,Sheet3!$I$3:$J$38,2,0)</f>
        <v>29.53</v>
      </c>
      <c r="I276" s="6">
        <f>VLOOKUP($E276,Sheet3!$B$3:$G$54,5,0)</f>
        <v>126488</v>
      </c>
      <c r="J276" s="5">
        <f>VLOOKUP($E276,Sheet3!$B$3:$G$54,4,0)</f>
        <v>3.9</v>
      </c>
      <c r="K276" s="5">
        <f>VLOOKUP($E276,Sheet3!$B$3:$G$54,6,0)</f>
        <v>0.9</v>
      </c>
      <c r="L276">
        <v>456</v>
      </c>
      <c r="M276">
        <v>144</v>
      </c>
      <c r="N276">
        <v>15</v>
      </c>
      <c r="O276" s="14">
        <f t="shared" si="9"/>
        <v>0.31578947368421051</v>
      </c>
    </row>
    <row r="277" spans="1:15" x14ac:dyDescent="0.3">
      <c r="A277" s="16" t="s">
        <v>30</v>
      </c>
      <c r="B277" s="12" t="s">
        <v>30</v>
      </c>
      <c r="C277" s="12" t="s">
        <v>29</v>
      </c>
      <c r="D277" s="6">
        <f t="shared" si="8"/>
        <v>26</v>
      </c>
      <c r="E277">
        <v>42</v>
      </c>
      <c r="F277" s="6">
        <f>VLOOKUP($E277,Sheet3!$B$3:$D$54,2,0)</f>
        <v>10</v>
      </c>
      <c r="G277" s="6">
        <f>VLOOKUP($E277,Sheet3!$B$3:$G$54,3,0)</f>
        <v>0</v>
      </c>
      <c r="H277" s="5">
        <f>VLOOKUP($A277,Sheet3!$I$3:$J$38,2,0)</f>
        <v>29.53</v>
      </c>
      <c r="I277" s="6">
        <f>VLOOKUP($E277,Sheet3!$B$3:$G$54,5,0)</f>
        <v>126488</v>
      </c>
      <c r="J277" s="5">
        <f>VLOOKUP($E277,Sheet3!$B$3:$G$54,4,0)</f>
        <v>3.9</v>
      </c>
      <c r="K277" s="5">
        <f>VLOOKUP($E277,Sheet3!$B$3:$G$54,6,0)</f>
        <v>0.9</v>
      </c>
      <c r="L277">
        <v>360</v>
      </c>
      <c r="M277">
        <v>168</v>
      </c>
      <c r="N277">
        <v>16</v>
      </c>
      <c r="O277" s="14">
        <f t="shared" si="9"/>
        <v>0.46666666666666667</v>
      </c>
    </row>
    <row r="278" spans="1:15" x14ac:dyDescent="0.3">
      <c r="A278" s="16" t="s">
        <v>30</v>
      </c>
      <c r="B278" s="12" t="s">
        <v>30</v>
      </c>
      <c r="C278" s="12" t="s">
        <v>29</v>
      </c>
      <c r="D278" s="6">
        <f t="shared" si="8"/>
        <v>26</v>
      </c>
      <c r="E278">
        <v>43</v>
      </c>
      <c r="F278" s="6">
        <f>VLOOKUP($E278,Sheet3!$B$3:$D$54,2,0)</f>
        <v>10</v>
      </c>
      <c r="G278" s="6">
        <f>VLOOKUP($E278,Sheet3!$B$3:$G$54,3,0)</f>
        <v>0</v>
      </c>
      <c r="H278" s="5">
        <f>VLOOKUP($A278,Sheet3!$I$3:$J$38,2,0)</f>
        <v>29.53</v>
      </c>
      <c r="I278" s="6">
        <f>VLOOKUP($E278,Sheet3!$B$3:$G$54,5,0)</f>
        <v>126488</v>
      </c>
      <c r="J278" s="5">
        <f>VLOOKUP($E278,Sheet3!$B$3:$G$54,4,0)</f>
        <v>3.65</v>
      </c>
      <c r="K278" s="5">
        <f>VLOOKUP($E278,Sheet3!$B$3:$G$54,6,0)</f>
        <v>0.9</v>
      </c>
      <c r="L278">
        <v>528</v>
      </c>
      <c r="M278">
        <v>168</v>
      </c>
      <c r="N278">
        <v>17</v>
      </c>
      <c r="O278" s="14">
        <f t="shared" si="9"/>
        <v>0.31818181818181818</v>
      </c>
    </row>
    <row r="279" spans="1:15" x14ac:dyDescent="0.3">
      <c r="A279" s="16" t="s">
        <v>30</v>
      </c>
      <c r="B279" s="12" t="s">
        <v>30</v>
      </c>
      <c r="C279" s="12" t="s">
        <v>29</v>
      </c>
      <c r="D279" s="6">
        <f t="shared" si="8"/>
        <v>26</v>
      </c>
      <c r="E279">
        <v>44</v>
      </c>
      <c r="F279" s="6">
        <f>VLOOKUP($E279,Sheet3!$B$3:$D$54,2,0)</f>
        <v>10</v>
      </c>
      <c r="G279" s="6">
        <f>VLOOKUP($E279,Sheet3!$B$3:$G$54,3,0)</f>
        <v>1</v>
      </c>
      <c r="H279" s="5">
        <f>VLOOKUP($A279,Sheet3!$I$3:$J$38,2,0)</f>
        <v>29.53</v>
      </c>
      <c r="I279" s="6">
        <f>VLOOKUP($E279,Sheet3!$B$3:$G$54,5,0)</f>
        <v>126488</v>
      </c>
      <c r="J279" s="5">
        <f>VLOOKUP($E279,Sheet3!$B$3:$G$54,4,0)</f>
        <v>3.65</v>
      </c>
      <c r="K279" s="5">
        <f>VLOOKUP($E279,Sheet3!$B$3:$G$54,6,0)</f>
        <v>0.9</v>
      </c>
      <c r="L279">
        <v>648</v>
      </c>
      <c r="M279">
        <v>0</v>
      </c>
      <c r="N279">
        <v>18</v>
      </c>
      <c r="O279" s="14">
        <f t="shared" si="9"/>
        <v>0</v>
      </c>
    </row>
    <row r="280" spans="1:15" x14ac:dyDescent="0.3">
      <c r="A280" s="16" t="s">
        <v>30</v>
      </c>
      <c r="B280" s="12" t="s">
        <v>30</v>
      </c>
      <c r="C280" s="12" t="s">
        <v>29</v>
      </c>
      <c r="D280" s="6">
        <f t="shared" si="8"/>
        <v>33</v>
      </c>
      <c r="E280">
        <v>45</v>
      </c>
      <c r="F280" s="6">
        <f>VLOOKUP($E280,Sheet3!$B$3:$D$54,2,0)</f>
        <v>11</v>
      </c>
      <c r="G280" s="6">
        <f>VLOOKUP($E280,Sheet3!$B$3:$G$54,3,0)</f>
        <v>0</v>
      </c>
      <c r="H280" s="5">
        <f>VLOOKUP($A280,Sheet3!$I$3:$J$38,2,0)</f>
        <v>29.53</v>
      </c>
      <c r="I280" s="6">
        <f>VLOOKUP($E280,Sheet3!$B$3:$G$54,5,0)</f>
        <v>124251</v>
      </c>
      <c r="J280" s="5">
        <f>VLOOKUP($E280,Sheet3!$B$3:$G$54,4,0)</f>
        <v>3.65</v>
      </c>
      <c r="K280" s="5">
        <f>VLOOKUP($E280,Sheet3!$B$3:$G$54,6,0)</f>
        <v>1.3</v>
      </c>
      <c r="L280">
        <v>312</v>
      </c>
      <c r="M280">
        <v>24</v>
      </c>
      <c r="N280">
        <v>12</v>
      </c>
      <c r="O280" s="14">
        <f t="shared" si="9"/>
        <v>7.6923076923076927E-2</v>
      </c>
    </row>
    <row r="281" spans="1:15" x14ac:dyDescent="0.3">
      <c r="A281" s="16" t="s">
        <v>30</v>
      </c>
      <c r="B281" s="12" t="s">
        <v>30</v>
      </c>
      <c r="C281" s="12" t="s">
        <v>29</v>
      </c>
      <c r="D281" s="6">
        <f t="shared" si="8"/>
        <v>33</v>
      </c>
      <c r="E281">
        <v>46</v>
      </c>
      <c r="F281" s="6">
        <f>VLOOKUP($E281,Sheet3!$B$3:$D$54,2,0)</f>
        <v>11</v>
      </c>
      <c r="G281" s="6">
        <f>VLOOKUP($E281,Sheet3!$B$3:$G$54,3,0)</f>
        <v>0</v>
      </c>
      <c r="H281" s="5">
        <f>VLOOKUP($A281,Sheet3!$I$3:$J$38,2,0)</f>
        <v>29.53</v>
      </c>
      <c r="I281" s="6">
        <f>VLOOKUP($E281,Sheet3!$B$3:$G$54,5,0)</f>
        <v>124251</v>
      </c>
      <c r="J281" s="5">
        <f>VLOOKUP($E281,Sheet3!$B$3:$G$54,4,0)</f>
        <v>3.65</v>
      </c>
      <c r="K281" s="5">
        <f>VLOOKUP($E281,Sheet3!$B$3:$G$54,6,0)</f>
        <v>1.3</v>
      </c>
      <c r="L281">
        <v>528</v>
      </c>
      <c r="M281">
        <v>120</v>
      </c>
      <c r="N281">
        <v>13</v>
      </c>
      <c r="O281" s="14">
        <f t="shared" si="9"/>
        <v>0.22727272727272727</v>
      </c>
    </row>
    <row r="282" spans="1:15" x14ac:dyDescent="0.3">
      <c r="A282" s="16" t="s">
        <v>30</v>
      </c>
      <c r="B282" s="12" t="s">
        <v>30</v>
      </c>
      <c r="C282" s="12" t="s">
        <v>29</v>
      </c>
      <c r="D282" s="6">
        <f t="shared" si="8"/>
        <v>33</v>
      </c>
      <c r="E282">
        <v>47</v>
      </c>
      <c r="F282" s="6">
        <f>VLOOKUP($E282,Sheet3!$B$3:$D$54,2,0)</f>
        <v>11</v>
      </c>
      <c r="G282" s="6">
        <f>VLOOKUP($E282,Sheet3!$B$3:$G$54,3,0)</f>
        <v>0</v>
      </c>
      <c r="H282" s="5">
        <f>VLOOKUP($A282,Sheet3!$I$3:$J$38,2,0)</f>
        <v>29.53</v>
      </c>
      <c r="I282" s="6">
        <f>VLOOKUP($E282,Sheet3!$B$3:$G$54,5,0)</f>
        <v>124251</v>
      </c>
      <c r="J282" s="5">
        <f>VLOOKUP($E282,Sheet3!$B$3:$G$54,4,0)</f>
        <v>3.65</v>
      </c>
      <c r="K282" s="5">
        <f>VLOOKUP($E282,Sheet3!$B$3:$G$54,6,0)</f>
        <v>1.3</v>
      </c>
      <c r="L282">
        <v>480</v>
      </c>
      <c r="M282">
        <v>24</v>
      </c>
      <c r="N282">
        <v>14</v>
      </c>
      <c r="O282" s="14">
        <f t="shared" si="9"/>
        <v>0.05</v>
      </c>
    </row>
    <row r="283" spans="1:15" x14ac:dyDescent="0.3">
      <c r="A283" s="16" t="s">
        <v>30</v>
      </c>
      <c r="B283" s="12" t="s">
        <v>30</v>
      </c>
      <c r="C283" s="12" t="s">
        <v>29</v>
      </c>
      <c r="D283" s="6">
        <f t="shared" si="8"/>
        <v>33</v>
      </c>
      <c r="E283">
        <v>48</v>
      </c>
      <c r="F283" s="6">
        <f>VLOOKUP($E283,Sheet3!$B$3:$D$54,2,0)</f>
        <v>11</v>
      </c>
      <c r="G283" s="6">
        <f>VLOOKUP($E283,Sheet3!$B$3:$G$54,3,0)</f>
        <v>0</v>
      </c>
      <c r="H283" s="5">
        <f>VLOOKUP($A283,Sheet3!$I$3:$J$38,2,0)</f>
        <v>29.53</v>
      </c>
      <c r="I283" s="6">
        <f>VLOOKUP($E283,Sheet3!$B$3:$G$54,5,0)</f>
        <v>124251</v>
      </c>
      <c r="J283" s="5">
        <f>VLOOKUP($E283,Sheet3!$B$3:$G$54,4,0)</f>
        <v>3.65</v>
      </c>
      <c r="K283" s="5">
        <f>VLOOKUP($E283,Sheet3!$B$3:$G$54,6,0)</f>
        <v>1.3</v>
      </c>
      <c r="L283">
        <v>384</v>
      </c>
      <c r="M283">
        <v>72</v>
      </c>
      <c r="N283">
        <v>15</v>
      </c>
      <c r="O283" s="14">
        <f t="shared" si="9"/>
        <v>0.1875</v>
      </c>
    </row>
    <row r="284" spans="1:15" x14ac:dyDescent="0.3">
      <c r="A284" s="16" t="s">
        <v>30</v>
      </c>
      <c r="B284" s="12" t="s">
        <v>30</v>
      </c>
      <c r="C284" s="12" t="s">
        <v>29</v>
      </c>
      <c r="D284" s="6">
        <f t="shared" si="8"/>
        <v>37</v>
      </c>
      <c r="E284">
        <v>49</v>
      </c>
      <c r="F284" s="6">
        <f>VLOOKUP($E284,Sheet3!$B$3:$D$54,2,0)</f>
        <v>12</v>
      </c>
      <c r="G284" s="6">
        <f>VLOOKUP($E284,Sheet3!$B$3:$G$54,3,0)</f>
        <v>1</v>
      </c>
      <c r="H284" s="5">
        <f>VLOOKUP($A284,Sheet3!$I$3:$J$38,2,0)</f>
        <v>29.53</v>
      </c>
      <c r="I284" s="6">
        <f>VLOOKUP($E284,Sheet3!$B$3:$G$54,5,0)</f>
        <v>105715</v>
      </c>
      <c r="J284" s="5">
        <f>VLOOKUP($E284,Sheet3!$B$3:$G$54,4,0)</f>
        <v>3.65</v>
      </c>
      <c r="K284" s="5">
        <f>VLOOKUP($E284,Sheet3!$B$3:$G$54,6,0)</f>
        <v>1.3</v>
      </c>
      <c r="L284">
        <v>0</v>
      </c>
      <c r="M284">
        <v>96</v>
      </c>
      <c r="N284">
        <v>12</v>
      </c>
      <c r="O284" s="14" t="e">
        <f t="shared" si="9"/>
        <v>#DIV/0!</v>
      </c>
    </row>
    <row r="285" spans="1:15" x14ac:dyDescent="0.3">
      <c r="A285" s="16" t="s">
        <v>30</v>
      </c>
      <c r="B285" s="12" t="s">
        <v>30</v>
      </c>
      <c r="C285" s="12" t="s">
        <v>29</v>
      </c>
      <c r="D285" s="6">
        <f t="shared" si="8"/>
        <v>38</v>
      </c>
      <c r="E285">
        <v>50</v>
      </c>
      <c r="F285" s="6">
        <f>VLOOKUP($E285,Sheet3!$B$3:$D$54,2,0)</f>
        <v>12</v>
      </c>
      <c r="G285" s="6">
        <f>VLOOKUP($E285,Sheet3!$B$3:$G$54,3,0)</f>
        <v>0</v>
      </c>
      <c r="H285" s="5">
        <f>VLOOKUP($A285,Sheet3!$I$3:$J$38,2,0)</f>
        <v>29.53</v>
      </c>
      <c r="I285" s="6">
        <f>VLOOKUP($E285,Sheet3!$B$3:$G$54,5,0)</f>
        <v>105715</v>
      </c>
      <c r="J285" s="5">
        <f>VLOOKUP($E285,Sheet3!$B$3:$G$54,4,0)</f>
        <v>3.4</v>
      </c>
      <c r="K285" s="5">
        <f>VLOOKUP($E285,Sheet3!$B$3:$G$54,6,0)</f>
        <v>1.3</v>
      </c>
      <c r="L285">
        <v>0</v>
      </c>
      <c r="M285">
        <v>96</v>
      </c>
      <c r="N285">
        <v>12</v>
      </c>
      <c r="O285" s="14" t="e">
        <f t="shared" si="9"/>
        <v>#DIV/0!</v>
      </c>
    </row>
    <row r="286" spans="1:15" x14ac:dyDescent="0.3">
      <c r="A286" s="16" t="s">
        <v>30</v>
      </c>
      <c r="B286" s="12" t="s">
        <v>30</v>
      </c>
      <c r="C286" s="12" t="s">
        <v>29</v>
      </c>
      <c r="D286" s="6">
        <f t="shared" si="8"/>
        <v>41</v>
      </c>
      <c r="E286">
        <v>51</v>
      </c>
      <c r="F286" s="6">
        <f>VLOOKUP($E286,Sheet3!$B$3:$D$54,2,0)</f>
        <v>12</v>
      </c>
      <c r="G286" s="6">
        <f>VLOOKUP($E286,Sheet3!$B$3:$G$54,3,0)</f>
        <v>0</v>
      </c>
      <c r="H286" s="5">
        <f>VLOOKUP($A286,Sheet3!$I$3:$J$38,2,0)</f>
        <v>29.53</v>
      </c>
      <c r="I286" s="6">
        <f>VLOOKUP($E286,Sheet3!$B$3:$G$54,5,0)</f>
        <v>105715</v>
      </c>
      <c r="J286" s="5">
        <f>VLOOKUP($E286,Sheet3!$B$3:$G$54,4,0)</f>
        <v>3.4</v>
      </c>
      <c r="K286" s="5">
        <f>VLOOKUP($E286,Sheet3!$B$3:$G$54,6,0)</f>
        <v>1.3</v>
      </c>
      <c r="L286">
        <v>864</v>
      </c>
      <c r="M286">
        <v>144</v>
      </c>
      <c r="N286">
        <v>10</v>
      </c>
      <c r="O286" s="14">
        <f t="shared" si="9"/>
        <v>0.16666666666666666</v>
      </c>
    </row>
    <row r="287" spans="1:15" x14ac:dyDescent="0.3">
      <c r="A287" s="16" t="s">
        <v>30</v>
      </c>
      <c r="B287" s="12" t="s">
        <v>30</v>
      </c>
      <c r="C287" s="12" t="s">
        <v>29</v>
      </c>
      <c r="D287" s="6">
        <f t="shared" si="8"/>
        <v>44</v>
      </c>
      <c r="E287">
        <v>52</v>
      </c>
      <c r="F287" s="6">
        <f>VLOOKUP($E287,Sheet3!$B$3:$D$54,2,0)</f>
        <v>12</v>
      </c>
      <c r="G287" s="6">
        <f>VLOOKUP($E287,Sheet3!$B$3:$G$54,3,0)</f>
        <v>1</v>
      </c>
      <c r="H287" s="5">
        <f>VLOOKUP($A287,Sheet3!$I$3:$J$38,2,0)</f>
        <v>29.53</v>
      </c>
      <c r="I287" s="6">
        <f>VLOOKUP($E287,Sheet3!$B$3:$G$54,5,0)</f>
        <v>105715</v>
      </c>
      <c r="J287" s="5">
        <f>VLOOKUP($E287,Sheet3!$B$3:$G$54,4,0)</f>
        <v>3.4</v>
      </c>
      <c r="K287" s="5">
        <f>VLOOKUP($E287,Sheet3!$B$3:$G$54,6,0)</f>
        <v>1.3</v>
      </c>
      <c r="L287">
        <v>0</v>
      </c>
      <c r="M287">
        <v>0</v>
      </c>
      <c r="N287">
        <v>8</v>
      </c>
      <c r="O287" s="14" t="e">
        <f t="shared" si="9"/>
        <v>#DIV/0!</v>
      </c>
    </row>
    <row r="288" spans="1:15" x14ac:dyDescent="0.3">
      <c r="A288" s="16" t="s">
        <v>30</v>
      </c>
      <c r="B288" s="12" t="s">
        <v>30</v>
      </c>
      <c r="C288" s="12" t="s">
        <v>29</v>
      </c>
      <c r="D288" s="6">
        <f t="shared" si="8"/>
        <v>47</v>
      </c>
      <c r="E288">
        <v>1</v>
      </c>
      <c r="F288" s="6">
        <f>VLOOKUP($E288,Sheet3!$B$3:$D$54,2,0)</f>
        <v>12</v>
      </c>
      <c r="G288" s="6">
        <f>VLOOKUP($E288,Sheet3!$B$3:$G$54,3,0)</f>
        <v>1</v>
      </c>
      <c r="H288" s="5">
        <f>VLOOKUP($A288,Sheet3!$I$3:$J$38,2,0)</f>
        <v>29.53</v>
      </c>
      <c r="I288" s="6">
        <f>VLOOKUP($E288,Sheet3!$B$3:$G$54,5,0)</f>
        <v>105715</v>
      </c>
      <c r="J288" s="5">
        <f>VLOOKUP($E288,Sheet3!$B$3:$G$54,4,0)</f>
        <v>3.4</v>
      </c>
      <c r="K288" s="5">
        <f>VLOOKUP($E288,Sheet3!$B$3:$G$54,6,0)</f>
        <v>1.3</v>
      </c>
      <c r="L288">
        <v>0</v>
      </c>
      <c r="M288">
        <v>0</v>
      </c>
      <c r="N288">
        <v>6</v>
      </c>
      <c r="O288" s="14" t="e">
        <f t="shared" si="9"/>
        <v>#DIV/0!</v>
      </c>
    </row>
    <row r="289" spans="1:15" x14ac:dyDescent="0.3">
      <c r="A289" s="16" t="s">
        <v>30</v>
      </c>
      <c r="B289" s="12" t="s">
        <v>30</v>
      </c>
      <c r="C289" s="12" t="s">
        <v>29</v>
      </c>
      <c r="D289" s="6">
        <f t="shared" si="8"/>
        <v>41</v>
      </c>
      <c r="E289">
        <v>2</v>
      </c>
      <c r="F289" s="6">
        <f>VLOOKUP($E289,Sheet3!$B$3:$D$54,2,0)</f>
        <v>1</v>
      </c>
      <c r="G289" s="6">
        <f>VLOOKUP($E289,Sheet3!$B$3:$G$54,3,0)</f>
        <v>1</v>
      </c>
      <c r="H289" s="5">
        <f>VLOOKUP($A289,Sheet3!$I$3:$J$38,2,0)</f>
        <v>29.53</v>
      </c>
      <c r="I289" s="6">
        <f>VLOOKUP($E289,Sheet3!$B$3:$G$54,5,0)</f>
        <v>133692</v>
      </c>
      <c r="J289" s="5">
        <f>VLOOKUP($E289,Sheet3!$B$3:$G$54,4,0)</f>
        <v>3.4</v>
      </c>
      <c r="K289" s="5">
        <f>VLOOKUP($E289,Sheet3!$B$3:$G$54,6,0)</f>
        <v>1.5</v>
      </c>
      <c r="L289">
        <v>360</v>
      </c>
      <c r="M289">
        <v>336</v>
      </c>
      <c r="N289">
        <v>13</v>
      </c>
      <c r="O289" s="14">
        <f t="shared" si="9"/>
        <v>0.93333333333333335</v>
      </c>
    </row>
    <row r="290" spans="1:15" x14ac:dyDescent="0.3">
      <c r="A290" s="16" t="s">
        <v>30</v>
      </c>
      <c r="B290" s="12" t="s">
        <v>30</v>
      </c>
      <c r="C290" s="12" t="s">
        <v>29</v>
      </c>
      <c r="D290" s="6">
        <f t="shared" si="8"/>
        <v>41</v>
      </c>
      <c r="E290">
        <v>3</v>
      </c>
      <c r="F290" s="6">
        <f>VLOOKUP($E290,Sheet3!$B$3:$D$54,2,0)</f>
        <v>1</v>
      </c>
      <c r="G290" s="6">
        <f>VLOOKUP($E290,Sheet3!$B$3:$G$54,3,0)</f>
        <v>0</v>
      </c>
      <c r="H290" s="5">
        <f>VLOOKUP($A290,Sheet3!$I$3:$J$38,2,0)</f>
        <v>29.53</v>
      </c>
      <c r="I290" s="6">
        <f>VLOOKUP($E290,Sheet3!$B$3:$G$54,5,0)</f>
        <v>133692</v>
      </c>
      <c r="J290" s="5">
        <f>VLOOKUP($E290,Sheet3!$B$3:$G$54,4,0)</f>
        <v>3.4</v>
      </c>
      <c r="K290" s="5">
        <f>VLOOKUP($E290,Sheet3!$B$3:$G$54,6,0)</f>
        <v>1.5</v>
      </c>
      <c r="L290">
        <v>312</v>
      </c>
      <c r="M290">
        <v>192</v>
      </c>
      <c r="N290">
        <v>14</v>
      </c>
      <c r="O290" s="14">
        <f t="shared" si="9"/>
        <v>0.61538461538461542</v>
      </c>
    </row>
    <row r="291" spans="1:15" x14ac:dyDescent="0.3">
      <c r="A291" s="16" t="s">
        <v>30</v>
      </c>
      <c r="B291" s="12" t="s">
        <v>30</v>
      </c>
      <c r="C291" s="12" t="s">
        <v>29</v>
      </c>
      <c r="D291" s="6">
        <f t="shared" si="8"/>
        <v>41</v>
      </c>
      <c r="E291">
        <v>4</v>
      </c>
      <c r="F291" s="6">
        <f>VLOOKUP($E291,Sheet3!$B$3:$D$54,2,0)</f>
        <v>1</v>
      </c>
      <c r="G291" s="6">
        <f>VLOOKUP($E291,Sheet3!$B$3:$G$54,3,0)</f>
        <v>0</v>
      </c>
      <c r="H291" s="5">
        <f>VLOOKUP($A291,Sheet3!$I$3:$J$38,2,0)</f>
        <v>29.53</v>
      </c>
      <c r="I291" s="6">
        <f>VLOOKUP($E291,Sheet3!$B$3:$G$54,5,0)</f>
        <v>133692</v>
      </c>
      <c r="J291" s="5">
        <f>VLOOKUP($E291,Sheet3!$B$3:$G$54,4,0)</f>
        <v>3.4</v>
      </c>
      <c r="K291" s="5">
        <f>VLOOKUP($E291,Sheet3!$B$3:$G$54,6,0)</f>
        <v>1.5</v>
      </c>
      <c r="L291">
        <v>768</v>
      </c>
      <c r="M291">
        <v>120</v>
      </c>
      <c r="N291">
        <v>15</v>
      </c>
      <c r="O291" s="14">
        <f t="shared" si="9"/>
        <v>0.15625</v>
      </c>
    </row>
    <row r="292" spans="1:15" x14ac:dyDescent="0.3">
      <c r="A292" s="16" t="s">
        <v>30</v>
      </c>
      <c r="B292" s="12" t="s">
        <v>30</v>
      </c>
      <c r="C292" s="12" t="s">
        <v>29</v>
      </c>
      <c r="D292" s="6">
        <f t="shared" si="8"/>
        <v>41</v>
      </c>
      <c r="E292">
        <v>5</v>
      </c>
      <c r="F292" s="6">
        <f>VLOOKUP($E292,Sheet3!$B$3:$D$54,2,0)</f>
        <v>1</v>
      </c>
      <c r="G292" s="6">
        <f>VLOOKUP($E292,Sheet3!$B$3:$G$54,3,0)</f>
        <v>0</v>
      </c>
      <c r="H292" s="5">
        <f>VLOOKUP($A292,Sheet3!$I$3:$J$38,2,0)</f>
        <v>29.53</v>
      </c>
      <c r="I292" s="6">
        <f>VLOOKUP($E292,Sheet3!$B$3:$G$54,5,0)</f>
        <v>133692</v>
      </c>
      <c r="J292" s="5">
        <f>VLOOKUP($E292,Sheet3!$B$3:$G$54,4,0)</f>
        <v>3.4</v>
      </c>
      <c r="K292" s="5">
        <f>VLOOKUP($E292,Sheet3!$B$3:$G$54,6,0)</f>
        <v>1.5</v>
      </c>
      <c r="L292">
        <v>624</v>
      </c>
      <c r="M292">
        <v>0</v>
      </c>
      <c r="N292">
        <v>16</v>
      </c>
      <c r="O292" s="14">
        <f t="shared" si="9"/>
        <v>0</v>
      </c>
    </row>
    <row r="293" spans="1:15" x14ac:dyDescent="0.3">
      <c r="A293" s="16" t="s">
        <v>30</v>
      </c>
      <c r="B293" s="12" t="s">
        <v>30</v>
      </c>
      <c r="C293" s="12" t="s">
        <v>29</v>
      </c>
      <c r="D293" s="6">
        <f t="shared" si="8"/>
        <v>46</v>
      </c>
      <c r="E293">
        <v>6</v>
      </c>
      <c r="F293" s="6">
        <f>VLOOKUP($E293,Sheet3!$B$3:$D$54,2,0)</f>
        <v>2</v>
      </c>
      <c r="G293" s="6">
        <f>VLOOKUP($E293,Sheet3!$B$3:$G$54,3,0)</f>
        <v>0</v>
      </c>
      <c r="H293" s="5">
        <f>VLOOKUP($A293,Sheet3!$I$3:$J$38,2,0)</f>
        <v>29.53</v>
      </c>
      <c r="I293" s="6">
        <f>VLOOKUP($E293,Sheet3!$B$3:$G$54,5,0)</f>
        <v>137922</v>
      </c>
      <c r="J293" s="5">
        <f>VLOOKUP($E293,Sheet3!$B$3:$G$54,4,0)</f>
        <v>3.15</v>
      </c>
      <c r="K293" s="5">
        <f>VLOOKUP($E293,Sheet3!$B$3:$G$54,6,0)</f>
        <v>1.6</v>
      </c>
      <c r="L293">
        <v>384</v>
      </c>
      <c r="M293">
        <v>0</v>
      </c>
      <c r="N293">
        <v>12</v>
      </c>
      <c r="O293" s="14">
        <f t="shared" si="9"/>
        <v>0</v>
      </c>
    </row>
    <row r="294" spans="1:15" x14ac:dyDescent="0.3">
      <c r="A294" s="16" t="s">
        <v>30</v>
      </c>
      <c r="B294" s="12" t="s">
        <v>30</v>
      </c>
      <c r="C294" s="12" t="s">
        <v>29</v>
      </c>
      <c r="D294" s="6">
        <f t="shared" si="8"/>
        <v>46</v>
      </c>
      <c r="E294">
        <v>7</v>
      </c>
      <c r="F294" s="6">
        <f>VLOOKUP($E294,Sheet3!$B$3:$D$54,2,0)</f>
        <v>2</v>
      </c>
      <c r="G294" s="6">
        <f>VLOOKUP($E294,Sheet3!$B$3:$G$54,3,0)</f>
        <v>0</v>
      </c>
      <c r="H294" s="5">
        <f>VLOOKUP($A294,Sheet3!$I$3:$J$38,2,0)</f>
        <v>29.53</v>
      </c>
      <c r="I294" s="6">
        <f>VLOOKUP($E294,Sheet3!$B$3:$G$54,5,0)</f>
        <v>137922</v>
      </c>
      <c r="J294" s="5">
        <f>VLOOKUP($E294,Sheet3!$B$3:$G$54,4,0)</f>
        <v>3.15</v>
      </c>
      <c r="K294" s="5">
        <f>VLOOKUP($E294,Sheet3!$B$3:$G$54,6,0)</f>
        <v>1.6</v>
      </c>
      <c r="L294">
        <v>456</v>
      </c>
      <c r="M294">
        <v>72</v>
      </c>
      <c r="N294">
        <v>13</v>
      </c>
      <c r="O294" s="14">
        <f t="shared" si="9"/>
        <v>0.15789473684210525</v>
      </c>
    </row>
    <row r="295" spans="1:15" x14ac:dyDescent="0.3">
      <c r="A295" s="16" t="s">
        <v>30</v>
      </c>
      <c r="B295" s="12" t="s">
        <v>30</v>
      </c>
      <c r="C295" s="12" t="s">
        <v>29</v>
      </c>
      <c r="D295" s="6">
        <f t="shared" si="8"/>
        <v>46</v>
      </c>
      <c r="E295">
        <v>8</v>
      </c>
      <c r="F295" s="6">
        <f>VLOOKUP($E295,Sheet3!$B$3:$D$54,2,0)</f>
        <v>2</v>
      </c>
      <c r="G295" s="6">
        <f>VLOOKUP($E295,Sheet3!$B$3:$G$54,3,0)</f>
        <v>0</v>
      </c>
      <c r="H295" s="5">
        <f>VLOOKUP($A295,Sheet3!$I$3:$J$38,2,0)</f>
        <v>29.53</v>
      </c>
      <c r="I295" s="6">
        <f>VLOOKUP($E295,Sheet3!$B$3:$G$54,5,0)</f>
        <v>137922</v>
      </c>
      <c r="J295" s="5">
        <f>VLOOKUP($E295,Sheet3!$B$3:$G$54,4,0)</f>
        <v>3.15</v>
      </c>
      <c r="K295" s="5">
        <f>VLOOKUP($E295,Sheet3!$B$3:$G$54,6,0)</f>
        <v>1.6</v>
      </c>
      <c r="L295">
        <v>504</v>
      </c>
      <c r="M295">
        <v>312</v>
      </c>
      <c r="N295">
        <v>14</v>
      </c>
      <c r="O295" s="14">
        <f t="shared" si="9"/>
        <v>0.61904761904761907</v>
      </c>
    </row>
    <row r="296" spans="1:15" x14ac:dyDescent="0.3">
      <c r="A296" s="16" t="s">
        <v>30</v>
      </c>
      <c r="B296" s="12" t="s">
        <v>30</v>
      </c>
      <c r="C296" s="12" t="s">
        <v>29</v>
      </c>
      <c r="D296" s="6">
        <f t="shared" si="8"/>
        <v>46</v>
      </c>
      <c r="E296">
        <v>9</v>
      </c>
      <c r="F296" s="6">
        <f>VLOOKUP($E296,Sheet3!$B$3:$D$54,2,0)</f>
        <v>2</v>
      </c>
      <c r="G296" s="6">
        <f>VLOOKUP($E296,Sheet3!$B$3:$G$54,3,0)</f>
        <v>0</v>
      </c>
      <c r="H296" s="5">
        <f>VLOOKUP($A296,Sheet3!$I$3:$J$38,2,0)</f>
        <v>29.53</v>
      </c>
      <c r="I296" s="6">
        <f>VLOOKUP($E296,Sheet3!$B$3:$G$54,5,0)</f>
        <v>137922</v>
      </c>
      <c r="J296" s="5">
        <f>VLOOKUP($E296,Sheet3!$B$3:$G$54,4,0)</f>
        <v>3.15</v>
      </c>
      <c r="K296" s="5">
        <f>VLOOKUP($E296,Sheet3!$B$3:$G$54,6,0)</f>
        <v>1.6</v>
      </c>
      <c r="L296">
        <v>600</v>
      </c>
      <c r="M296">
        <v>0</v>
      </c>
      <c r="N296">
        <v>15</v>
      </c>
      <c r="O296" s="14">
        <f t="shared" si="9"/>
        <v>0</v>
      </c>
    </row>
    <row r="297" spans="1:15" x14ac:dyDescent="0.3">
      <c r="A297" s="16" t="s">
        <v>30</v>
      </c>
      <c r="B297" s="12" t="s">
        <v>30</v>
      </c>
      <c r="C297" s="12" t="s">
        <v>29</v>
      </c>
      <c r="D297" s="6">
        <f t="shared" si="8"/>
        <v>51</v>
      </c>
      <c r="E297">
        <v>10</v>
      </c>
      <c r="F297" s="6">
        <f>VLOOKUP($E297,Sheet3!$B$3:$D$54,2,0)</f>
        <v>3</v>
      </c>
      <c r="G297" s="6">
        <f>VLOOKUP($E297,Sheet3!$B$3:$G$54,3,0)</f>
        <v>0</v>
      </c>
      <c r="H297" s="5">
        <f>VLOOKUP($A297,Sheet3!$I$3:$J$38,2,0)</f>
        <v>29.53</v>
      </c>
      <c r="I297" s="6">
        <f>VLOOKUP($E297,Sheet3!$B$3:$G$54,5,0)</f>
        <v>172223</v>
      </c>
      <c r="J297" s="5">
        <f>VLOOKUP($E297,Sheet3!$B$3:$G$54,4,0)</f>
        <v>3.15</v>
      </c>
      <c r="K297" s="5">
        <f>VLOOKUP($E297,Sheet3!$B$3:$G$54,6,0)</f>
        <v>1.9</v>
      </c>
      <c r="L297">
        <v>96</v>
      </c>
      <c r="M297">
        <v>0</v>
      </c>
      <c r="N297">
        <v>11</v>
      </c>
      <c r="O297" s="14">
        <f t="shared" si="9"/>
        <v>0</v>
      </c>
    </row>
    <row r="298" spans="1:15" x14ac:dyDescent="0.3">
      <c r="A298" s="16" t="s">
        <v>30</v>
      </c>
      <c r="B298" s="12" t="s">
        <v>30</v>
      </c>
      <c r="C298" s="12" t="s">
        <v>29</v>
      </c>
      <c r="D298" s="6">
        <f t="shared" si="8"/>
        <v>51</v>
      </c>
      <c r="E298">
        <v>11</v>
      </c>
      <c r="F298" s="6">
        <f>VLOOKUP($E298,Sheet3!$B$3:$D$54,2,0)</f>
        <v>3</v>
      </c>
      <c r="G298" s="6">
        <f>VLOOKUP($E298,Sheet3!$B$3:$G$54,3,0)</f>
        <v>0</v>
      </c>
      <c r="H298" s="5">
        <f>VLOOKUP($A298,Sheet3!$I$3:$J$38,2,0)</f>
        <v>29.53</v>
      </c>
      <c r="I298" s="6">
        <f>VLOOKUP($E298,Sheet3!$B$3:$G$54,5,0)</f>
        <v>172223</v>
      </c>
      <c r="J298" s="5">
        <f>VLOOKUP($E298,Sheet3!$B$3:$G$54,4,0)</f>
        <v>2.9</v>
      </c>
      <c r="K298" s="5">
        <f>VLOOKUP($E298,Sheet3!$B$3:$G$54,6,0)</f>
        <v>1.9</v>
      </c>
      <c r="L298">
        <v>192</v>
      </c>
      <c r="M298">
        <v>24</v>
      </c>
      <c r="N298">
        <v>12</v>
      </c>
      <c r="O298" s="14">
        <f t="shared" si="9"/>
        <v>0.125</v>
      </c>
    </row>
    <row r="299" spans="1:15" x14ac:dyDescent="0.3">
      <c r="A299" s="16" t="s">
        <v>30</v>
      </c>
      <c r="B299" s="12" t="s">
        <v>30</v>
      </c>
      <c r="C299" s="12" t="s">
        <v>29</v>
      </c>
      <c r="D299" s="6">
        <f t="shared" si="8"/>
        <v>51</v>
      </c>
      <c r="E299">
        <v>12</v>
      </c>
      <c r="F299" s="6">
        <f>VLOOKUP($E299,Sheet3!$B$3:$D$54,2,0)</f>
        <v>3</v>
      </c>
      <c r="G299" s="6">
        <f>VLOOKUP($E299,Sheet3!$B$3:$G$54,3,0)</f>
        <v>0</v>
      </c>
      <c r="H299" s="5">
        <f>VLOOKUP($A299,Sheet3!$I$3:$J$38,2,0)</f>
        <v>29.53</v>
      </c>
      <c r="I299" s="6">
        <f>VLOOKUP($E299,Sheet3!$B$3:$G$54,5,0)</f>
        <v>172223</v>
      </c>
      <c r="J299" s="5">
        <f>VLOOKUP($E299,Sheet3!$B$3:$G$54,4,0)</f>
        <v>2.9</v>
      </c>
      <c r="K299" s="5">
        <f>VLOOKUP($E299,Sheet3!$B$3:$G$54,6,0)</f>
        <v>1.9</v>
      </c>
      <c r="L299">
        <v>240</v>
      </c>
      <c r="M299">
        <v>24</v>
      </c>
      <c r="N299">
        <v>13</v>
      </c>
      <c r="O299" s="14">
        <f t="shared" si="9"/>
        <v>0.1</v>
      </c>
    </row>
    <row r="300" spans="1:15" x14ac:dyDescent="0.3">
      <c r="A300" s="16" t="s">
        <v>30</v>
      </c>
      <c r="B300" s="12" t="s">
        <v>30</v>
      </c>
      <c r="C300" s="12" t="s">
        <v>29</v>
      </c>
      <c r="D300" s="6">
        <f t="shared" si="8"/>
        <v>51</v>
      </c>
      <c r="E300">
        <v>13</v>
      </c>
      <c r="F300" s="6">
        <f>VLOOKUP($E300,Sheet3!$B$3:$D$54,2,0)</f>
        <v>3</v>
      </c>
      <c r="G300" s="6">
        <f>VLOOKUP($E300,Sheet3!$B$3:$G$54,3,0)</f>
        <v>0</v>
      </c>
      <c r="H300" s="5">
        <f>VLOOKUP($A300,Sheet3!$I$3:$J$38,2,0)</f>
        <v>29.53</v>
      </c>
      <c r="I300" s="6">
        <f>VLOOKUP($E300,Sheet3!$B$3:$G$54,5,0)</f>
        <v>172223</v>
      </c>
      <c r="J300" s="5">
        <f>VLOOKUP($E300,Sheet3!$B$3:$G$54,4,0)</f>
        <v>2.9</v>
      </c>
      <c r="K300" s="5">
        <f>VLOOKUP($E300,Sheet3!$B$3:$G$54,6,0)</f>
        <v>1.9</v>
      </c>
      <c r="L300">
        <v>336</v>
      </c>
      <c r="M300">
        <v>72</v>
      </c>
      <c r="N300">
        <v>14</v>
      </c>
      <c r="O300" s="14">
        <f t="shared" si="9"/>
        <v>0.21428571428571427</v>
      </c>
    </row>
    <row r="301" spans="1:15" x14ac:dyDescent="0.3">
      <c r="A301" s="16" t="s">
        <v>30</v>
      </c>
      <c r="B301" s="12" t="s">
        <v>30</v>
      </c>
      <c r="C301" s="12" t="s">
        <v>29</v>
      </c>
      <c r="D301" s="6">
        <f t="shared" si="8"/>
        <v>51</v>
      </c>
      <c r="E301">
        <v>14</v>
      </c>
      <c r="F301" s="6">
        <f>VLOOKUP($E301,Sheet3!$B$3:$D$54,2,0)</f>
        <v>3</v>
      </c>
      <c r="G301" s="6">
        <f>VLOOKUP($E301,Sheet3!$B$3:$G$54,3,0)</f>
        <v>0</v>
      </c>
      <c r="H301" s="5">
        <f>VLOOKUP($A301,Sheet3!$I$3:$J$38,2,0)</f>
        <v>29.53</v>
      </c>
      <c r="I301" s="6">
        <f>VLOOKUP($E301,Sheet3!$B$3:$G$54,5,0)</f>
        <v>172223</v>
      </c>
      <c r="J301" s="5">
        <f>VLOOKUP($E301,Sheet3!$B$3:$G$54,4,0)</f>
        <v>2.9</v>
      </c>
      <c r="K301" s="5">
        <f>VLOOKUP($E301,Sheet3!$B$3:$G$54,6,0)</f>
        <v>1.9</v>
      </c>
      <c r="L301">
        <v>288</v>
      </c>
      <c r="M301">
        <v>144</v>
      </c>
      <c r="N301">
        <v>15</v>
      </c>
      <c r="O301" s="14">
        <f t="shared" si="9"/>
        <v>0.5</v>
      </c>
    </row>
    <row r="302" spans="1:15" x14ac:dyDescent="0.3">
      <c r="A302" s="16" t="s">
        <v>30</v>
      </c>
      <c r="B302" s="12" t="s">
        <v>30</v>
      </c>
      <c r="C302" s="12" t="s">
        <v>29</v>
      </c>
      <c r="D302" s="6">
        <f t="shared" si="8"/>
        <v>4</v>
      </c>
      <c r="E302">
        <v>15</v>
      </c>
      <c r="F302" s="6">
        <f>VLOOKUP($E302,Sheet3!$B$3:$D$54,2,0)</f>
        <v>4</v>
      </c>
      <c r="G302" s="6">
        <f>VLOOKUP($E302,Sheet3!$B$3:$G$54,3,0)</f>
        <v>0</v>
      </c>
      <c r="H302" s="5">
        <f>VLOOKUP($A302,Sheet3!$I$3:$J$38,2,0)</f>
        <v>29.53</v>
      </c>
      <c r="I302" s="6">
        <f>VLOOKUP($E302,Sheet3!$B$3:$G$54,5,0)</f>
        <v>139084</v>
      </c>
      <c r="J302" s="5">
        <f>VLOOKUP($E302,Sheet3!$B$3:$G$54,4,0)</f>
        <v>2.9</v>
      </c>
      <c r="K302" s="5">
        <f>VLOOKUP($E302,Sheet3!$B$3:$G$54,6,0)</f>
        <v>1.9</v>
      </c>
      <c r="L302">
        <v>120</v>
      </c>
      <c r="M302">
        <v>216</v>
      </c>
      <c r="N302">
        <v>11</v>
      </c>
      <c r="O302" s="14">
        <f t="shared" si="9"/>
        <v>1.8</v>
      </c>
    </row>
    <row r="303" spans="1:15" x14ac:dyDescent="0.3">
      <c r="A303" s="16" t="s">
        <v>30</v>
      </c>
      <c r="B303" s="12" t="s">
        <v>30</v>
      </c>
      <c r="C303" s="12" t="s">
        <v>29</v>
      </c>
      <c r="D303" s="6">
        <f t="shared" si="8"/>
        <v>4</v>
      </c>
      <c r="E303">
        <v>16</v>
      </c>
      <c r="F303" s="6">
        <f>VLOOKUP($E303,Sheet3!$B$3:$D$54,2,0)</f>
        <v>4</v>
      </c>
      <c r="G303" s="6">
        <f>VLOOKUP($E303,Sheet3!$B$3:$G$54,3,0)</f>
        <v>0</v>
      </c>
      <c r="H303" s="5">
        <f>VLOOKUP($A303,Sheet3!$I$3:$J$38,2,0)</f>
        <v>29.53</v>
      </c>
      <c r="I303" s="6">
        <f>VLOOKUP($E303,Sheet3!$B$3:$G$54,5,0)</f>
        <v>139084</v>
      </c>
      <c r="J303" s="5">
        <f>VLOOKUP($E303,Sheet3!$B$3:$G$54,4,0)</f>
        <v>2.9</v>
      </c>
      <c r="K303" s="5">
        <f>VLOOKUP($E303,Sheet3!$B$3:$G$54,6,0)</f>
        <v>1.9</v>
      </c>
      <c r="L303">
        <v>48</v>
      </c>
      <c r="M303">
        <v>72</v>
      </c>
      <c r="N303">
        <v>12</v>
      </c>
      <c r="O303" s="14">
        <f t="shared" si="9"/>
        <v>1.5</v>
      </c>
    </row>
    <row r="304" spans="1:15" x14ac:dyDescent="0.3">
      <c r="A304" s="16" t="s">
        <v>30</v>
      </c>
      <c r="B304" s="12" t="s">
        <v>30</v>
      </c>
      <c r="C304" s="12" t="s">
        <v>29</v>
      </c>
      <c r="D304" s="6">
        <f t="shared" si="8"/>
        <v>4</v>
      </c>
      <c r="E304">
        <v>17</v>
      </c>
      <c r="F304" s="6">
        <f>VLOOKUP($E304,Sheet3!$B$3:$D$54,2,0)</f>
        <v>4</v>
      </c>
      <c r="G304" s="6">
        <f>VLOOKUP($E304,Sheet3!$B$3:$G$54,3,0)</f>
        <v>1</v>
      </c>
      <c r="H304" s="5">
        <f>VLOOKUP($A304,Sheet3!$I$3:$J$38,2,0)</f>
        <v>29.53</v>
      </c>
      <c r="I304" s="6">
        <f>VLOOKUP($E304,Sheet3!$B$3:$G$54,5,0)</f>
        <v>139084</v>
      </c>
      <c r="J304" s="5">
        <f>VLOOKUP($E304,Sheet3!$B$3:$G$54,4,0)</f>
        <v>2.65</v>
      </c>
      <c r="K304" s="5">
        <f>VLOOKUP($E304,Sheet3!$B$3:$G$54,6,0)</f>
        <v>1.9</v>
      </c>
      <c r="L304">
        <v>0</v>
      </c>
      <c r="M304">
        <v>48</v>
      </c>
      <c r="N304">
        <v>13</v>
      </c>
      <c r="O304" s="14" t="e">
        <f t="shared" si="9"/>
        <v>#DIV/0!</v>
      </c>
    </row>
    <row r="305" spans="1:15" x14ac:dyDescent="0.3">
      <c r="A305" s="16" t="s">
        <v>30</v>
      </c>
      <c r="B305" s="12" t="s">
        <v>30</v>
      </c>
      <c r="C305" s="12" t="s">
        <v>29</v>
      </c>
      <c r="D305" s="6">
        <f t="shared" si="8"/>
        <v>5</v>
      </c>
      <c r="E305">
        <v>18</v>
      </c>
      <c r="F305" s="6">
        <f>VLOOKUP($E305,Sheet3!$B$3:$D$54,2,0)</f>
        <v>4</v>
      </c>
      <c r="G305" s="6">
        <f>VLOOKUP($E305,Sheet3!$B$3:$G$54,3,0)</f>
        <v>1</v>
      </c>
      <c r="H305" s="5">
        <f>VLOOKUP($A305,Sheet3!$I$3:$J$38,2,0)</f>
        <v>29.53</v>
      </c>
      <c r="I305" s="6">
        <f>VLOOKUP($E305,Sheet3!$B$3:$G$54,5,0)</f>
        <v>139084</v>
      </c>
      <c r="J305" s="5">
        <f>VLOOKUP($E305,Sheet3!$B$3:$G$54,4,0)</f>
        <v>2.65</v>
      </c>
      <c r="K305" s="5">
        <f>VLOOKUP($E305,Sheet3!$B$3:$G$54,6,0)</f>
        <v>1.9</v>
      </c>
      <c r="L305">
        <v>192</v>
      </c>
      <c r="M305">
        <v>72</v>
      </c>
      <c r="N305">
        <v>13</v>
      </c>
      <c r="O305" s="14">
        <f t="shared" si="9"/>
        <v>0.375</v>
      </c>
    </row>
    <row r="306" spans="1:15" x14ac:dyDescent="0.3">
      <c r="A306" s="16" t="s">
        <v>30</v>
      </c>
      <c r="B306" s="12" t="s">
        <v>30</v>
      </c>
      <c r="C306" s="12" t="s">
        <v>29</v>
      </c>
      <c r="D306" s="6">
        <f t="shared" si="8"/>
        <v>7</v>
      </c>
      <c r="E306">
        <v>19</v>
      </c>
      <c r="F306" s="6">
        <f>VLOOKUP($E306,Sheet3!$B$3:$D$54,2,0)</f>
        <v>5</v>
      </c>
      <c r="G306" s="6">
        <f>VLOOKUP($E306,Sheet3!$B$3:$G$54,3,0)</f>
        <v>0</v>
      </c>
      <c r="H306" s="5">
        <f>VLOOKUP($A306,Sheet3!$I$3:$J$38,2,0)</f>
        <v>29.53</v>
      </c>
      <c r="I306" s="6">
        <f>VLOOKUP($E306,Sheet3!$B$3:$G$54,5,0)</f>
        <v>139390</v>
      </c>
      <c r="J306" s="5">
        <f>VLOOKUP($E306,Sheet3!$B$3:$G$54,4,0)</f>
        <v>2.65</v>
      </c>
      <c r="K306" s="5">
        <f>VLOOKUP($E306,Sheet3!$B$3:$G$54,6,0)</f>
        <v>1.6</v>
      </c>
      <c r="L306">
        <v>120</v>
      </c>
      <c r="M306">
        <v>144</v>
      </c>
      <c r="N306">
        <v>12</v>
      </c>
      <c r="O306" s="14">
        <f t="shared" si="9"/>
        <v>1.2</v>
      </c>
    </row>
    <row r="307" spans="1:15" x14ac:dyDescent="0.3">
      <c r="A307" s="16" t="s">
        <v>30</v>
      </c>
      <c r="B307" s="12" t="s">
        <v>30</v>
      </c>
      <c r="C307" s="12" t="s">
        <v>29</v>
      </c>
      <c r="D307" s="6">
        <f t="shared" si="8"/>
        <v>7</v>
      </c>
      <c r="E307">
        <v>20</v>
      </c>
      <c r="F307" s="6">
        <f>VLOOKUP($E307,Sheet3!$B$3:$D$54,2,0)</f>
        <v>5</v>
      </c>
      <c r="G307" s="6">
        <f>VLOOKUP($E307,Sheet3!$B$3:$G$54,3,0)</f>
        <v>0</v>
      </c>
      <c r="H307" s="5">
        <f>VLOOKUP($A307,Sheet3!$I$3:$J$38,2,0)</f>
        <v>29.53</v>
      </c>
      <c r="I307" s="6">
        <f>VLOOKUP($E307,Sheet3!$B$3:$G$54,5,0)</f>
        <v>139390</v>
      </c>
      <c r="J307" s="5">
        <f>VLOOKUP($E307,Sheet3!$B$3:$G$54,4,0)</f>
        <v>2.65</v>
      </c>
      <c r="K307" s="5">
        <f>VLOOKUP($E307,Sheet3!$B$3:$G$54,6,0)</f>
        <v>1.6</v>
      </c>
      <c r="L307">
        <v>216</v>
      </c>
      <c r="M307">
        <v>96</v>
      </c>
      <c r="N307">
        <v>13</v>
      </c>
      <c r="O307" s="14">
        <f t="shared" si="9"/>
        <v>0.44444444444444442</v>
      </c>
    </row>
    <row r="308" spans="1:15" x14ac:dyDescent="0.3">
      <c r="A308" s="16" t="s">
        <v>30</v>
      </c>
      <c r="B308" s="12" t="s">
        <v>30</v>
      </c>
      <c r="C308" s="12" t="s">
        <v>29</v>
      </c>
      <c r="D308" s="6">
        <f t="shared" si="8"/>
        <v>7</v>
      </c>
      <c r="E308">
        <v>21</v>
      </c>
      <c r="F308" s="6">
        <f>VLOOKUP($E308,Sheet3!$B$3:$D$54,2,0)</f>
        <v>5</v>
      </c>
      <c r="G308" s="6">
        <f>VLOOKUP($E308,Sheet3!$B$3:$G$54,3,0)</f>
        <v>0</v>
      </c>
      <c r="H308" s="5">
        <f>VLOOKUP($A308,Sheet3!$I$3:$J$38,2,0)</f>
        <v>29.53</v>
      </c>
      <c r="I308" s="6">
        <f>VLOOKUP($E308,Sheet3!$B$3:$G$54,5,0)</f>
        <v>139390</v>
      </c>
      <c r="J308" s="5">
        <f>VLOOKUP($E308,Sheet3!$B$3:$G$54,4,0)</f>
        <v>2.65</v>
      </c>
      <c r="K308" s="5">
        <f>VLOOKUP($E308,Sheet3!$B$3:$G$54,6,0)</f>
        <v>1.6</v>
      </c>
      <c r="L308">
        <v>264</v>
      </c>
      <c r="M308">
        <v>168</v>
      </c>
      <c r="N308">
        <v>14</v>
      </c>
      <c r="O308" s="14">
        <f t="shared" si="9"/>
        <v>0.63636363636363635</v>
      </c>
    </row>
    <row r="309" spans="1:15" x14ac:dyDescent="0.3">
      <c r="A309" s="16" t="s">
        <v>30</v>
      </c>
      <c r="B309" s="12" t="s">
        <v>30</v>
      </c>
      <c r="C309" s="12" t="s">
        <v>29</v>
      </c>
      <c r="D309" s="6">
        <f t="shared" si="8"/>
        <v>7</v>
      </c>
      <c r="E309">
        <v>22</v>
      </c>
      <c r="F309" s="6">
        <f>VLOOKUP($E309,Sheet3!$B$3:$D$54,2,0)</f>
        <v>5</v>
      </c>
      <c r="G309" s="6">
        <f>VLOOKUP($E309,Sheet3!$B$3:$G$54,3,0)</f>
        <v>0</v>
      </c>
      <c r="H309" s="5">
        <f>VLOOKUP($A309,Sheet3!$I$3:$J$38,2,0)</f>
        <v>29.53</v>
      </c>
      <c r="I309" s="6">
        <f>VLOOKUP($E309,Sheet3!$B$3:$G$54,5,0)</f>
        <v>139390</v>
      </c>
      <c r="J309" s="5">
        <f>VLOOKUP($E309,Sheet3!$B$3:$G$54,4,0)</f>
        <v>2.65</v>
      </c>
      <c r="K309" s="5">
        <f>VLOOKUP($E309,Sheet3!$B$3:$G$54,6,0)</f>
        <v>1.6</v>
      </c>
      <c r="L309">
        <v>432</v>
      </c>
      <c r="M309">
        <v>264</v>
      </c>
      <c r="N309">
        <v>15</v>
      </c>
      <c r="O309" s="14">
        <f t="shared" si="9"/>
        <v>0.61111111111111116</v>
      </c>
    </row>
    <row r="310" spans="1:15" x14ac:dyDescent="0.3">
      <c r="A310" s="16" t="s">
        <v>30</v>
      </c>
      <c r="B310" s="12" t="s">
        <v>30</v>
      </c>
      <c r="C310" s="12" t="s">
        <v>29</v>
      </c>
      <c r="D310" s="6">
        <f t="shared" si="8"/>
        <v>12</v>
      </c>
      <c r="E310">
        <v>23</v>
      </c>
      <c r="F310" s="6">
        <f>VLOOKUP($E310,Sheet3!$B$3:$D$54,2,0)</f>
        <v>5</v>
      </c>
      <c r="G310" s="6">
        <f>VLOOKUP($E310,Sheet3!$B$3:$G$54,3,0)</f>
        <v>1</v>
      </c>
      <c r="H310" s="5">
        <f>VLOOKUP($A310,Sheet3!$I$3:$J$38,2,0)</f>
        <v>29.53</v>
      </c>
      <c r="I310" s="6">
        <f>VLOOKUP($E310,Sheet3!$B$3:$G$54,5,0)</f>
        <v>139390</v>
      </c>
      <c r="J310" s="5">
        <f>VLOOKUP($E310,Sheet3!$B$3:$G$54,4,0)</f>
        <v>2.4</v>
      </c>
      <c r="K310" s="5">
        <f>VLOOKUP($E310,Sheet3!$B$3:$G$54,6,0)</f>
        <v>1.6</v>
      </c>
      <c r="L310">
        <v>0</v>
      </c>
      <c r="M310">
        <v>0</v>
      </c>
      <c r="N310">
        <v>11</v>
      </c>
      <c r="O310" s="14" t="e">
        <f t="shared" si="9"/>
        <v>#DIV/0!</v>
      </c>
    </row>
    <row r="311" spans="1:15" x14ac:dyDescent="0.3">
      <c r="A311" s="16" t="s">
        <v>30</v>
      </c>
      <c r="B311" s="12" t="s">
        <v>30</v>
      </c>
      <c r="C311" s="12" t="s">
        <v>29</v>
      </c>
      <c r="D311" s="6">
        <f t="shared" si="8"/>
        <v>12</v>
      </c>
      <c r="E311">
        <v>24</v>
      </c>
      <c r="F311" s="6">
        <f>VLOOKUP($E311,Sheet3!$B$3:$D$54,2,0)</f>
        <v>6</v>
      </c>
      <c r="G311" s="6">
        <f>VLOOKUP($E311,Sheet3!$B$3:$G$54,3,0)</f>
        <v>0</v>
      </c>
      <c r="H311" s="5">
        <f>VLOOKUP($A311,Sheet3!$I$3:$J$38,2,0)</f>
        <v>29.53</v>
      </c>
      <c r="I311" s="6">
        <f>VLOOKUP($E311,Sheet3!$B$3:$G$54,5,0)</f>
        <v>132191</v>
      </c>
      <c r="J311" s="5">
        <f>VLOOKUP($E311,Sheet3!$B$3:$G$54,4,0)</f>
        <v>2.4</v>
      </c>
      <c r="K311" s="5">
        <f>VLOOKUP($E311,Sheet3!$B$3:$G$54,6,0)</f>
        <v>1.7</v>
      </c>
      <c r="L311">
        <v>0</v>
      </c>
      <c r="M311">
        <v>120</v>
      </c>
      <c r="N311">
        <v>12</v>
      </c>
      <c r="O311" s="14" t="e">
        <f t="shared" si="9"/>
        <v>#DIV/0!</v>
      </c>
    </row>
    <row r="312" spans="1:15" x14ac:dyDescent="0.3">
      <c r="A312" s="16" t="s">
        <v>30</v>
      </c>
      <c r="B312" s="12" t="s">
        <v>30</v>
      </c>
      <c r="C312" s="12" t="s">
        <v>29</v>
      </c>
      <c r="D312" s="6">
        <f t="shared" si="8"/>
        <v>12</v>
      </c>
      <c r="E312">
        <v>25</v>
      </c>
      <c r="F312" s="6">
        <f>VLOOKUP($E312,Sheet3!$B$3:$D$54,2,0)</f>
        <v>6</v>
      </c>
      <c r="G312" s="6">
        <f>VLOOKUP($E312,Sheet3!$B$3:$G$54,3,0)</f>
        <v>0</v>
      </c>
      <c r="H312" s="5">
        <f>VLOOKUP($A312,Sheet3!$I$3:$J$38,2,0)</f>
        <v>29.53</v>
      </c>
      <c r="I312" s="6">
        <f>VLOOKUP($E312,Sheet3!$B$3:$G$54,5,0)</f>
        <v>132191</v>
      </c>
      <c r="J312" s="5">
        <f>VLOOKUP($E312,Sheet3!$B$3:$G$54,4,0)</f>
        <v>2.4</v>
      </c>
      <c r="K312" s="5">
        <f>VLOOKUP($E312,Sheet3!$B$3:$G$54,6,0)</f>
        <v>1.7</v>
      </c>
      <c r="L312">
        <v>264</v>
      </c>
      <c r="M312">
        <v>0</v>
      </c>
      <c r="N312">
        <v>13</v>
      </c>
      <c r="O312" s="14">
        <f t="shared" si="9"/>
        <v>0</v>
      </c>
    </row>
    <row r="313" spans="1:15" x14ac:dyDescent="0.3">
      <c r="A313" s="16" t="s">
        <v>30</v>
      </c>
      <c r="B313" s="12" t="s">
        <v>30</v>
      </c>
      <c r="C313" s="12" t="s">
        <v>29</v>
      </c>
      <c r="D313" s="6">
        <f t="shared" si="8"/>
        <v>12</v>
      </c>
      <c r="E313">
        <v>26</v>
      </c>
      <c r="F313" s="6">
        <f>VLOOKUP($E313,Sheet3!$B$3:$D$54,2,0)</f>
        <v>6</v>
      </c>
      <c r="G313" s="6">
        <f>VLOOKUP($E313,Sheet3!$B$3:$G$54,3,0)</f>
        <v>0</v>
      </c>
      <c r="H313" s="5">
        <f>VLOOKUP($A313,Sheet3!$I$3:$J$38,2,0)</f>
        <v>29.53</v>
      </c>
      <c r="I313" s="6">
        <f>VLOOKUP($E313,Sheet3!$B$3:$G$54,5,0)</f>
        <v>132191</v>
      </c>
      <c r="J313" s="5">
        <f>VLOOKUP($E313,Sheet3!$B$3:$G$54,4,0)</f>
        <v>2.4</v>
      </c>
      <c r="K313" s="5">
        <f>VLOOKUP($E313,Sheet3!$B$3:$G$54,6,0)</f>
        <v>1.7</v>
      </c>
      <c r="L313">
        <v>408</v>
      </c>
      <c r="M313">
        <v>240</v>
      </c>
      <c r="N313">
        <v>14</v>
      </c>
      <c r="O313" s="14">
        <f t="shared" si="9"/>
        <v>0.58823529411764708</v>
      </c>
    </row>
    <row r="314" spans="1:15" x14ac:dyDescent="0.3">
      <c r="A314" s="16" t="s">
        <v>34</v>
      </c>
      <c r="B314" s="12" t="s">
        <v>30</v>
      </c>
      <c r="C314" s="12" t="s">
        <v>29</v>
      </c>
      <c r="D314" s="6">
        <f t="shared" si="8"/>
        <v>12</v>
      </c>
      <c r="E314">
        <v>27</v>
      </c>
      <c r="F314" s="6">
        <f>VLOOKUP($E314,Sheet3!$B$3:$D$54,2,0)</f>
        <v>7</v>
      </c>
      <c r="G314" s="6">
        <f>VLOOKUP($E314,Sheet3!$B$3:$G$54,3,0)</f>
        <v>0</v>
      </c>
      <c r="H314" s="5">
        <f>VLOOKUP($A314,Sheet3!$I$3:$J$38,2,0)</f>
        <v>29.17</v>
      </c>
      <c r="I314" s="6">
        <f>VLOOKUP($E314,Sheet3!$B$3:$G$54,5,0)</f>
        <v>124806</v>
      </c>
      <c r="J314" s="5">
        <f>VLOOKUP($E314,Sheet3!$B$3:$G$54,4,0)</f>
        <v>4.5</v>
      </c>
      <c r="K314" s="5">
        <f>VLOOKUP($E314,Sheet3!$B$3:$G$54,6,0)</f>
        <v>1.3</v>
      </c>
      <c r="L314">
        <v>1701</v>
      </c>
      <c r="M314">
        <v>792</v>
      </c>
      <c r="N314">
        <v>15</v>
      </c>
      <c r="O314" s="14">
        <f t="shared" si="9"/>
        <v>0.46560846560846558</v>
      </c>
    </row>
    <row r="315" spans="1:15" x14ac:dyDescent="0.3">
      <c r="A315" s="16" t="s">
        <v>34</v>
      </c>
      <c r="B315" s="12" t="s">
        <v>30</v>
      </c>
      <c r="C315" s="12" t="s">
        <v>29</v>
      </c>
      <c r="D315" s="6">
        <f t="shared" si="8"/>
        <v>12</v>
      </c>
      <c r="E315">
        <v>28</v>
      </c>
      <c r="F315" s="6">
        <f>VLOOKUP($E315,Sheet3!$B$3:$D$54,2,0)</f>
        <v>7</v>
      </c>
      <c r="G315" s="6">
        <f>VLOOKUP($E315,Sheet3!$B$3:$G$54,3,0)</f>
        <v>0</v>
      </c>
      <c r="H315" s="5">
        <f>VLOOKUP($A315,Sheet3!$I$3:$J$38,2,0)</f>
        <v>29.17</v>
      </c>
      <c r="I315" s="6">
        <f>VLOOKUP($E315,Sheet3!$B$3:$G$54,5,0)</f>
        <v>124806</v>
      </c>
      <c r="J315" s="5">
        <f>VLOOKUP($E315,Sheet3!$B$3:$G$54,4,0)</f>
        <v>4.5</v>
      </c>
      <c r="K315" s="5">
        <f>VLOOKUP($E315,Sheet3!$B$3:$G$54,6,0)</f>
        <v>1.3</v>
      </c>
      <c r="L315">
        <v>1884</v>
      </c>
      <c r="M315">
        <v>1176</v>
      </c>
      <c r="N315">
        <v>16</v>
      </c>
      <c r="O315" s="14">
        <f t="shared" si="9"/>
        <v>0.62420382165605093</v>
      </c>
    </row>
    <row r="316" spans="1:15" x14ac:dyDescent="0.3">
      <c r="A316" s="16" t="s">
        <v>34</v>
      </c>
      <c r="B316" s="12" t="s">
        <v>30</v>
      </c>
      <c r="C316" s="12" t="s">
        <v>29</v>
      </c>
      <c r="D316" s="6">
        <f t="shared" si="8"/>
        <v>12</v>
      </c>
      <c r="E316">
        <v>29</v>
      </c>
      <c r="F316" s="6">
        <f>VLOOKUP($E316,Sheet3!$B$3:$D$54,2,0)</f>
        <v>7</v>
      </c>
      <c r="G316" s="6">
        <f>VLOOKUP($E316,Sheet3!$B$3:$G$54,3,0)</f>
        <v>0</v>
      </c>
      <c r="H316" s="5">
        <f>VLOOKUP($A316,Sheet3!$I$3:$J$38,2,0)</f>
        <v>29.17</v>
      </c>
      <c r="I316" s="6">
        <f>VLOOKUP($E316,Sheet3!$B$3:$G$54,5,0)</f>
        <v>124806</v>
      </c>
      <c r="J316" s="5">
        <f>VLOOKUP($E316,Sheet3!$B$3:$G$54,4,0)</f>
        <v>4.5</v>
      </c>
      <c r="K316" s="5">
        <f>VLOOKUP($E316,Sheet3!$B$3:$G$54,6,0)</f>
        <v>1.3</v>
      </c>
      <c r="L316">
        <v>2205</v>
      </c>
      <c r="M316">
        <v>0</v>
      </c>
      <c r="N316">
        <v>17</v>
      </c>
      <c r="O316" s="14">
        <f t="shared" si="9"/>
        <v>0</v>
      </c>
    </row>
    <row r="317" spans="1:15" x14ac:dyDescent="0.3">
      <c r="A317" s="16" t="s">
        <v>34</v>
      </c>
      <c r="B317" s="12" t="s">
        <v>30</v>
      </c>
      <c r="C317" s="12" t="s">
        <v>29</v>
      </c>
      <c r="D317" s="6">
        <f t="shared" ref="D317:D379" si="10">IF(E317-N317&lt;0,E317-N317+52,E317-N317)</f>
        <v>12</v>
      </c>
      <c r="E317">
        <v>30</v>
      </c>
      <c r="F317" s="6">
        <f>VLOOKUP($E317,Sheet3!$B$3:$D$54,2,0)</f>
        <v>7</v>
      </c>
      <c r="G317" s="6">
        <f>VLOOKUP($E317,Sheet3!$B$3:$G$54,3,0)</f>
        <v>0</v>
      </c>
      <c r="H317" s="5">
        <f>VLOOKUP($A317,Sheet3!$I$3:$J$38,2,0)</f>
        <v>29.17</v>
      </c>
      <c r="I317" s="6">
        <f>VLOOKUP($E317,Sheet3!$B$3:$G$54,5,0)</f>
        <v>124806</v>
      </c>
      <c r="J317" s="5">
        <f>VLOOKUP($E317,Sheet3!$B$3:$G$54,4,0)</f>
        <v>4.5</v>
      </c>
      <c r="K317" s="5">
        <f>VLOOKUP($E317,Sheet3!$B$3:$G$54,6,0)</f>
        <v>1.3</v>
      </c>
      <c r="L317">
        <v>1949</v>
      </c>
      <c r="M317">
        <v>1392</v>
      </c>
      <c r="N317">
        <v>18</v>
      </c>
      <c r="O317" s="14">
        <f t="shared" ref="O317:O379" si="11">M317/L317</f>
        <v>0.71421241662390966</v>
      </c>
    </row>
    <row r="318" spans="1:15" x14ac:dyDescent="0.3">
      <c r="A318" s="16" t="s">
        <v>34</v>
      </c>
      <c r="B318" s="12" t="s">
        <v>30</v>
      </c>
      <c r="C318" s="12" t="s">
        <v>29</v>
      </c>
      <c r="D318" s="6">
        <f t="shared" si="10"/>
        <v>12</v>
      </c>
      <c r="E318">
        <v>31</v>
      </c>
      <c r="F318" s="6">
        <f>VLOOKUP($E318,Sheet3!$B$3:$D$54,2,0)</f>
        <v>7</v>
      </c>
      <c r="G318" s="6">
        <f>VLOOKUP($E318,Sheet3!$B$3:$G$54,3,0)</f>
        <v>0</v>
      </c>
      <c r="H318" s="5">
        <f>VLOOKUP($A318,Sheet3!$I$3:$J$38,2,0)</f>
        <v>29.17</v>
      </c>
      <c r="I318" s="6">
        <f>VLOOKUP($E318,Sheet3!$B$3:$G$54,5,0)</f>
        <v>124806</v>
      </c>
      <c r="J318" s="5">
        <f>VLOOKUP($E318,Sheet3!$B$3:$G$54,4,0)</f>
        <v>4.5</v>
      </c>
      <c r="K318" s="5">
        <f>VLOOKUP($E318,Sheet3!$B$3:$G$54,6,0)</f>
        <v>1.3</v>
      </c>
      <c r="L318">
        <v>2279</v>
      </c>
      <c r="M318">
        <v>696</v>
      </c>
      <c r="N318">
        <v>19</v>
      </c>
      <c r="O318" s="14">
        <f t="shared" si="11"/>
        <v>0.30539710399297937</v>
      </c>
    </row>
    <row r="319" spans="1:15" x14ac:dyDescent="0.3">
      <c r="A319" s="16" t="s">
        <v>34</v>
      </c>
      <c r="B319" s="12" t="s">
        <v>30</v>
      </c>
      <c r="C319" s="12" t="s">
        <v>29</v>
      </c>
      <c r="D319" s="6">
        <f t="shared" si="10"/>
        <v>13</v>
      </c>
      <c r="E319">
        <v>32</v>
      </c>
      <c r="F319" s="6">
        <f>VLOOKUP($E319,Sheet3!$B$3:$D$54,2,0)</f>
        <v>8</v>
      </c>
      <c r="G319" s="6">
        <f>VLOOKUP($E319,Sheet3!$B$3:$G$54,3,0)</f>
        <v>1</v>
      </c>
      <c r="H319" s="5">
        <f>VLOOKUP($A319,Sheet3!$I$3:$J$38,2,0)</f>
        <v>29.17</v>
      </c>
      <c r="I319" s="6">
        <f>VLOOKUP($E319,Sheet3!$B$3:$G$54,5,0)</f>
        <v>69121</v>
      </c>
      <c r="J319" s="5">
        <f>VLOOKUP($E319,Sheet3!$B$3:$G$54,4,0)</f>
        <v>4.5</v>
      </c>
      <c r="K319" s="5">
        <f>VLOOKUP($E319,Sheet3!$B$3:$G$54,6,0)</f>
        <v>1.1000000000000001</v>
      </c>
      <c r="L319">
        <v>0</v>
      </c>
      <c r="M319">
        <v>0</v>
      </c>
      <c r="N319">
        <v>19</v>
      </c>
      <c r="O319" s="14" t="e">
        <f t="shared" si="11"/>
        <v>#DIV/0!</v>
      </c>
    </row>
    <row r="320" spans="1:15" x14ac:dyDescent="0.3">
      <c r="A320" s="16" t="s">
        <v>34</v>
      </c>
      <c r="B320" s="12" t="s">
        <v>30</v>
      </c>
      <c r="C320" s="12" t="s">
        <v>29</v>
      </c>
      <c r="D320" s="6">
        <f t="shared" si="10"/>
        <v>14</v>
      </c>
      <c r="E320">
        <v>33</v>
      </c>
      <c r="F320" s="6">
        <f>VLOOKUP($E320,Sheet3!$B$3:$D$54,2,0)</f>
        <v>8</v>
      </c>
      <c r="G320" s="6">
        <f>VLOOKUP($E320,Sheet3!$B$3:$G$54,3,0)</f>
        <v>1</v>
      </c>
      <c r="H320" s="5">
        <f>VLOOKUP($A320,Sheet3!$I$3:$J$38,2,0)</f>
        <v>29.17</v>
      </c>
      <c r="I320" s="6">
        <f>VLOOKUP($E320,Sheet3!$B$3:$G$54,5,0)</f>
        <v>69121</v>
      </c>
      <c r="J320" s="5">
        <f>VLOOKUP($E320,Sheet3!$B$3:$G$54,4,0)</f>
        <v>4.5</v>
      </c>
      <c r="K320" s="5">
        <f>VLOOKUP($E320,Sheet3!$B$3:$G$54,6,0)</f>
        <v>1.1000000000000001</v>
      </c>
      <c r="L320">
        <v>0</v>
      </c>
      <c r="M320">
        <v>0</v>
      </c>
      <c r="N320">
        <v>19</v>
      </c>
      <c r="O320" s="14" t="e">
        <f t="shared" si="11"/>
        <v>#DIV/0!</v>
      </c>
    </row>
    <row r="321" spans="1:15" x14ac:dyDescent="0.3">
      <c r="A321" s="16" t="s">
        <v>34</v>
      </c>
      <c r="B321" s="12" t="s">
        <v>30</v>
      </c>
      <c r="C321" s="12" t="s">
        <v>29</v>
      </c>
      <c r="D321" s="6">
        <f t="shared" si="10"/>
        <v>15</v>
      </c>
      <c r="E321">
        <v>34</v>
      </c>
      <c r="F321" s="6">
        <f>VLOOKUP($E321,Sheet3!$B$3:$D$54,2,0)</f>
        <v>8</v>
      </c>
      <c r="G321" s="6">
        <f>VLOOKUP($E321,Sheet3!$B$3:$G$54,3,0)</f>
        <v>0</v>
      </c>
      <c r="H321" s="5">
        <f>VLOOKUP($A321,Sheet3!$I$3:$J$38,2,0)</f>
        <v>29.17</v>
      </c>
      <c r="I321" s="6">
        <f>VLOOKUP($E321,Sheet3!$B$3:$G$54,5,0)</f>
        <v>69121</v>
      </c>
      <c r="J321" s="5">
        <f>VLOOKUP($E321,Sheet3!$B$3:$G$54,4,0)</f>
        <v>4.5</v>
      </c>
      <c r="K321" s="5">
        <f>VLOOKUP($E321,Sheet3!$B$3:$G$54,6,0)</f>
        <v>1.1000000000000001</v>
      </c>
      <c r="L321">
        <v>2280</v>
      </c>
      <c r="M321">
        <v>1368</v>
      </c>
      <c r="N321">
        <v>19</v>
      </c>
      <c r="O321" s="14">
        <f t="shared" si="11"/>
        <v>0.6</v>
      </c>
    </row>
    <row r="322" spans="1:15" x14ac:dyDescent="0.3">
      <c r="A322" s="16" t="s">
        <v>34</v>
      </c>
      <c r="B322" s="12" t="s">
        <v>30</v>
      </c>
      <c r="C322" s="12" t="s">
        <v>29</v>
      </c>
      <c r="D322" s="6">
        <f t="shared" si="10"/>
        <v>14</v>
      </c>
      <c r="E322">
        <v>35</v>
      </c>
      <c r="F322" s="6">
        <f>VLOOKUP($E322,Sheet3!$B$3:$D$54,2,0)</f>
        <v>8</v>
      </c>
      <c r="G322" s="6">
        <f>VLOOKUP($E322,Sheet3!$B$3:$G$54,3,0)</f>
        <v>0</v>
      </c>
      <c r="H322" s="5">
        <f>VLOOKUP($A322,Sheet3!$I$3:$J$38,2,0)</f>
        <v>29.17</v>
      </c>
      <c r="I322" s="6">
        <f>VLOOKUP($E322,Sheet3!$B$3:$G$54,5,0)</f>
        <v>69121</v>
      </c>
      <c r="J322" s="5">
        <f>VLOOKUP($E322,Sheet3!$B$3:$G$54,4,0)</f>
        <v>4.5</v>
      </c>
      <c r="K322" s="5">
        <f>VLOOKUP($E322,Sheet3!$B$3:$G$54,6,0)</f>
        <v>1.1000000000000001</v>
      </c>
      <c r="L322">
        <v>2424</v>
      </c>
      <c r="M322">
        <v>1296</v>
      </c>
      <c r="N322">
        <v>21</v>
      </c>
      <c r="O322" s="14">
        <f t="shared" si="11"/>
        <v>0.53465346534653468</v>
      </c>
    </row>
    <row r="323" spans="1:15" x14ac:dyDescent="0.3">
      <c r="A323" s="16" t="s">
        <v>34</v>
      </c>
      <c r="B323" s="12" t="s">
        <v>30</v>
      </c>
      <c r="C323" s="12" t="s">
        <v>29</v>
      </c>
      <c r="D323" s="6">
        <f t="shared" si="10"/>
        <v>22</v>
      </c>
      <c r="E323">
        <v>36</v>
      </c>
      <c r="F323" s="6">
        <f>VLOOKUP($E323,Sheet3!$B$3:$D$54,2,0)</f>
        <v>9</v>
      </c>
      <c r="G323" s="6">
        <f>VLOOKUP($E323,Sheet3!$B$3:$G$54,3,0)</f>
        <v>0</v>
      </c>
      <c r="H323" s="5">
        <f>VLOOKUP($A323,Sheet3!$I$3:$J$38,2,0)</f>
        <v>29.17</v>
      </c>
      <c r="I323" s="6">
        <f>VLOOKUP($E323,Sheet3!$B$3:$G$54,5,0)</f>
        <v>121666</v>
      </c>
      <c r="J323" s="5">
        <f>VLOOKUP($E323,Sheet3!$B$3:$G$54,4,0)</f>
        <v>4.5</v>
      </c>
      <c r="K323" s="5">
        <f>VLOOKUP($E323,Sheet3!$B$3:$G$54,6,0)</f>
        <v>0.7</v>
      </c>
      <c r="L323">
        <v>1960</v>
      </c>
      <c r="M323">
        <v>1248</v>
      </c>
      <c r="N323">
        <v>14</v>
      </c>
      <c r="O323" s="14">
        <f t="shared" si="11"/>
        <v>0.63673469387755099</v>
      </c>
    </row>
    <row r="324" spans="1:15" x14ac:dyDescent="0.3">
      <c r="A324" s="16" t="s">
        <v>34</v>
      </c>
      <c r="B324" s="12" t="s">
        <v>30</v>
      </c>
      <c r="C324" s="12" t="s">
        <v>29</v>
      </c>
      <c r="D324" s="6">
        <f t="shared" si="10"/>
        <v>22</v>
      </c>
      <c r="E324">
        <v>37</v>
      </c>
      <c r="F324" s="6">
        <f>VLOOKUP($E324,Sheet3!$B$3:$D$54,2,0)</f>
        <v>9</v>
      </c>
      <c r="G324" s="6">
        <f>VLOOKUP($E324,Sheet3!$B$3:$G$54,3,0)</f>
        <v>0</v>
      </c>
      <c r="H324" s="5">
        <f>VLOOKUP($A324,Sheet3!$I$3:$J$38,2,0)</f>
        <v>29.17</v>
      </c>
      <c r="I324" s="6">
        <f>VLOOKUP($E324,Sheet3!$B$3:$G$54,5,0)</f>
        <v>121666</v>
      </c>
      <c r="J324" s="5">
        <f>VLOOKUP($E324,Sheet3!$B$3:$G$54,4,0)</f>
        <v>4.5</v>
      </c>
      <c r="K324" s="5">
        <f>VLOOKUP($E324,Sheet3!$B$3:$G$54,6,0)</f>
        <v>0.7</v>
      </c>
      <c r="L324">
        <v>2369</v>
      </c>
      <c r="M324">
        <v>1176</v>
      </c>
      <c r="N324">
        <v>15</v>
      </c>
      <c r="O324" s="14">
        <f t="shared" si="11"/>
        <v>0.49641198818066695</v>
      </c>
    </row>
    <row r="325" spans="1:15" x14ac:dyDescent="0.3">
      <c r="A325" s="16" t="s">
        <v>34</v>
      </c>
      <c r="B325" s="12" t="s">
        <v>30</v>
      </c>
      <c r="C325" s="12" t="s">
        <v>29</v>
      </c>
      <c r="D325" s="6">
        <f t="shared" si="10"/>
        <v>22</v>
      </c>
      <c r="E325">
        <v>38</v>
      </c>
      <c r="F325" s="6">
        <f>VLOOKUP($E325,Sheet3!$B$3:$D$54,2,0)</f>
        <v>9</v>
      </c>
      <c r="G325" s="6">
        <f>VLOOKUP($E325,Sheet3!$B$3:$G$54,3,0)</f>
        <v>0</v>
      </c>
      <c r="H325" s="5">
        <f>VLOOKUP($A325,Sheet3!$I$3:$J$38,2,0)</f>
        <v>29.17</v>
      </c>
      <c r="I325" s="6">
        <f>VLOOKUP($E325,Sheet3!$B$3:$G$54,5,0)</f>
        <v>121666</v>
      </c>
      <c r="J325" s="5">
        <f>VLOOKUP($E325,Sheet3!$B$3:$G$54,4,0)</f>
        <v>3.9</v>
      </c>
      <c r="K325" s="5">
        <f>VLOOKUP($E325,Sheet3!$B$3:$G$54,6,0)</f>
        <v>0.7</v>
      </c>
      <c r="L325">
        <v>2058</v>
      </c>
      <c r="M325">
        <v>1656</v>
      </c>
      <c r="N325">
        <v>16</v>
      </c>
      <c r="O325" s="14">
        <f t="shared" si="11"/>
        <v>0.80466472303206993</v>
      </c>
    </row>
    <row r="326" spans="1:15" x14ac:dyDescent="0.3">
      <c r="A326" s="16" t="s">
        <v>34</v>
      </c>
      <c r="B326" s="12" t="s">
        <v>30</v>
      </c>
      <c r="C326" s="12" t="s">
        <v>29</v>
      </c>
      <c r="D326" s="6">
        <f t="shared" si="10"/>
        <v>22</v>
      </c>
      <c r="E326">
        <v>39</v>
      </c>
      <c r="F326" s="6">
        <f>VLOOKUP($E326,Sheet3!$B$3:$D$54,2,0)</f>
        <v>9</v>
      </c>
      <c r="G326" s="6">
        <f>VLOOKUP($E326,Sheet3!$B$3:$G$54,3,0)</f>
        <v>0</v>
      </c>
      <c r="H326" s="5">
        <f>VLOOKUP($A326,Sheet3!$I$3:$J$38,2,0)</f>
        <v>29.17</v>
      </c>
      <c r="I326" s="6">
        <f>VLOOKUP($E326,Sheet3!$B$3:$G$54,5,0)</f>
        <v>121666</v>
      </c>
      <c r="J326" s="5">
        <f>VLOOKUP($E326,Sheet3!$B$3:$G$54,4,0)</f>
        <v>3.9</v>
      </c>
      <c r="K326" s="5">
        <f>VLOOKUP($E326,Sheet3!$B$3:$G$54,6,0)</f>
        <v>0.7</v>
      </c>
      <c r="L326">
        <v>1710</v>
      </c>
      <c r="M326">
        <v>1176</v>
      </c>
      <c r="N326">
        <v>17</v>
      </c>
      <c r="O326" s="14">
        <f t="shared" si="11"/>
        <v>0.68771929824561406</v>
      </c>
    </row>
    <row r="327" spans="1:15" x14ac:dyDescent="0.3">
      <c r="A327" s="16" t="s">
        <v>34</v>
      </c>
      <c r="B327" s="12" t="s">
        <v>30</v>
      </c>
      <c r="C327" s="12" t="s">
        <v>29</v>
      </c>
      <c r="D327" s="6">
        <f t="shared" si="10"/>
        <v>26</v>
      </c>
      <c r="E327">
        <v>40</v>
      </c>
      <c r="F327" s="6">
        <f>VLOOKUP($E327,Sheet3!$B$3:$D$54,2,0)</f>
        <v>9</v>
      </c>
      <c r="G327" s="6">
        <f>VLOOKUP($E327,Sheet3!$B$3:$G$54,3,0)</f>
        <v>0</v>
      </c>
      <c r="H327" s="5">
        <f>VLOOKUP($A327,Sheet3!$I$3:$J$38,2,0)</f>
        <v>29.17</v>
      </c>
      <c r="I327" s="6">
        <f>VLOOKUP($E327,Sheet3!$B$3:$G$54,5,0)</f>
        <v>121666</v>
      </c>
      <c r="J327" s="5">
        <f>VLOOKUP($E327,Sheet3!$B$3:$G$54,4,0)</f>
        <v>3.9</v>
      </c>
      <c r="K327" s="5">
        <f>VLOOKUP($E327,Sheet3!$B$3:$G$54,6,0)</f>
        <v>0.7</v>
      </c>
      <c r="L327">
        <v>1550</v>
      </c>
      <c r="M327">
        <v>1584</v>
      </c>
      <c r="N327">
        <v>14</v>
      </c>
      <c r="O327" s="14">
        <f t="shared" si="11"/>
        <v>1.0219354838709678</v>
      </c>
    </row>
    <row r="328" spans="1:15" x14ac:dyDescent="0.3">
      <c r="A328" s="16" t="s">
        <v>34</v>
      </c>
      <c r="B328" s="12" t="s">
        <v>30</v>
      </c>
      <c r="C328" s="12" t="s">
        <v>29</v>
      </c>
      <c r="D328" s="6">
        <f t="shared" si="10"/>
        <v>26</v>
      </c>
      <c r="E328">
        <v>41</v>
      </c>
      <c r="F328" s="6">
        <f>VLOOKUP($E328,Sheet3!$B$3:$D$54,2,0)</f>
        <v>10</v>
      </c>
      <c r="G328" s="6">
        <f>VLOOKUP($E328,Sheet3!$B$3:$G$54,3,0)</f>
        <v>0</v>
      </c>
      <c r="H328" s="5">
        <f>VLOOKUP($A328,Sheet3!$I$3:$J$38,2,0)</f>
        <v>29.17</v>
      </c>
      <c r="I328" s="6">
        <f>VLOOKUP($E328,Sheet3!$B$3:$G$54,5,0)</f>
        <v>126488</v>
      </c>
      <c r="J328" s="5">
        <f>VLOOKUP($E328,Sheet3!$B$3:$G$54,4,0)</f>
        <v>3.9</v>
      </c>
      <c r="K328" s="5">
        <f>VLOOKUP($E328,Sheet3!$B$3:$G$54,6,0)</f>
        <v>0.9</v>
      </c>
      <c r="L328">
        <v>1192</v>
      </c>
      <c r="M328">
        <v>648</v>
      </c>
      <c r="N328">
        <v>15</v>
      </c>
      <c r="O328" s="14">
        <f t="shared" si="11"/>
        <v>0.5436241610738255</v>
      </c>
    </row>
    <row r="329" spans="1:15" x14ac:dyDescent="0.3">
      <c r="A329" s="16" t="s">
        <v>34</v>
      </c>
      <c r="B329" s="12" t="s">
        <v>30</v>
      </c>
      <c r="C329" s="12" t="s">
        <v>29</v>
      </c>
      <c r="D329" s="6">
        <f t="shared" si="10"/>
        <v>26</v>
      </c>
      <c r="E329">
        <v>42</v>
      </c>
      <c r="F329" s="6">
        <f>VLOOKUP($E329,Sheet3!$B$3:$D$54,2,0)</f>
        <v>10</v>
      </c>
      <c r="G329" s="6">
        <f>VLOOKUP($E329,Sheet3!$B$3:$G$54,3,0)</f>
        <v>0</v>
      </c>
      <c r="H329" s="5">
        <f>VLOOKUP($A329,Sheet3!$I$3:$J$38,2,0)</f>
        <v>29.17</v>
      </c>
      <c r="I329" s="6">
        <f>VLOOKUP($E329,Sheet3!$B$3:$G$54,5,0)</f>
        <v>126488</v>
      </c>
      <c r="J329" s="5">
        <f>VLOOKUP($E329,Sheet3!$B$3:$G$54,4,0)</f>
        <v>3.9</v>
      </c>
      <c r="K329" s="5">
        <f>VLOOKUP($E329,Sheet3!$B$3:$G$54,6,0)</f>
        <v>0.9</v>
      </c>
      <c r="L329">
        <v>1809</v>
      </c>
      <c r="M329">
        <v>1896</v>
      </c>
      <c r="N329">
        <v>16</v>
      </c>
      <c r="O329" s="14">
        <f t="shared" si="11"/>
        <v>1.0480928689883913</v>
      </c>
    </row>
    <row r="330" spans="1:15" x14ac:dyDescent="0.3">
      <c r="A330" s="16" t="s">
        <v>34</v>
      </c>
      <c r="B330" s="12" t="s">
        <v>30</v>
      </c>
      <c r="C330" s="12" t="s">
        <v>29</v>
      </c>
      <c r="D330" s="6">
        <f t="shared" si="10"/>
        <v>26</v>
      </c>
      <c r="E330">
        <v>43</v>
      </c>
      <c r="F330" s="6">
        <f>VLOOKUP($E330,Sheet3!$B$3:$D$54,2,0)</f>
        <v>10</v>
      </c>
      <c r="G330" s="6">
        <f>VLOOKUP($E330,Sheet3!$B$3:$G$54,3,0)</f>
        <v>0</v>
      </c>
      <c r="H330" s="5">
        <f>VLOOKUP($A330,Sheet3!$I$3:$J$38,2,0)</f>
        <v>29.17</v>
      </c>
      <c r="I330" s="6">
        <f>VLOOKUP($E330,Sheet3!$B$3:$G$54,5,0)</f>
        <v>126488</v>
      </c>
      <c r="J330" s="5">
        <f>VLOOKUP($E330,Sheet3!$B$3:$G$54,4,0)</f>
        <v>3.65</v>
      </c>
      <c r="K330" s="5">
        <f>VLOOKUP($E330,Sheet3!$B$3:$G$54,6,0)</f>
        <v>0.9</v>
      </c>
      <c r="L330">
        <v>1487</v>
      </c>
      <c r="M330">
        <v>1440</v>
      </c>
      <c r="N330">
        <v>17</v>
      </c>
      <c r="O330" s="14">
        <f t="shared" si="11"/>
        <v>0.96839273705447204</v>
      </c>
    </row>
    <row r="331" spans="1:15" x14ac:dyDescent="0.3">
      <c r="A331" s="16" t="s">
        <v>34</v>
      </c>
      <c r="B331" s="12" t="s">
        <v>30</v>
      </c>
      <c r="C331" s="12" t="s">
        <v>29</v>
      </c>
      <c r="D331" s="6">
        <f t="shared" si="10"/>
        <v>26</v>
      </c>
      <c r="E331">
        <v>44</v>
      </c>
      <c r="F331" s="6">
        <f>VLOOKUP($E331,Sheet3!$B$3:$D$54,2,0)</f>
        <v>10</v>
      </c>
      <c r="G331" s="6">
        <f>VLOOKUP($E331,Sheet3!$B$3:$G$54,3,0)</f>
        <v>1</v>
      </c>
      <c r="H331" s="5">
        <f>VLOOKUP($A331,Sheet3!$I$3:$J$38,2,0)</f>
        <v>29.17</v>
      </c>
      <c r="I331" s="6">
        <f>VLOOKUP($E331,Sheet3!$B$3:$G$54,5,0)</f>
        <v>126488</v>
      </c>
      <c r="J331" s="5">
        <f>VLOOKUP($E331,Sheet3!$B$3:$G$54,4,0)</f>
        <v>3.65</v>
      </c>
      <c r="K331" s="5">
        <f>VLOOKUP($E331,Sheet3!$B$3:$G$54,6,0)</f>
        <v>0.9</v>
      </c>
      <c r="L331">
        <v>1236</v>
      </c>
      <c r="M331">
        <v>1560</v>
      </c>
      <c r="N331">
        <v>18</v>
      </c>
      <c r="O331" s="14">
        <f t="shared" si="11"/>
        <v>1.2621359223300972</v>
      </c>
    </row>
    <row r="332" spans="1:15" x14ac:dyDescent="0.3">
      <c r="A332" s="16" t="s">
        <v>34</v>
      </c>
      <c r="B332" s="12" t="s">
        <v>30</v>
      </c>
      <c r="C332" s="12" t="s">
        <v>29</v>
      </c>
      <c r="D332" s="6">
        <f t="shared" si="10"/>
        <v>33</v>
      </c>
      <c r="E332">
        <v>45</v>
      </c>
      <c r="F332" s="6">
        <f>VLOOKUP($E332,Sheet3!$B$3:$D$54,2,0)</f>
        <v>11</v>
      </c>
      <c r="G332" s="6">
        <f>VLOOKUP($E332,Sheet3!$B$3:$G$54,3,0)</f>
        <v>0</v>
      </c>
      <c r="H332" s="5">
        <f>VLOOKUP($A332,Sheet3!$I$3:$J$38,2,0)</f>
        <v>29.17</v>
      </c>
      <c r="I332" s="6">
        <f>VLOOKUP($E332,Sheet3!$B$3:$G$54,5,0)</f>
        <v>124251</v>
      </c>
      <c r="J332" s="5">
        <f>VLOOKUP($E332,Sheet3!$B$3:$G$54,4,0)</f>
        <v>3.65</v>
      </c>
      <c r="K332" s="5">
        <f>VLOOKUP($E332,Sheet3!$B$3:$G$54,6,0)</f>
        <v>1.3</v>
      </c>
      <c r="L332">
        <v>1992</v>
      </c>
      <c r="M332">
        <v>1968</v>
      </c>
      <c r="N332">
        <v>12</v>
      </c>
      <c r="O332" s="14">
        <f t="shared" si="11"/>
        <v>0.98795180722891562</v>
      </c>
    </row>
    <row r="333" spans="1:15" x14ac:dyDescent="0.3">
      <c r="A333" s="16" t="s">
        <v>34</v>
      </c>
      <c r="B333" s="12" t="s">
        <v>30</v>
      </c>
      <c r="C333" s="12" t="s">
        <v>29</v>
      </c>
      <c r="D333" s="6">
        <f t="shared" si="10"/>
        <v>33</v>
      </c>
      <c r="E333">
        <v>46</v>
      </c>
      <c r="F333" s="6">
        <f>VLOOKUP($E333,Sheet3!$B$3:$D$54,2,0)</f>
        <v>11</v>
      </c>
      <c r="G333" s="6">
        <f>VLOOKUP($E333,Sheet3!$B$3:$G$54,3,0)</f>
        <v>0</v>
      </c>
      <c r="H333" s="5">
        <f>VLOOKUP($A333,Sheet3!$I$3:$J$38,2,0)</f>
        <v>29.17</v>
      </c>
      <c r="I333" s="6">
        <f>VLOOKUP($E333,Sheet3!$B$3:$G$54,5,0)</f>
        <v>124251</v>
      </c>
      <c r="J333" s="5">
        <f>VLOOKUP($E333,Sheet3!$B$3:$G$54,4,0)</f>
        <v>3.65</v>
      </c>
      <c r="K333" s="5">
        <f>VLOOKUP($E333,Sheet3!$B$3:$G$54,6,0)</f>
        <v>1.3</v>
      </c>
      <c r="L333">
        <v>1752</v>
      </c>
      <c r="M333">
        <v>1656</v>
      </c>
      <c r="N333">
        <v>13</v>
      </c>
      <c r="O333" s="14">
        <f t="shared" si="11"/>
        <v>0.9452054794520548</v>
      </c>
    </row>
    <row r="334" spans="1:15" x14ac:dyDescent="0.3">
      <c r="A334" s="16" t="s">
        <v>34</v>
      </c>
      <c r="B334" s="12" t="s">
        <v>30</v>
      </c>
      <c r="C334" s="12" t="s">
        <v>29</v>
      </c>
      <c r="D334" s="6">
        <f t="shared" si="10"/>
        <v>33</v>
      </c>
      <c r="E334">
        <v>47</v>
      </c>
      <c r="F334" s="6">
        <f>VLOOKUP($E334,Sheet3!$B$3:$D$54,2,0)</f>
        <v>11</v>
      </c>
      <c r="G334" s="6">
        <f>VLOOKUP($E334,Sheet3!$B$3:$G$54,3,0)</f>
        <v>0</v>
      </c>
      <c r="H334" s="5">
        <f>VLOOKUP($A334,Sheet3!$I$3:$J$38,2,0)</f>
        <v>29.17</v>
      </c>
      <c r="I334" s="6">
        <f>VLOOKUP($E334,Sheet3!$B$3:$G$54,5,0)</f>
        <v>124251</v>
      </c>
      <c r="J334" s="5">
        <f>VLOOKUP($E334,Sheet3!$B$3:$G$54,4,0)</f>
        <v>3.65</v>
      </c>
      <c r="K334" s="5">
        <f>VLOOKUP($E334,Sheet3!$B$3:$G$54,6,0)</f>
        <v>1.3</v>
      </c>
      <c r="L334">
        <v>1584</v>
      </c>
      <c r="M334">
        <v>1296</v>
      </c>
      <c r="N334">
        <v>14</v>
      </c>
      <c r="O334" s="14">
        <f t="shared" si="11"/>
        <v>0.81818181818181823</v>
      </c>
    </row>
    <row r="335" spans="1:15" x14ac:dyDescent="0.3">
      <c r="A335" s="16" t="s">
        <v>34</v>
      </c>
      <c r="B335" s="12" t="s">
        <v>30</v>
      </c>
      <c r="C335" s="12" t="s">
        <v>29</v>
      </c>
      <c r="D335" s="6">
        <f t="shared" si="10"/>
        <v>33</v>
      </c>
      <c r="E335">
        <v>48</v>
      </c>
      <c r="F335" s="6">
        <f>VLOOKUP($E335,Sheet3!$B$3:$D$54,2,0)</f>
        <v>11</v>
      </c>
      <c r="G335" s="6">
        <f>VLOOKUP($E335,Sheet3!$B$3:$G$54,3,0)</f>
        <v>0</v>
      </c>
      <c r="H335" s="5">
        <f>VLOOKUP($A335,Sheet3!$I$3:$J$38,2,0)</f>
        <v>29.17</v>
      </c>
      <c r="I335" s="6">
        <f>VLOOKUP($E335,Sheet3!$B$3:$G$54,5,0)</f>
        <v>124251</v>
      </c>
      <c r="J335" s="5">
        <f>VLOOKUP($E335,Sheet3!$B$3:$G$54,4,0)</f>
        <v>3.65</v>
      </c>
      <c r="K335" s="5">
        <f>VLOOKUP($E335,Sheet3!$B$3:$G$54,6,0)</f>
        <v>1.3</v>
      </c>
      <c r="L335">
        <v>1584</v>
      </c>
      <c r="M335">
        <v>2064</v>
      </c>
      <c r="N335">
        <v>15</v>
      </c>
      <c r="O335" s="14">
        <f t="shared" si="11"/>
        <v>1.303030303030303</v>
      </c>
    </row>
    <row r="336" spans="1:15" x14ac:dyDescent="0.3">
      <c r="A336" s="16" t="s">
        <v>34</v>
      </c>
      <c r="B336" s="12" t="s">
        <v>30</v>
      </c>
      <c r="C336" s="12" t="s">
        <v>29</v>
      </c>
      <c r="D336" s="6">
        <f t="shared" si="10"/>
        <v>37</v>
      </c>
      <c r="E336">
        <v>49</v>
      </c>
      <c r="F336" s="6">
        <f>VLOOKUP($E336,Sheet3!$B$3:$D$54,2,0)</f>
        <v>12</v>
      </c>
      <c r="G336" s="6">
        <f>VLOOKUP($E336,Sheet3!$B$3:$G$54,3,0)</f>
        <v>1</v>
      </c>
      <c r="H336" s="5">
        <f>VLOOKUP($A336,Sheet3!$I$3:$J$38,2,0)</f>
        <v>29.17</v>
      </c>
      <c r="I336" s="6">
        <f>VLOOKUP($E336,Sheet3!$B$3:$G$54,5,0)</f>
        <v>105715</v>
      </c>
      <c r="J336" s="5">
        <f>VLOOKUP($E336,Sheet3!$B$3:$G$54,4,0)</f>
        <v>3.65</v>
      </c>
      <c r="K336" s="5">
        <f>VLOOKUP($E336,Sheet3!$B$3:$G$54,6,0)</f>
        <v>1.3</v>
      </c>
      <c r="L336">
        <v>1152</v>
      </c>
      <c r="M336">
        <v>2064</v>
      </c>
      <c r="N336">
        <v>12</v>
      </c>
      <c r="O336" s="14">
        <f t="shared" si="11"/>
        <v>1.7916666666666667</v>
      </c>
    </row>
    <row r="337" spans="1:15" x14ac:dyDescent="0.3">
      <c r="A337" s="16" t="s">
        <v>34</v>
      </c>
      <c r="B337" s="12" t="s">
        <v>30</v>
      </c>
      <c r="C337" s="12" t="s">
        <v>29</v>
      </c>
      <c r="D337" s="6">
        <f t="shared" si="10"/>
        <v>37</v>
      </c>
      <c r="E337">
        <v>50</v>
      </c>
      <c r="F337" s="6">
        <f>VLOOKUP($E337,Sheet3!$B$3:$D$54,2,0)</f>
        <v>12</v>
      </c>
      <c r="G337" s="6">
        <f>VLOOKUP($E337,Sheet3!$B$3:$G$54,3,0)</f>
        <v>0</v>
      </c>
      <c r="H337" s="5">
        <f>VLOOKUP($A337,Sheet3!$I$3:$J$38,2,0)</f>
        <v>29.17</v>
      </c>
      <c r="I337" s="6">
        <f>VLOOKUP($E337,Sheet3!$B$3:$G$54,5,0)</f>
        <v>105715</v>
      </c>
      <c r="J337" s="5">
        <f>VLOOKUP($E337,Sheet3!$B$3:$G$54,4,0)</f>
        <v>3.4</v>
      </c>
      <c r="K337" s="5">
        <f>VLOOKUP($E337,Sheet3!$B$3:$G$54,6,0)</f>
        <v>1.3</v>
      </c>
      <c r="L337">
        <v>2136</v>
      </c>
      <c r="M337">
        <v>1464</v>
      </c>
      <c r="N337">
        <v>13</v>
      </c>
      <c r="O337" s="14">
        <f t="shared" si="11"/>
        <v>0.6853932584269663</v>
      </c>
    </row>
    <row r="338" spans="1:15" x14ac:dyDescent="0.3">
      <c r="A338" s="16" t="s">
        <v>34</v>
      </c>
      <c r="B338" s="12" t="s">
        <v>30</v>
      </c>
      <c r="C338" s="12" t="s">
        <v>29</v>
      </c>
      <c r="D338" s="6">
        <f t="shared" si="10"/>
        <v>37</v>
      </c>
      <c r="E338">
        <v>51</v>
      </c>
      <c r="F338" s="6">
        <f>VLOOKUP($E338,Sheet3!$B$3:$D$54,2,0)</f>
        <v>12</v>
      </c>
      <c r="G338" s="6">
        <f>VLOOKUP($E338,Sheet3!$B$3:$G$54,3,0)</f>
        <v>0</v>
      </c>
      <c r="H338" s="5">
        <f>VLOOKUP($A338,Sheet3!$I$3:$J$38,2,0)</f>
        <v>29.17</v>
      </c>
      <c r="I338" s="6">
        <f>VLOOKUP($E338,Sheet3!$B$3:$G$54,5,0)</f>
        <v>105715</v>
      </c>
      <c r="J338" s="5">
        <f>VLOOKUP($E338,Sheet3!$B$3:$G$54,4,0)</f>
        <v>3.4</v>
      </c>
      <c r="K338" s="5">
        <f>VLOOKUP($E338,Sheet3!$B$3:$G$54,6,0)</f>
        <v>1.3</v>
      </c>
      <c r="L338">
        <v>1392</v>
      </c>
      <c r="M338">
        <v>552</v>
      </c>
      <c r="N338">
        <v>14</v>
      </c>
      <c r="O338" s="14">
        <f t="shared" si="11"/>
        <v>0.39655172413793105</v>
      </c>
    </row>
    <row r="339" spans="1:15" x14ac:dyDescent="0.3">
      <c r="A339" s="16" t="s">
        <v>34</v>
      </c>
      <c r="B339" s="12" t="s">
        <v>30</v>
      </c>
      <c r="C339" s="12" t="s">
        <v>29</v>
      </c>
      <c r="D339" s="6">
        <f t="shared" si="10"/>
        <v>44</v>
      </c>
      <c r="E339">
        <v>52</v>
      </c>
      <c r="F339" s="6">
        <f>VLOOKUP($E339,Sheet3!$B$3:$D$54,2,0)</f>
        <v>12</v>
      </c>
      <c r="G339" s="6">
        <f>VLOOKUP($E339,Sheet3!$B$3:$G$54,3,0)</f>
        <v>1</v>
      </c>
      <c r="H339" s="5">
        <f>VLOOKUP($A339,Sheet3!$I$3:$J$38,2,0)</f>
        <v>29.17</v>
      </c>
      <c r="I339" s="6">
        <f>VLOOKUP($E339,Sheet3!$B$3:$G$54,5,0)</f>
        <v>105715</v>
      </c>
      <c r="J339" s="5">
        <f>VLOOKUP($E339,Sheet3!$B$3:$G$54,4,0)</f>
        <v>3.4</v>
      </c>
      <c r="K339" s="5">
        <f>VLOOKUP($E339,Sheet3!$B$3:$G$54,6,0)</f>
        <v>1.3</v>
      </c>
      <c r="L339">
        <v>0</v>
      </c>
      <c r="M339">
        <v>0</v>
      </c>
      <c r="N339">
        <v>8</v>
      </c>
      <c r="O339" s="14" t="e">
        <f t="shared" si="11"/>
        <v>#DIV/0!</v>
      </c>
    </row>
    <row r="340" spans="1:15" x14ac:dyDescent="0.3">
      <c r="A340" s="16" t="s">
        <v>34</v>
      </c>
      <c r="B340" s="12" t="s">
        <v>30</v>
      </c>
      <c r="C340" s="12" t="s">
        <v>29</v>
      </c>
      <c r="D340" s="6">
        <f t="shared" si="10"/>
        <v>47</v>
      </c>
      <c r="E340">
        <v>1</v>
      </c>
      <c r="F340" s="6">
        <f>VLOOKUP($E340,Sheet3!$B$3:$D$54,2,0)</f>
        <v>12</v>
      </c>
      <c r="G340" s="6">
        <f>VLOOKUP($E340,Sheet3!$B$3:$G$54,3,0)</f>
        <v>1</v>
      </c>
      <c r="H340" s="5">
        <f>VLOOKUP($A340,Sheet3!$I$3:$J$38,2,0)</f>
        <v>29.17</v>
      </c>
      <c r="I340" s="6">
        <f>VLOOKUP($E340,Sheet3!$B$3:$G$54,5,0)</f>
        <v>105715</v>
      </c>
      <c r="J340" s="5">
        <f>VLOOKUP($E340,Sheet3!$B$3:$G$54,4,0)</f>
        <v>3.4</v>
      </c>
      <c r="K340" s="5">
        <f>VLOOKUP($E340,Sheet3!$B$3:$G$54,6,0)</f>
        <v>1.3</v>
      </c>
      <c r="L340">
        <v>0</v>
      </c>
      <c r="M340">
        <v>0</v>
      </c>
      <c r="N340">
        <v>6</v>
      </c>
      <c r="O340" s="14" t="e">
        <f t="shared" si="11"/>
        <v>#DIV/0!</v>
      </c>
    </row>
    <row r="341" spans="1:15" x14ac:dyDescent="0.3">
      <c r="A341" s="16" t="s">
        <v>34</v>
      </c>
      <c r="B341" s="12" t="s">
        <v>30</v>
      </c>
      <c r="C341" s="12" t="s">
        <v>29</v>
      </c>
      <c r="D341" s="6">
        <f t="shared" si="10"/>
        <v>41</v>
      </c>
      <c r="E341">
        <v>2</v>
      </c>
      <c r="F341" s="6">
        <f>VLOOKUP($E341,Sheet3!$B$3:$D$54,2,0)</f>
        <v>1</v>
      </c>
      <c r="G341" s="6">
        <f>VLOOKUP($E341,Sheet3!$B$3:$G$54,3,0)</f>
        <v>1</v>
      </c>
      <c r="H341" s="5">
        <f>VLOOKUP($A341,Sheet3!$I$3:$J$38,2,0)</f>
        <v>29.17</v>
      </c>
      <c r="I341" s="6">
        <f>VLOOKUP($E341,Sheet3!$B$3:$G$54,5,0)</f>
        <v>133692</v>
      </c>
      <c r="J341" s="5">
        <f>VLOOKUP($E341,Sheet3!$B$3:$G$54,4,0)</f>
        <v>3.4</v>
      </c>
      <c r="K341" s="5">
        <f>VLOOKUP($E341,Sheet3!$B$3:$G$54,6,0)</f>
        <v>1.5</v>
      </c>
      <c r="L341">
        <v>1416</v>
      </c>
      <c r="M341">
        <v>1536</v>
      </c>
      <c r="N341">
        <v>13</v>
      </c>
      <c r="O341" s="14">
        <f t="shared" si="11"/>
        <v>1.0847457627118644</v>
      </c>
    </row>
    <row r="342" spans="1:15" x14ac:dyDescent="0.3">
      <c r="A342" s="16" t="s">
        <v>34</v>
      </c>
      <c r="B342" s="12" t="s">
        <v>30</v>
      </c>
      <c r="C342" s="12" t="s">
        <v>29</v>
      </c>
      <c r="D342" s="6">
        <f t="shared" si="10"/>
        <v>41</v>
      </c>
      <c r="E342">
        <v>3</v>
      </c>
      <c r="F342" s="6">
        <f>VLOOKUP($E342,Sheet3!$B$3:$D$54,2,0)</f>
        <v>1</v>
      </c>
      <c r="G342" s="6">
        <f>VLOOKUP($E342,Sheet3!$B$3:$G$54,3,0)</f>
        <v>0</v>
      </c>
      <c r="H342" s="5">
        <f>VLOOKUP($A342,Sheet3!$I$3:$J$38,2,0)</f>
        <v>29.17</v>
      </c>
      <c r="I342" s="6">
        <f>VLOOKUP($E342,Sheet3!$B$3:$G$54,5,0)</f>
        <v>133692</v>
      </c>
      <c r="J342" s="5">
        <f>VLOOKUP($E342,Sheet3!$B$3:$G$54,4,0)</f>
        <v>3.4</v>
      </c>
      <c r="K342" s="5">
        <f>VLOOKUP($E342,Sheet3!$B$3:$G$54,6,0)</f>
        <v>1.5</v>
      </c>
      <c r="L342">
        <v>1584</v>
      </c>
      <c r="M342">
        <v>1680</v>
      </c>
      <c r="N342">
        <v>14</v>
      </c>
      <c r="O342" s="14">
        <f t="shared" si="11"/>
        <v>1.0606060606060606</v>
      </c>
    </row>
    <row r="343" spans="1:15" x14ac:dyDescent="0.3">
      <c r="A343" s="16" t="s">
        <v>34</v>
      </c>
      <c r="B343" s="12" t="s">
        <v>30</v>
      </c>
      <c r="C343" s="12" t="s">
        <v>29</v>
      </c>
      <c r="D343" s="6">
        <f t="shared" si="10"/>
        <v>41</v>
      </c>
      <c r="E343">
        <v>4</v>
      </c>
      <c r="F343" s="6">
        <f>VLOOKUP($E343,Sheet3!$B$3:$D$54,2,0)</f>
        <v>1</v>
      </c>
      <c r="G343" s="6">
        <f>VLOOKUP($E343,Sheet3!$B$3:$G$54,3,0)</f>
        <v>0</v>
      </c>
      <c r="H343" s="5">
        <f>VLOOKUP($A343,Sheet3!$I$3:$J$38,2,0)</f>
        <v>29.17</v>
      </c>
      <c r="I343" s="6">
        <f>VLOOKUP($E343,Sheet3!$B$3:$G$54,5,0)</f>
        <v>133692</v>
      </c>
      <c r="J343" s="5">
        <f>VLOOKUP($E343,Sheet3!$B$3:$G$54,4,0)</f>
        <v>3.4</v>
      </c>
      <c r="K343" s="5">
        <f>VLOOKUP($E343,Sheet3!$B$3:$G$54,6,0)</f>
        <v>1.5</v>
      </c>
      <c r="L343">
        <v>1608</v>
      </c>
      <c r="M343">
        <v>1800</v>
      </c>
      <c r="N343">
        <v>15</v>
      </c>
      <c r="O343" s="14">
        <f t="shared" si="11"/>
        <v>1.1194029850746268</v>
      </c>
    </row>
    <row r="344" spans="1:15" x14ac:dyDescent="0.3">
      <c r="A344" s="16" t="s">
        <v>34</v>
      </c>
      <c r="B344" s="12" t="s">
        <v>30</v>
      </c>
      <c r="C344" s="12" t="s">
        <v>29</v>
      </c>
      <c r="D344" s="6">
        <f t="shared" si="10"/>
        <v>41</v>
      </c>
      <c r="E344">
        <v>5</v>
      </c>
      <c r="F344" s="6">
        <f>VLOOKUP($E344,Sheet3!$B$3:$D$54,2,0)</f>
        <v>1</v>
      </c>
      <c r="G344" s="6">
        <f>VLOOKUP($E344,Sheet3!$B$3:$G$54,3,0)</f>
        <v>0</v>
      </c>
      <c r="H344" s="5">
        <f>VLOOKUP($A344,Sheet3!$I$3:$J$38,2,0)</f>
        <v>29.17</v>
      </c>
      <c r="I344" s="6">
        <f>VLOOKUP($E344,Sheet3!$B$3:$G$54,5,0)</f>
        <v>133692</v>
      </c>
      <c r="J344" s="5">
        <f>VLOOKUP($E344,Sheet3!$B$3:$G$54,4,0)</f>
        <v>3.4</v>
      </c>
      <c r="K344" s="5">
        <f>VLOOKUP($E344,Sheet3!$B$3:$G$54,6,0)</f>
        <v>1.5</v>
      </c>
      <c r="L344">
        <v>1512</v>
      </c>
      <c r="M344">
        <v>1752</v>
      </c>
      <c r="N344">
        <v>16</v>
      </c>
      <c r="O344" s="14">
        <f t="shared" si="11"/>
        <v>1.1587301587301588</v>
      </c>
    </row>
    <row r="345" spans="1:15" x14ac:dyDescent="0.3">
      <c r="A345" s="16" t="s">
        <v>34</v>
      </c>
      <c r="B345" s="12" t="s">
        <v>30</v>
      </c>
      <c r="C345" s="12" t="s">
        <v>29</v>
      </c>
      <c r="D345" s="6">
        <f t="shared" si="10"/>
        <v>46</v>
      </c>
      <c r="E345">
        <v>6</v>
      </c>
      <c r="F345" s="6">
        <f>VLOOKUP($E345,Sheet3!$B$3:$D$54,2,0)</f>
        <v>2</v>
      </c>
      <c r="G345" s="6">
        <f>VLOOKUP($E345,Sheet3!$B$3:$G$54,3,0)</f>
        <v>0</v>
      </c>
      <c r="H345" s="5">
        <f>VLOOKUP($A345,Sheet3!$I$3:$J$38,2,0)</f>
        <v>29.17</v>
      </c>
      <c r="I345" s="6">
        <f>VLOOKUP($E345,Sheet3!$B$3:$G$54,5,0)</f>
        <v>137922</v>
      </c>
      <c r="J345" s="5">
        <f>VLOOKUP($E345,Sheet3!$B$3:$G$54,4,0)</f>
        <v>3.15</v>
      </c>
      <c r="K345" s="5">
        <f>VLOOKUP($E345,Sheet3!$B$3:$G$54,6,0)</f>
        <v>1.6</v>
      </c>
      <c r="L345">
        <v>1896</v>
      </c>
      <c r="M345">
        <v>1608</v>
      </c>
      <c r="N345">
        <v>12</v>
      </c>
      <c r="O345" s="14">
        <f t="shared" si="11"/>
        <v>0.84810126582278478</v>
      </c>
    </row>
    <row r="346" spans="1:15" x14ac:dyDescent="0.3">
      <c r="A346" s="16" t="s">
        <v>34</v>
      </c>
      <c r="B346" s="12" t="s">
        <v>30</v>
      </c>
      <c r="C346" s="12" t="s">
        <v>29</v>
      </c>
      <c r="D346" s="6">
        <f t="shared" si="10"/>
        <v>46</v>
      </c>
      <c r="E346">
        <v>7</v>
      </c>
      <c r="F346" s="6">
        <f>VLOOKUP($E346,Sheet3!$B$3:$D$54,2,0)</f>
        <v>2</v>
      </c>
      <c r="G346" s="6">
        <f>VLOOKUP($E346,Sheet3!$B$3:$G$54,3,0)</f>
        <v>0</v>
      </c>
      <c r="H346" s="5">
        <f>VLOOKUP($A346,Sheet3!$I$3:$J$38,2,0)</f>
        <v>29.17</v>
      </c>
      <c r="I346" s="6">
        <f>VLOOKUP($E346,Sheet3!$B$3:$G$54,5,0)</f>
        <v>137922</v>
      </c>
      <c r="J346" s="5">
        <f>VLOOKUP($E346,Sheet3!$B$3:$G$54,4,0)</f>
        <v>3.15</v>
      </c>
      <c r="K346" s="5">
        <f>VLOOKUP($E346,Sheet3!$B$3:$G$54,6,0)</f>
        <v>1.6</v>
      </c>
      <c r="L346">
        <v>1896</v>
      </c>
      <c r="M346">
        <v>1848</v>
      </c>
      <c r="N346">
        <v>13</v>
      </c>
      <c r="O346" s="14">
        <f t="shared" si="11"/>
        <v>0.97468354430379744</v>
      </c>
    </row>
    <row r="347" spans="1:15" x14ac:dyDescent="0.3">
      <c r="A347" s="16" t="s">
        <v>34</v>
      </c>
      <c r="B347" s="12" t="s">
        <v>30</v>
      </c>
      <c r="C347" s="12" t="s">
        <v>29</v>
      </c>
      <c r="D347" s="6">
        <f t="shared" si="10"/>
        <v>46</v>
      </c>
      <c r="E347">
        <v>8</v>
      </c>
      <c r="F347" s="6">
        <f>VLOOKUP($E347,Sheet3!$B$3:$D$54,2,0)</f>
        <v>2</v>
      </c>
      <c r="G347" s="6">
        <f>VLOOKUP($E347,Sheet3!$B$3:$G$54,3,0)</f>
        <v>0</v>
      </c>
      <c r="H347" s="5">
        <f>VLOOKUP($A347,Sheet3!$I$3:$J$38,2,0)</f>
        <v>29.17</v>
      </c>
      <c r="I347" s="6">
        <f>VLOOKUP($E347,Sheet3!$B$3:$G$54,5,0)</f>
        <v>137922</v>
      </c>
      <c r="J347" s="5">
        <f>VLOOKUP($E347,Sheet3!$B$3:$G$54,4,0)</f>
        <v>3.15</v>
      </c>
      <c r="K347" s="5">
        <f>VLOOKUP($E347,Sheet3!$B$3:$G$54,6,0)</f>
        <v>1.6</v>
      </c>
      <c r="L347">
        <v>1416</v>
      </c>
      <c r="M347">
        <v>1368</v>
      </c>
      <c r="N347">
        <v>14</v>
      </c>
      <c r="O347" s="14">
        <f t="shared" si="11"/>
        <v>0.96610169491525422</v>
      </c>
    </row>
    <row r="348" spans="1:15" x14ac:dyDescent="0.3">
      <c r="A348" s="16" t="s">
        <v>34</v>
      </c>
      <c r="B348" s="12" t="s">
        <v>30</v>
      </c>
      <c r="C348" s="12" t="s">
        <v>29</v>
      </c>
      <c r="D348" s="6">
        <f t="shared" si="10"/>
        <v>46</v>
      </c>
      <c r="E348">
        <v>9</v>
      </c>
      <c r="F348" s="6">
        <f>VLOOKUP($E348,Sheet3!$B$3:$D$54,2,0)</f>
        <v>2</v>
      </c>
      <c r="G348" s="6">
        <f>VLOOKUP($E348,Sheet3!$B$3:$G$54,3,0)</f>
        <v>0</v>
      </c>
      <c r="H348" s="5">
        <f>VLOOKUP($A348,Sheet3!$I$3:$J$38,2,0)</f>
        <v>29.17</v>
      </c>
      <c r="I348" s="6">
        <f>VLOOKUP($E348,Sheet3!$B$3:$G$54,5,0)</f>
        <v>137922</v>
      </c>
      <c r="J348" s="5">
        <f>VLOOKUP($E348,Sheet3!$B$3:$G$54,4,0)</f>
        <v>3.15</v>
      </c>
      <c r="K348" s="5">
        <f>VLOOKUP($E348,Sheet3!$B$3:$G$54,6,0)</f>
        <v>1.6</v>
      </c>
      <c r="L348">
        <v>1896</v>
      </c>
      <c r="M348">
        <v>1512</v>
      </c>
      <c r="N348">
        <v>15</v>
      </c>
      <c r="O348" s="14">
        <f t="shared" si="11"/>
        <v>0.79746835443037978</v>
      </c>
    </row>
    <row r="349" spans="1:15" x14ac:dyDescent="0.3">
      <c r="A349" s="16" t="s">
        <v>34</v>
      </c>
      <c r="B349" s="12" t="s">
        <v>30</v>
      </c>
      <c r="C349" s="12" t="s">
        <v>29</v>
      </c>
      <c r="D349" s="6">
        <f t="shared" si="10"/>
        <v>51</v>
      </c>
      <c r="E349">
        <v>10</v>
      </c>
      <c r="F349" s="6">
        <f>VLOOKUP($E349,Sheet3!$B$3:$D$54,2,0)</f>
        <v>3</v>
      </c>
      <c r="G349" s="6">
        <f>VLOOKUP($E349,Sheet3!$B$3:$G$54,3,0)</f>
        <v>0</v>
      </c>
      <c r="H349" s="5">
        <f>VLOOKUP($A349,Sheet3!$I$3:$J$38,2,0)</f>
        <v>29.17</v>
      </c>
      <c r="I349" s="6">
        <f>VLOOKUP($E349,Sheet3!$B$3:$G$54,5,0)</f>
        <v>172223</v>
      </c>
      <c r="J349" s="5">
        <f>VLOOKUP($E349,Sheet3!$B$3:$G$54,4,0)</f>
        <v>3.15</v>
      </c>
      <c r="K349" s="5">
        <f>VLOOKUP($E349,Sheet3!$B$3:$G$54,6,0)</f>
        <v>1.9</v>
      </c>
      <c r="L349">
        <v>1608</v>
      </c>
      <c r="M349">
        <v>1608</v>
      </c>
      <c r="N349">
        <v>11</v>
      </c>
      <c r="O349" s="14">
        <f t="shared" si="11"/>
        <v>1</v>
      </c>
    </row>
    <row r="350" spans="1:15" x14ac:dyDescent="0.3">
      <c r="A350" s="16" t="s">
        <v>34</v>
      </c>
      <c r="B350" s="12" t="s">
        <v>30</v>
      </c>
      <c r="C350" s="12" t="s">
        <v>29</v>
      </c>
      <c r="D350" s="6">
        <f t="shared" si="10"/>
        <v>51</v>
      </c>
      <c r="E350">
        <v>11</v>
      </c>
      <c r="F350" s="6">
        <f>VLOOKUP($E350,Sheet3!$B$3:$D$54,2,0)</f>
        <v>3</v>
      </c>
      <c r="G350" s="6">
        <f>VLOOKUP($E350,Sheet3!$B$3:$G$54,3,0)</f>
        <v>0</v>
      </c>
      <c r="H350" s="5">
        <f>VLOOKUP($A350,Sheet3!$I$3:$J$38,2,0)</f>
        <v>29.17</v>
      </c>
      <c r="I350" s="6">
        <f>VLOOKUP($E350,Sheet3!$B$3:$G$54,5,0)</f>
        <v>172223</v>
      </c>
      <c r="J350" s="5">
        <f>VLOOKUP($E350,Sheet3!$B$3:$G$54,4,0)</f>
        <v>2.9</v>
      </c>
      <c r="K350" s="5">
        <f>VLOOKUP($E350,Sheet3!$B$3:$G$54,6,0)</f>
        <v>1.9</v>
      </c>
      <c r="L350">
        <v>1488</v>
      </c>
      <c r="M350">
        <v>1704</v>
      </c>
      <c r="N350">
        <v>12</v>
      </c>
      <c r="O350" s="14">
        <f t="shared" si="11"/>
        <v>1.1451612903225807</v>
      </c>
    </row>
    <row r="351" spans="1:15" x14ac:dyDescent="0.3">
      <c r="A351" s="16" t="s">
        <v>34</v>
      </c>
      <c r="B351" s="12" t="s">
        <v>30</v>
      </c>
      <c r="C351" s="12" t="s">
        <v>29</v>
      </c>
      <c r="D351" s="6">
        <f t="shared" si="10"/>
        <v>51</v>
      </c>
      <c r="E351">
        <v>12</v>
      </c>
      <c r="F351" s="6">
        <f>VLOOKUP($E351,Sheet3!$B$3:$D$54,2,0)</f>
        <v>3</v>
      </c>
      <c r="G351" s="6">
        <f>VLOOKUP($E351,Sheet3!$B$3:$G$54,3,0)</f>
        <v>0</v>
      </c>
      <c r="H351" s="5">
        <f>VLOOKUP($A351,Sheet3!$I$3:$J$38,2,0)</f>
        <v>29.17</v>
      </c>
      <c r="I351" s="6">
        <f>VLOOKUP($E351,Sheet3!$B$3:$G$54,5,0)</f>
        <v>172223</v>
      </c>
      <c r="J351" s="5">
        <f>VLOOKUP($E351,Sheet3!$B$3:$G$54,4,0)</f>
        <v>2.9</v>
      </c>
      <c r="K351" s="5">
        <f>VLOOKUP($E351,Sheet3!$B$3:$G$54,6,0)</f>
        <v>1.9</v>
      </c>
      <c r="L351">
        <v>1584</v>
      </c>
      <c r="M351">
        <v>1512</v>
      </c>
      <c r="N351">
        <v>13</v>
      </c>
      <c r="O351" s="14">
        <f t="shared" si="11"/>
        <v>0.95454545454545459</v>
      </c>
    </row>
    <row r="352" spans="1:15" x14ac:dyDescent="0.3">
      <c r="A352" s="16" t="s">
        <v>34</v>
      </c>
      <c r="B352" s="12" t="s">
        <v>30</v>
      </c>
      <c r="C352" s="12" t="s">
        <v>29</v>
      </c>
      <c r="D352" s="6">
        <f t="shared" si="10"/>
        <v>51</v>
      </c>
      <c r="E352">
        <v>13</v>
      </c>
      <c r="F352" s="6">
        <f>VLOOKUP($E352,Sheet3!$B$3:$D$54,2,0)</f>
        <v>3</v>
      </c>
      <c r="G352" s="6">
        <f>VLOOKUP($E352,Sheet3!$B$3:$G$54,3,0)</f>
        <v>0</v>
      </c>
      <c r="H352" s="5">
        <f>VLOOKUP($A352,Sheet3!$I$3:$J$38,2,0)</f>
        <v>29.17</v>
      </c>
      <c r="I352" s="6">
        <f>VLOOKUP($E352,Sheet3!$B$3:$G$54,5,0)</f>
        <v>172223</v>
      </c>
      <c r="J352" s="5">
        <f>VLOOKUP($E352,Sheet3!$B$3:$G$54,4,0)</f>
        <v>2.9</v>
      </c>
      <c r="K352" s="5">
        <f>VLOOKUP($E352,Sheet3!$B$3:$G$54,6,0)</f>
        <v>1.9</v>
      </c>
      <c r="L352">
        <v>1560</v>
      </c>
      <c r="M352">
        <v>1608</v>
      </c>
      <c r="N352">
        <v>14</v>
      </c>
      <c r="O352" s="14">
        <f t="shared" si="11"/>
        <v>1.0307692307692307</v>
      </c>
    </row>
    <row r="353" spans="1:15" x14ac:dyDescent="0.3">
      <c r="A353" s="16" t="s">
        <v>34</v>
      </c>
      <c r="B353" s="12" t="s">
        <v>30</v>
      </c>
      <c r="C353" s="12" t="s">
        <v>29</v>
      </c>
      <c r="D353" s="6">
        <f t="shared" si="10"/>
        <v>51</v>
      </c>
      <c r="E353">
        <v>14</v>
      </c>
      <c r="F353" s="6">
        <f>VLOOKUP($E353,Sheet3!$B$3:$D$54,2,0)</f>
        <v>3</v>
      </c>
      <c r="G353" s="6">
        <f>VLOOKUP($E353,Sheet3!$B$3:$G$54,3,0)</f>
        <v>0</v>
      </c>
      <c r="H353" s="5">
        <f>VLOOKUP($A353,Sheet3!$I$3:$J$38,2,0)</f>
        <v>29.17</v>
      </c>
      <c r="I353" s="6">
        <f>VLOOKUP($E353,Sheet3!$B$3:$G$54,5,0)</f>
        <v>172223</v>
      </c>
      <c r="J353" s="5">
        <f>VLOOKUP($E353,Sheet3!$B$3:$G$54,4,0)</f>
        <v>2.9</v>
      </c>
      <c r="K353" s="5">
        <f>VLOOKUP($E353,Sheet3!$B$3:$G$54,6,0)</f>
        <v>1.9</v>
      </c>
      <c r="L353">
        <v>1800</v>
      </c>
      <c r="M353">
        <v>1848</v>
      </c>
      <c r="N353">
        <v>15</v>
      </c>
      <c r="O353" s="14">
        <f t="shared" si="11"/>
        <v>1.0266666666666666</v>
      </c>
    </row>
    <row r="354" spans="1:15" x14ac:dyDescent="0.3">
      <c r="A354" s="16" t="s">
        <v>34</v>
      </c>
      <c r="B354" s="12" t="s">
        <v>30</v>
      </c>
      <c r="C354" s="12" t="s">
        <v>29</v>
      </c>
      <c r="D354" s="6">
        <f t="shared" si="10"/>
        <v>4</v>
      </c>
      <c r="E354">
        <v>15</v>
      </c>
      <c r="F354" s="6">
        <f>VLOOKUP($E354,Sheet3!$B$3:$D$54,2,0)</f>
        <v>4</v>
      </c>
      <c r="G354" s="6">
        <f>VLOOKUP($E354,Sheet3!$B$3:$G$54,3,0)</f>
        <v>0</v>
      </c>
      <c r="H354" s="5">
        <f>VLOOKUP($A354,Sheet3!$I$3:$J$38,2,0)</f>
        <v>29.17</v>
      </c>
      <c r="I354" s="6">
        <f>VLOOKUP($E354,Sheet3!$B$3:$G$54,5,0)</f>
        <v>139084</v>
      </c>
      <c r="J354" s="5">
        <f>VLOOKUP($E354,Sheet3!$B$3:$G$54,4,0)</f>
        <v>2.9</v>
      </c>
      <c r="K354" s="5">
        <f>VLOOKUP($E354,Sheet3!$B$3:$G$54,6,0)</f>
        <v>1.9</v>
      </c>
      <c r="L354">
        <v>1848</v>
      </c>
      <c r="M354">
        <v>1824</v>
      </c>
      <c r="N354">
        <v>11</v>
      </c>
      <c r="O354" s="14">
        <f t="shared" si="11"/>
        <v>0.98701298701298701</v>
      </c>
    </row>
    <row r="355" spans="1:15" x14ac:dyDescent="0.3">
      <c r="A355" s="16" t="s">
        <v>34</v>
      </c>
      <c r="B355" s="12" t="s">
        <v>30</v>
      </c>
      <c r="C355" s="12" t="s">
        <v>29</v>
      </c>
      <c r="D355" s="6">
        <f t="shared" si="10"/>
        <v>4</v>
      </c>
      <c r="E355">
        <v>16</v>
      </c>
      <c r="F355" s="6">
        <f>VLOOKUP($E355,Sheet3!$B$3:$D$54,2,0)</f>
        <v>4</v>
      </c>
      <c r="G355" s="6">
        <f>VLOOKUP($E355,Sheet3!$B$3:$G$54,3,0)</f>
        <v>0</v>
      </c>
      <c r="H355" s="5">
        <f>VLOOKUP($A355,Sheet3!$I$3:$J$38,2,0)</f>
        <v>29.17</v>
      </c>
      <c r="I355" s="6">
        <f>VLOOKUP($E355,Sheet3!$B$3:$G$54,5,0)</f>
        <v>139084</v>
      </c>
      <c r="J355" s="5">
        <f>VLOOKUP($E355,Sheet3!$B$3:$G$54,4,0)</f>
        <v>2.9</v>
      </c>
      <c r="K355" s="5">
        <f>VLOOKUP($E355,Sheet3!$B$3:$G$54,6,0)</f>
        <v>1.9</v>
      </c>
      <c r="L355">
        <v>2112</v>
      </c>
      <c r="M355">
        <v>1512</v>
      </c>
      <c r="N355">
        <v>12</v>
      </c>
      <c r="O355" s="14">
        <f t="shared" si="11"/>
        <v>0.71590909090909094</v>
      </c>
    </row>
    <row r="356" spans="1:15" x14ac:dyDescent="0.3">
      <c r="A356" s="16" t="s">
        <v>34</v>
      </c>
      <c r="B356" s="12" t="s">
        <v>30</v>
      </c>
      <c r="C356" s="12" t="s">
        <v>29</v>
      </c>
      <c r="D356" s="6">
        <f t="shared" si="10"/>
        <v>4</v>
      </c>
      <c r="E356">
        <v>17</v>
      </c>
      <c r="F356" s="6">
        <f>VLOOKUP($E356,Sheet3!$B$3:$D$54,2,0)</f>
        <v>4</v>
      </c>
      <c r="G356" s="6">
        <f>VLOOKUP($E356,Sheet3!$B$3:$G$54,3,0)</f>
        <v>1</v>
      </c>
      <c r="H356" s="5">
        <f>VLOOKUP($A356,Sheet3!$I$3:$J$38,2,0)</f>
        <v>29.17</v>
      </c>
      <c r="I356" s="6">
        <f>VLOOKUP($E356,Sheet3!$B$3:$G$54,5,0)</f>
        <v>139084</v>
      </c>
      <c r="J356" s="5">
        <f>VLOOKUP($E356,Sheet3!$B$3:$G$54,4,0)</f>
        <v>2.65</v>
      </c>
      <c r="K356" s="5">
        <f>VLOOKUP($E356,Sheet3!$B$3:$G$54,6,0)</f>
        <v>1.9</v>
      </c>
      <c r="L356">
        <v>0</v>
      </c>
      <c r="M356">
        <v>984</v>
      </c>
      <c r="N356">
        <v>13</v>
      </c>
      <c r="O356" s="14" t="e">
        <f t="shared" si="11"/>
        <v>#DIV/0!</v>
      </c>
    </row>
    <row r="357" spans="1:15" x14ac:dyDescent="0.3">
      <c r="A357" s="16" t="s">
        <v>34</v>
      </c>
      <c r="B357" s="12" t="s">
        <v>30</v>
      </c>
      <c r="C357" s="12" t="s">
        <v>29</v>
      </c>
      <c r="D357" s="6">
        <f t="shared" si="10"/>
        <v>5</v>
      </c>
      <c r="E357">
        <v>18</v>
      </c>
      <c r="F357" s="6">
        <f>VLOOKUP($E357,Sheet3!$B$3:$D$54,2,0)</f>
        <v>4</v>
      </c>
      <c r="G357" s="6">
        <f>VLOOKUP($E357,Sheet3!$B$3:$G$54,3,0)</f>
        <v>1</v>
      </c>
      <c r="H357" s="5">
        <f>VLOOKUP($A357,Sheet3!$I$3:$J$38,2,0)</f>
        <v>29.17</v>
      </c>
      <c r="I357" s="6">
        <f>VLOOKUP($E357,Sheet3!$B$3:$G$54,5,0)</f>
        <v>139084</v>
      </c>
      <c r="J357" s="5">
        <f>VLOOKUP($E357,Sheet3!$B$3:$G$54,4,0)</f>
        <v>2.65</v>
      </c>
      <c r="K357" s="5">
        <f>VLOOKUP($E357,Sheet3!$B$3:$G$54,6,0)</f>
        <v>1.9</v>
      </c>
      <c r="L357">
        <v>960</v>
      </c>
      <c r="M357">
        <v>792</v>
      </c>
      <c r="N357">
        <v>13</v>
      </c>
      <c r="O357" s="14">
        <f t="shared" si="11"/>
        <v>0.82499999999999996</v>
      </c>
    </row>
    <row r="358" spans="1:15" x14ac:dyDescent="0.3">
      <c r="A358" s="16" t="s">
        <v>34</v>
      </c>
      <c r="B358" s="12" t="s">
        <v>30</v>
      </c>
      <c r="C358" s="12" t="s">
        <v>29</v>
      </c>
      <c r="D358" s="6">
        <f t="shared" si="10"/>
        <v>7</v>
      </c>
      <c r="E358">
        <v>19</v>
      </c>
      <c r="F358" s="6">
        <f>VLOOKUP($E358,Sheet3!$B$3:$D$54,2,0)</f>
        <v>5</v>
      </c>
      <c r="G358" s="6">
        <f>VLOOKUP($E358,Sheet3!$B$3:$G$54,3,0)</f>
        <v>0</v>
      </c>
      <c r="H358" s="5">
        <f>VLOOKUP($A358,Sheet3!$I$3:$J$38,2,0)</f>
        <v>29.17</v>
      </c>
      <c r="I358" s="6">
        <f>VLOOKUP($E358,Sheet3!$B$3:$G$54,5,0)</f>
        <v>139390</v>
      </c>
      <c r="J358" s="5">
        <f>VLOOKUP($E358,Sheet3!$B$3:$G$54,4,0)</f>
        <v>2.65</v>
      </c>
      <c r="K358" s="5">
        <f>VLOOKUP($E358,Sheet3!$B$3:$G$54,6,0)</f>
        <v>1.6</v>
      </c>
      <c r="L358">
        <v>1656</v>
      </c>
      <c r="M358">
        <v>1656</v>
      </c>
      <c r="N358">
        <v>12</v>
      </c>
      <c r="O358" s="14">
        <f t="shared" si="11"/>
        <v>1</v>
      </c>
    </row>
    <row r="359" spans="1:15" x14ac:dyDescent="0.3">
      <c r="A359" s="16" t="s">
        <v>34</v>
      </c>
      <c r="B359" s="12" t="s">
        <v>30</v>
      </c>
      <c r="C359" s="12" t="s">
        <v>29</v>
      </c>
      <c r="D359" s="6">
        <f t="shared" si="10"/>
        <v>7</v>
      </c>
      <c r="E359">
        <v>20</v>
      </c>
      <c r="F359" s="6">
        <f>VLOOKUP($E359,Sheet3!$B$3:$D$54,2,0)</f>
        <v>5</v>
      </c>
      <c r="G359" s="6">
        <f>VLOOKUP($E359,Sheet3!$B$3:$G$54,3,0)</f>
        <v>0</v>
      </c>
      <c r="H359" s="5">
        <f>VLOOKUP($A359,Sheet3!$I$3:$J$38,2,0)</f>
        <v>29.17</v>
      </c>
      <c r="I359" s="6">
        <f>VLOOKUP($E359,Sheet3!$B$3:$G$54,5,0)</f>
        <v>139390</v>
      </c>
      <c r="J359" s="5">
        <f>VLOOKUP($E359,Sheet3!$B$3:$G$54,4,0)</f>
        <v>2.65</v>
      </c>
      <c r="K359" s="5">
        <f>VLOOKUP($E359,Sheet3!$B$3:$G$54,6,0)</f>
        <v>1.6</v>
      </c>
      <c r="L359">
        <v>1464</v>
      </c>
      <c r="M359">
        <v>2064</v>
      </c>
      <c r="N359">
        <v>13</v>
      </c>
      <c r="O359" s="14">
        <f t="shared" si="11"/>
        <v>1.4098360655737705</v>
      </c>
    </row>
    <row r="360" spans="1:15" x14ac:dyDescent="0.3">
      <c r="A360" s="16" t="s">
        <v>34</v>
      </c>
      <c r="B360" s="12" t="s">
        <v>30</v>
      </c>
      <c r="C360" s="12" t="s">
        <v>29</v>
      </c>
      <c r="D360" s="6">
        <f t="shared" si="10"/>
        <v>7</v>
      </c>
      <c r="E360">
        <v>21</v>
      </c>
      <c r="F360" s="6">
        <f>VLOOKUP($E360,Sheet3!$B$3:$D$54,2,0)</f>
        <v>5</v>
      </c>
      <c r="G360" s="6">
        <f>VLOOKUP($E360,Sheet3!$B$3:$G$54,3,0)</f>
        <v>0</v>
      </c>
      <c r="H360" s="5">
        <f>VLOOKUP($A360,Sheet3!$I$3:$J$38,2,0)</f>
        <v>29.17</v>
      </c>
      <c r="I360" s="6">
        <f>VLOOKUP($E360,Sheet3!$B$3:$G$54,5,0)</f>
        <v>139390</v>
      </c>
      <c r="J360" s="5">
        <f>VLOOKUP($E360,Sheet3!$B$3:$G$54,4,0)</f>
        <v>2.65</v>
      </c>
      <c r="K360" s="5">
        <f>VLOOKUP($E360,Sheet3!$B$3:$G$54,6,0)</f>
        <v>1.6</v>
      </c>
      <c r="L360">
        <v>1944</v>
      </c>
      <c r="M360">
        <v>1272</v>
      </c>
      <c r="N360">
        <v>14</v>
      </c>
      <c r="O360" s="14">
        <f t="shared" si="11"/>
        <v>0.65432098765432101</v>
      </c>
    </row>
    <row r="361" spans="1:15" x14ac:dyDescent="0.3">
      <c r="A361" s="16" t="s">
        <v>34</v>
      </c>
      <c r="B361" s="12" t="s">
        <v>30</v>
      </c>
      <c r="C361" s="12" t="s">
        <v>29</v>
      </c>
      <c r="D361" s="6">
        <f t="shared" si="10"/>
        <v>7</v>
      </c>
      <c r="E361">
        <v>22</v>
      </c>
      <c r="F361" s="6">
        <f>VLOOKUP($E361,Sheet3!$B$3:$D$54,2,0)</f>
        <v>5</v>
      </c>
      <c r="G361" s="6">
        <f>VLOOKUP($E361,Sheet3!$B$3:$G$54,3,0)</f>
        <v>0</v>
      </c>
      <c r="H361" s="5">
        <f>VLOOKUP($A361,Sheet3!$I$3:$J$38,2,0)</f>
        <v>29.17</v>
      </c>
      <c r="I361" s="6">
        <f>VLOOKUP($E361,Sheet3!$B$3:$G$54,5,0)</f>
        <v>139390</v>
      </c>
      <c r="J361" s="5">
        <f>VLOOKUP($E361,Sheet3!$B$3:$G$54,4,0)</f>
        <v>2.65</v>
      </c>
      <c r="K361" s="5">
        <f>VLOOKUP($E361,Sheet3!$B$3:$G$54,6,0)</f>
        <v>1.6</v>
      </c>
      <c r="L361">
        <v>2952</v>
      </c>
      <c r="M361">
        <v>2016</v>
      </c>
      <c r="N361">
        <v>15</v>
      </c>
      <c r="O361" s="14">
        <f t="shared" si="11"/>
        <v>0.68292682926829273</v>
      </c>
    </row>
    <row r="362" spans="1:15" x14ac:dyDescent="0.3">
      <c r="A362" s="16" t="s">
        <v>34</v>
      </c>
      <c r="B362" s="12" t="s">
        <v>30</v>
      </c>
      <c r="C362" s="12" t="s">
        <v>29</v>
      </c>
      <c r="D362" s="6">
        <f t="shared" si="10"/>
        <v>12</v>
      </c>
      <c r="E362">
        <v>23</v>
      </c>
      <c r="F362" s="6">
        <f>VLOOKUP($E362,Sheet3!$B$3:$D$54,2,0)</f>
        <v>5</v>
      </c>
      <c r="G362" s="6">
        <f>VLOOKUP($E362,Sheet3!$B$3:$G$54,3,0)</f>
        <v>1</v>
      </c>
      <c r="H362" s="5">
        <f>VLOOKUP($A362,Sheet3!$I$3:$J$38,2,0)</f>
        <v>29.17</v>
      </c>
      <c r="I362" s="6">
        <f>VLOOKUP($E362,Sheet3!$B$3:$G$54,5,0)</f>
        <v>139390</v>
      </c>
      <c r="J362" s="5">
        <f>VLOOKUP($E362,Sheet3!$B$3:$G$54,4,0)</f>
        <v>2.4</v>
      </c>
      <c r="K362" s="5">
        <f>VLOOKUP($E362,Sheet3!$B$3:$G$54,6,0)</f>
        <v>1.6</v>
      </c>
      <c r="L362">
        <v>336</v>
      </c>
      <c r="M362">
        <v>1584</v>
      </c>
      <c r="N362">
        <v>11</v>
      </c>
      <c r="O362" s="14">
        <f t="shared" si="11"/>
        <v>4.7142857142857144</v>
      </c>
    </row>
    <row r="363" spans="1:15" x14ac:dyDescent="0.3">
      <c r="A363" s="16" t="s">
        <v>34</v>
      </c>
      <c r="B363" s="12" t="s">
        <v>30</v>
      </c>
      <c r="C363" s="12" t="s">
        <v>29</v>
      </c>
      <c r="D363" s="6">
        <f t="shared" si="10"/>
        <v>12</v>
      </c>
      <c r="E363">
        <v>24</v>
      </c>
      <c r="F363" s="6">
        <f>VLOOKUP($E363,Sheet3!$B$3:$D$54,2,0)</f>
        <v>6</v>
      </c>
      <c r="G363" s="6">
        <f>VLOOKUP($E363,Sheet3!$B$3:$G$54,3,0)</f>
        <v>0</v>
      </c>
      <c r="H363" s="5">
        <f>VLOOKUP($A363,Sheet3!$I$3:$J$38,2,0)</f>
        <v>29.17</v>
      </c>
      <c r="I363" s="6">
        <f>VLOOKUP($E363,Sheet3!$B$3:$G$54,5,0)</f>
        <v>132191</v>
      </c>
      <c r="J363" s="5">
        <f>VLOOKUP($E363,Sheet3!$B$3:$G$54,4,0)</f>
        <v>2.4</v>
      </c>
      <c r="K363" s="5">
        <f>VLOOKUP($E363,Sheet3!$B$3:$G$54,6,0)</f>
        <v>1.7</v>
      </c>
      <c r="L363">
        <v>1920</v>
      </c>
      <c r="M363">
        <v>1584</v>
      </c>
      <c r="N363">
        <v>12</v>
      </c>
      <c r="O363" s="14">
        <f t="shared" si="11"/>
        <v>0.82499999999999996</v>
      </c>
    </row>
    <row r="364" spans="1:15" x14ac:dyDescent="0.3">
      <c r="A364" s="16" t="s">
        <v>34</v>
      </c>
      <c r="B364" s="12" t="s">
        <v>30</v>
      </c>
      <c r="C364" s="12" t="s">
        <v>29</v>
      </c>
      <c r="D364" s="6">
        <f t="shared" si="10"/>
        <v>12</v>
      </c>
      <c r="E364">
        <v>25</v>
      </c>
      <c r="F364" s="6">
        <f>VLOOKUP($E364,Sheet3!$B$3:$D$54,2,0)</f>
        <v>6</v>
      </c>
      <c r="G364" s="6">
        <f>VLOOKUP($E364,Sheet3!$B$3:$G$54,3,0)</f>
        <v>0</v>
      </c>
      <c r="H364" s="5">
        <f>VLOOKUP($A364,Sheet3!$I$3:$J$38,2,0)</f>
        <v>29.17</v>
      </c>
      <c r="I364" s="6">
        <f>VLOOKUP($E364,Sheet3!$B$3:$G$54,5,0)</f>
        <v>132191</v>
      </c>
      <c r="J364" s="5">
        <f>VLOOKUP($E364,Sheet3!$B$3:$G$54,4,0)</f>
        <v>2.4</v>
      </c>
      <c r="K364" s="5">
        <f>VLOOKUP($E364,Sheet3!$B$3:$G$54,6,0)</f>
        <v>1.7</v>
      </c>
      <c r="L364">
        <v>1896</v>
      </c>
      <c r="M364">
        <v>1560</v>
      </c>
      <c r="N364">
        <v>13</v>
      </c>
      <c r="O364" s="14">
        <f t="shared" si="11"/>
        <v>0.82278481012658233</v>
      </c>
    </row>
    <row r="365" spans="1:15" x14ac:dyDescent="0.3">
      <c r="A365" s="16" t="s">
        <v>34</v>
      </c>
      <c r="B365" s="12" t="s">
        <v>30</v>
      </c>
      <c r="C365" s="12" t="s">
        <v>29</v>
      </c>
      <c r="D365" s="6">
        <f t="shared" si="10"/>
        <v>12</v>
      </c>
      <c r="E365">
        <v>26</v>
      </c>
      <c r="F365" s="6">
        <f>VLOOKUP($E365,Sheet3!$B$3:$D$54,2,0)</f>
        <v>6</v>
      </c>
      <c r="G365" s="6">
        <f>VLOOKUP($E365,Sheet3!$B$3:$G$54,3,0)</f>
        <v>0</v>
      </c>
      <c r="H365" s="5">
        <f>VLOOKUP($A365,Sheet3!$I$3:$J$38,2,0)</f>
        <v>29.17</v>
      </c>
      <c r="I365" s="6">
        <f>VLOOKUP($E365,Sheet3!$B$3:$G$54,5,0)</f>
        <v>132191</v>
      </c>
      <c r="J365" s="5">
        <f>VLOOKUP($E365,Sheet3!$B$3:$G$54,4,0)</f>
        <v>2.4</v>
      </c>
      <c r="K365" s="5">
        <f>VLOOKUP($E365,Sheet3!$B$3:$G$54,6,0)</f>
        <v>1.7</v>
      </c>
      <c r="L365">
        <v>1824</v>
      </c>
      <c r="M365">
        <v>936</v>
      </c>
      <c r="N365">
        <v>14</v>
      </c>
      <c r="O365" s="14">
        <f t="shared" si="11"/>
        <v>0.51315789473684215</v>
      </c>
    </row>
    <row r="366" spans="1:15" x14ac:dyDescent="0.3">
      <c r="A366" s="16" t="s">
        <v>35</v>
      </c>
      <c r="B366" s="12" t="s">
        <v>30</v>
      </c>
      <c r="C366" s="12" t="s">
        <v>29</v>
      </c>
      <c r="D366" s="6">
        <f t="shared" si="10"/>
        <v>12</v>
      </c>
      <c r="E366">
        <v>27</v>
      </c>
      <c r="F366" s="6">
        <f>VLOOKUP($E366,Sheet3!$B$3:$D$54,2,0)</f>
        <v>7</v>
      </c>
      <c r="G366" s="6">
        <f>VLOOKUP($E366,Sheet3!$B$3:$G$54,3,0)</f>
        <v>0</v>
      </c>
      <c r="H366" s="5">
        <f>VLOOKUP($A366,Sheet3!$I$3:$J$38,2,0)</f>
        <v>23.6</v>
      </c>
      <c r="I366" s="6">
        <f>VLOOKUP($E366,Sheet3!$B$3:$G$54,5,0)</f>
        <v>124806</v>
      </c>
      <c r="J366" s="5">
        <f>VLOOKUP($E366,Sheet3!$B$3:$G$54,4,0)</f>
        <v>4.5</v>
      </c>
      <c r="K366" s="5">
        <f>VLOOKUP($E366,Sheet3!$B$3:$G$54,6,0)</f>
        <v>1.3</v>
      </c>
      <c r="L366">
        <v>212</v>
      </c>
      <c r="M366">
        <v>240</v>
      </c>
      <c r="N366">
        <v>15</v>
      </c>
      <c r="O366" s="14">
        <f t="shared" si="11"/>
        <v>1.1320754716981132</v>
      </c>
    </row>
    <row r="367" spans="1:15" x14ac:dyDescent="0.3">
      <c r="A367" s="16" t="s">
        <v>35</v>
      </c>
      <c r="B367" s="12" t="s">
        <v>30</v>
      </c>
      <c r="C367" s="12" t="s">
        <v>29</v>
      </c>
      <c r="D367" s="6">
        <f t="shared" si="10"/>
        <v>12</v>
      </c>
      <c r="E367">
        <v>28</v>
      </c>
      <c r="F367" s="6">
        <f>VLOOKUP($E367,Sheet3!$B$3:$D$54,2,0)</f>
        <v>7</v>
      </c>
      <c r="G367" s="6">
        <f>VLOOKUP($E367,Sheet3!$B$3:$G$54,3,0)</f>
        <v>0</v>
      </c>
      <c r="H367" s="5">
        <f>VLOOKUP($A367,Sheet3!$I$3:$J$38,2,0)</f>
        <v>23.6</v>
      </c>
      <c r="I367" s="6">
        <f>VLOOKUP($E367,Sheet3!$B$3:$G$54,5,0)</f>
        <v>124806</v>
      </c>
      <c r="J367" s="5">
        <f>VLOOKUP($E367,Sheet3!$B$3:$G$54,4,0)</f>
        <v>4.5</v>
      </c>
      <c r="K367" s="5">
        <f>VLOOKUP($E367,Sheet3!$B$3:$G$54,6,0)</f>
        <v>1.3</v>
      </c>
      <c r="L367">
        <v>222</v>
      </c>
      <c r="M367">
        <v>192</v>
      </c>
      <c r="N367">
        <v>16</v>
      </c>
      <c r="O367" s="14">
        <f t="shared" si="11"/>
        <v>0.86486486486486491</v>
      </c>
    </row>
    <row r="368" spans="1:15" x14ac:dyDescent="0.3">
      <c r="A368" s="16" t="s">
        <v>35</v>
      </c>
      <c r="B368" s="12" t="s">
        <v>30</v>
      </c>
      <c r="C368" s="12" t="s">
        <v>29</v>
      </c>
      <c r="D368" s="6">
        <f t="shared" si="10"/>
        <v>12</v>
      </c>
      <c r="E368">
        <v>29</v>
      </c>
      <c r="F368" s="6">
        <f>VLOOKUP($E368,Sheet3!$B$3:$D$54,2,0)</f>
        <v>7</v>
      </c>
      <c r="G368" s="6">
        <f>VLOOKUP($E368,Sheet3!$B$3:$G$54,3,0)</f>
        <v>0</v>
      </c>
      <c r="H368" s="5">
        <f>VLOOKUP($A368,Sheet3!$I$3:$J$38,2,0)</f>
        <v>23.6</v>
      </c>
      <c r="I368" s="6">
        <f>VLOOKUP($E368,Sheet3!$B$3:$G$54,5,0)</f>
        <v>124806</v>
      </c>
      <c r="J368" s="5">
        <f>VLOOKUP($E368,Sheet3!$B$3:$G$54,4,0)</f>
        <v>4.5</v>
      </c>
      <c r="K368" s="5">
        <f>VLOOKUP($E368,Sheet3!$B$3:$G$54,6,0)</f>
        <v>1.3</v>
      </c>
      <c r="L368">
        <v>194</v>
      </c>
      <c r="M368">
        <v>24</v>
      </c>
      <c r="N368">
        <v>17</v>
      </c>
      <c r="O368" s="14">
        <f t="shared" si="11"/>
        <v>0.12371134020618557</v>
      </c>
    </row>
    <row r="369" spans="1:15" x14ac:dyDescent="0.3">
      <c r="A369" s="16" t="s">
        <v>35</v>
      </c>
      <c r="B369" s="12" t="s">
        <v>30</v>
      </c>
      <c r="C369" s="12" t="s">
        <v>29</v>
      </c>
      <c r="D369" s="6">
        <f t="shared" si="10"/>
        <v>12</v>
      </c>
      <c r="E369">
        <v>30</v>
      </c>
      <c r="F369" s="6">
        <f>VLOOKUP($E369,Sheet3!$B$3:$D$54,2,0)</f>
        <v>7</v>
      </c>
      <c r="G369" s="6">
        <f>VLOOKUP($E369,Sheet3!$B$3:$G$54,3,0)</f>
        <v>0</v>
      </c>
      <c r="H369" s="5">
        <f>VLOOKUP($A369,Sheet3!$I$3:$J$38,2,0)</f>
        <v>23.6</v>
      </c>
      <c r="I369" s="6">
        <f>VLOOKUP($E369,Sheet3!$B$3:$G$54,5,0)</f>
        <v>124806</v>
      </c>
      <c r="J369" s="5">
        <f>VLOOKUP($E369,Sheet3!$B$3:$G$54,4,0)</f>
        <v>4.5</v>
      </c>
      <c r="K369" s="5">
        <f>VLOOKUP($E369,Sheet3!$B$3:$G$54,6,0)</f>
        <v>1.3</v>
      </c>
      <c r="L369">
        <v>346</v>
      </c>
      <c r="M369">
        <v>96</v>
      </c>
      <c r="N369">
        <v>18</v>
      </c>
      <c r="O369" s="14">
        <f t="shared" si="11"/>
        <v>0.2774566473988439</v>
      </c>
    </row>
    <row r="370" spans="1:15" x14ac:dyDescent="0.3">
      <c r="A370" s="16" t="s">
        <v>35</v>
      </c>
      <c r="B370" s="12" t="s">
        <v>30</v>
      </c>
      <c r="C370" s="12" t="s">
        <v>29</v>
      </c>
      <c r="D370" s="6">
        <f t="shared" si="10"/>
        <v>12</v>
      </c>
      <c r="E370">
        <v>31</v>
      </c>
      <c r="F370" s="6">
        <f>VLOOKUP($E370,Sheet3!$B$3:$D$54,2,0)</f>
        <v>7</v>
      </c>
      <c r="G370" s="6">
        <f>VLOOKUP($E370,Sheet3!$B$3:$G$54,3,0)</f>
        <v>0</v>
      </c>
      <c r="H370" s="5">
        <f>VLOOKUP($A370,Sheet3!$I$3:$J$38,2,0)</f>
        <v>23.6</v>
      </c>
      <c r="I370" s="6">
        <f>VLOOKUP($E370,Sheet3!$B$3:$G$54,5,0)</f>
        <v>124806</v>
      </c>
      <c r="J370" s="5">
        <f>VLOOKUP($E370,Sheet3!$B$3:$G$54,4,0)</f>
        <v>4.5</v>
      </c>
      <c r="K370" s="5">
        <f>VLOOKUP($E370,Sheet3!$B$3:$G$54,6,0)</f>
        <v>1.3</v>
      </c>
      <c r="L370">
        <v>303</v>
      </c>
      <c r="M370">
        <v>0</v>
      </c>
      <c r="N370">
        <v>19</v>
      </c>
      <c r="O370" s="14">
        <f t="shared" si="11"/>
        <v>0</v>
      </c>
    </row>
    <row r="371" spans="1:15" x14ac:dyDescent="0.3">
      <c r="A371" s="16" t="s">
        <v>35</v>
      </c>
      <c r="B371" s="12" t="s">
        <v>30</v>
      </c>
      <c r="C371" s="12" t="s">
        <v>29</v>
      </c>
      <c r="D371" s="6">
        <f t="shared" si="10"/>
        <v>13</v>
      </c>
      <c r="E371">
        <v>32</v>
      </c>
      <c r="F371" s="6">
        <f>VLOOKUP($E371,Sheet3!$B$3:$D$54,2,0)</f>
        <v>8</v>
      </c>
      <c r="G371" s="6">
        <f>VLOOKUP($E371,Sheet3!$B$3:$G$54,3,0)</f>
        <v>1</v>
      </c>
      <c r="H371" s="5">
        <f>VLOOKUP($A371,Sheet3!$I$3:$J$38,2,0)</f>
        <v>23.6</v>
      </c>
      <c r="I371" s="6">
        <f>VLOOKUP($E371,Sheet3!$B$3:$G$54,5,0)</f>
        <v>69121</v>
      </c>
      <c r="J371" s="5">
        <f>VLOOKUP($E371,Sheet3!$B$3:$G$54,4,0)</f>
        <v>4.5</v>
      </c>
      <c r="K371" s="5">
        <f>VLOOKUP($E371,Sheet3!$B$3:$G$54,6,0)</f>
        <v>1.1000000000000001</v>
      </c>
      <c r="L371">
        <v>0</v>
      </c>
      <c r="M371">
        <v>0</v>
      </c>
      <c r="N371">
        <v>19</v>
      </c>
      <c r="O371" s="14" t="e">
        <f t="shared" si="11"/>
        <v>#DIV/0!</v>
      </c>
    </row>
    <row r="372" spans="1:15" x14ac:dyDescent="0.3">
      <c r="A372" s="16" t="s">
        <v>35</v>
      </c>
      <c r="B372" s="12" t="s">
        <v>30</v>
      </c>
      <c r="C372" s="12" t="s">
        <v>29</v>
      </c>
      <c r="D372" s="6">
        <f t="shared" si="10"/>
        <v>14</v>
      </c>
      <c r="E372">
        <v>33</v>
      </c>
      <c r="F372" s="6">
        <f>VLOOKUP($E372,Sheet3!$B$3:$D$54,2,0)</f>
        <v>8</v>
      </c>
      <c r="G372" s="6">
        <f>VLOOKUP($E372,Sheet3!$B$3:$G$54,3,0)</f>
        <v>1</v>
      </c>
      <c r="H372" s="5">
        <f>VLOOKUP($A372,Sheet3!$I$3:$J$38,2,0)</f>
        <v>23.6</v>
      </c>
      <c r="I372" s="6">
        <f>VLOOKUP($E372,Sheet3!$B$3:$G$54,5,0)</f>
        <v>69121</v>
      </c>
      <c r="J372" s="5">
        <f>VLOOKUP($E372,Sheet3!$B$3:$G$54,4,0)</f>
        <v>4.5</v>
      </c>
      <c r="K372" s="5">
        <f>VLOOKUP($E372,Sheet3!$B$3:$G$54,6,0)</f>
        <v>1.1000000000000001</v>
      </c>
      <c r="L372">
        <v>1</v>
      </c>
      <c r="M372">
        <v>0</v>
      </c>
      <c r="N372">
        <v>19</v>
      </c>
      <c r="O372" s="14">
        <f t="shared" si="11"/>
        <v>0</v>
      </c>
    </row>
    <row r="373" spans="1:15" x14ac:dyDescent="0.3">
      <c r="A373" s="16" t="s">
        <v>35</v>
      </c>
      <c r="B373" s="12" t="s">
        <v>30</v>
      </c>
      <c r="C373" s="12" t="s">
        <v>29</v>
      </c>
      <c r="D373" s="6">
        <f t="shared" si="10"/>
        <v>15</v>
      </c>
      <c r="E373">
        <v>34</v>
      </c>
      <c r="F373" s="6">
        <f>VLOOKUP($E373,Sheet3!$B$3:$D$54,2,0)</f>
        <v>8</v>
      </c>
      <c r="G373" s="6">
        <f>VLOOKUP($E373,Sheet3!$B$3:$G$54,3,0)</f>
        <v>0</v>
      </c>
      <c r="H373" s="5">
        <f>VLOOKUP($A373,Sheet3!$I$3:$J$38,2,0)</f>
        <v>23.6</v>
      </c>
      <c r="I373" s="6">
        <f>VLOOKUP($E373,Sheet3!$B$3:$G$54,5,0)</f>
        <v>69121</v>
      </c>
      <c r="J373" s="5">
        <f>VLOOKUP($E373,Sheet3!$B$3:$G$54,4,0)</f>
        <v>4.5</v>
      </c>
      <c r="K373" s="5">
        <f>VLOOKUP($E373,Sheet3!$B$3:$G$54,6,0)</f>
        <v>1.1000000000000001</v>
      </c>
      <c r="L373">
        <v>382</v>
      </c>
      <c r="M373">
        <v>96</v>
      </c>
      <c r="N373">
        <v>19</v>
      </c>
      <c r="O373" s="14">
        <f t="shared" si="11"/>
        <v>0.2513089005235602</v>
      </c>
    </row>
    <row r="374" spans="1:15" x14ac:dyDescent="0.3">
      <c r="A374" s="16" t="s">
        <v>35</v>
      </c>
      <c r="B374" s="12" t="s">
        <v>30</v>
      </c>
      <c r="C374" s="12" t="s">
        <v>29</v>
      </c>
      <c r="D374" s="6">
        <f t="shared" si="10"/>
        <v>14</v>
      </c>
      <c r="E374">
        <v>35</v>
      </c>
      <c r="F374" s="6">
        <f>VLOOKUP($E374,Sheet3!$B$3:$D$54,2,0)</f>
        <v>8</v>
      </c>
      <c r="G374" s="6">
        <f>VLOOKUP($E374,Sheet3!$B$3:$G$54,3,0)</f>
        <v>0</v>
      </c>
      <c r="H374" s="5">
        <f>VLOOKUP($A374,Sheet3!$I$3:$J$38,2,0)</f>
        <v>23.6</v>
      </c>
      <c r="I374" s="6">
        <f>VLOOKUP($E374,Sheet3!$B$3:$G$54,5,0)</f>
        <v>69121</v>
      </c>
      <c r="J374" s="5">
        <f>VLOOKUP($E374,Sheet3!$B$3:$G$54,4,0)</f>
        <v>4.5</v>
      </c>
      <c r="K374" s="5">
        <f>VLOOKUP($E374,Sheet3!$B$3:$G$54,6,0)</f>
        <v>1.1000000000000001</v>
      </c>
      <c r="L374">
        <v>199</v>
      </c>
      <c r="M374">
        <v>144</v>
      </c>
      <c r="N374">
        <v>21</v>
      </c>
      <c r="O374" s="14">
        <f t="shared" si="11"/>
        <v>0.72361809045226133</v>
      </c>
    </row>
    <row r="375" spans="1:15" x14ac:dyDescent="0.3">
      <c r="A375" s="16" t="s">
        <v>35</v>
      </c>
      <c r="B375" s="12" t="s">
        <v>30</v>
      </c>
      <c r="C375" s="12" t="s">
        <v>29</v>
      </c>
      <c r="D375" s="6">
        <f t="shared" si="10"/>
        <v>22</v>
      </c>
      <c r="E375">
        <v>36</v>
      </c>
      <c r="F375" s="6">
        <f>VLOOKUP($E375,Sheet3!$B$3:$D$54,2,0)</f>
        <v>9</v>
      </c>
      <c r="G375" s="6">
        <f>VLOOKUP($E375,Sheet3!$B$3:$G$54,3,0)</f>
        <v>0</v>
      </c>
      <c r="H375" s="5">
        <f>VLOOKUP($A375,Sheet3!$I$3:$J$38,2,0)</f>
        <v>23.6</v>
      </c>
      <c r="I375" s="6">
        <f>VLOOKUP($E375,Sheet3!$B$3:$G$54,5,0)</f>
        <v>121666</v>
      </c>
      <c r="J375" s="5">
        <f>VLOOKUP($E375,Sheet3!$B$3:$G$54,4,0)</f>
        <v>4.5</v>
      </c>
      <c r="K375" s="5">
        <f>VLOOKUP($E375,Sheet3!$B$3:$G$54,6,0)</f>
        <v>0.7</v>
      </c>
      <c r="L375">
        <v>272</v>
      </c>
      <c r="M375">
        <v>288</v>
      </c>
      <c r="N375">
        <v>14</v>
      </c>
      <c r="O375" s="14">
        <f t="shared" si="11"/>
        <v>1.0588235294117647</v>
      </c>
    </row>
    <row r="376" spans="1:15" x14ac:dyDescent="0.3">
      <c r="A376" s="16" t="s">
        <v>35</v>
      </c>
      <c r="B376" s="12" t="s">
        <v>30</v>
      </c>
      <c r="C376" s="12" t="s">
        <v>29</v>
      </c>
      <c r="D376" s="6">
        <f t="shared" si="10"/>
        <v>22</v>
      </c>
      <c r="E376">
        <v>37</v>
      </c>
      <c r="F376" s="6">
        <f>VLOOKUP($E376,Sheet3!$B$3:$D$54,2,0)</f>
        <v>9</v>
      </c>
      <c r="G376" s="6">
        <f>VLOOKUP($E376,Sheet3!$B$3:$G$54,3,0)</f>
        <v>0</v>
      </c>
      <c r="H376" s="5">
        <f>VLOOKUP($A376,Sheet3!$I$3:$J$38,2,0)</f>
        <v>23.6</v>
      </c>
      <c r="I376" s="6">
        <f>VLOOKUP($E376,Sheet3!$B$3:$G$54,5,0)</f>
        <v>121666</v>
      </c>
      <c r="J376" s="5">
        <f>VLOOKUP($E376,Sheet3!$B$3:$G$54,4,0)</f>
        <v>4.5</v>
      </c>
      <c r="K376" s="5">
        <f>VLOOKUP($E376,Sheet3!$B$3:$G$54,6,0)</f>
        <v>0.7</v>
      </c>
      <c r="L376">
        <v>310</v>
      </c>
      <c r="M376">
        <v>216</v>
      </c>
      <c r="N376">
        <v>15</v>
      </c>
      <c r="O376" s="14">
        <f t="shared" si="11"/>
        <v>0.6967741935483871</v>
      </c>
    </row>
    <row r="377" spans="1:15" x14ac:dyDescent="0.3">
      <c r="A377" s="16" t="s">
        <v>35</v>
      </c>
      <c r="B377" s="12" t="s">
        <v>30</v>
      </c>
      <c r="C377" s="12" t="s">
        <v>29</v>
      </c>
      <c r="D377" s="6">
        <f t="shared" si="10"/>
        <v>22</v>
      </c>
      <c r="E377">
        <v>38</v>
      </c>
      <c r="F377" s="6">
        <f>VLOOKUP($E377,Sheet3!$B$3:$D$54,2,0)</f>
        <v>9</v>
      </c>
      <c r="G377" s="6">
        <f>VLOOKUP($E377,Sheet3!$B$3:$G$54,3,0)</f>
        <v>0</v>
      </c>
      <c r="H377" s="5">
        <f>VLOOKUP($A377,Sheet3!$I$3:$J$38,2,0)</f>
        <v>23.6</v>
      </c>
      <c r="I377" s="6">
        <f>VLOOKUP($E377,Sheet3!$B$3:$G$54,5,0)</f>
        <v>121666</v>
      </c>
      <c r="J377" s="5">
        <f>VLOOKUP($E377,Sheet3!$B$3:$G$54,4,0)</f>
        <v>3.9</v>
      </c>
      <c r="K377" s="5">
        <f>VLOOKUP($E377,Sheet3!$B$3:$G$54,6,0)</f>
        <v>0.7</v>
      </c>
      <c r="L377">
        <v>259</v>
      </c>
      <c r="M377">
        <v>0</v>
      </c>
      <c r="N377">
        <v>16</v>
      </c>
      <c r="O377" s="14">
        <f t="shared" si="11"/>
        <v>0</v>
      </c>
    </row>
    <row r="378" spans="1:15" x14ac:dyDescent="0.3">
      <c r="A378" s="16" t="s">
        <v>35</v>
      </c>
      <c r="B378" s="12" t="s">
        <v>30</v>
      </c>
      <c r="C378" s="12" t="s">
        <v>29</v>
      </c>
      <c r="D378" s="6">
        <f t="shared" si="10"/>
        <v>22</v>
      </c>
      <c r="E378">
        <v>39</v>
      </c>
      <c r="F378" s="6">
        <f>VLOOKUP($E378,Sheet3!$B$3:$D$54,2,0)</f>
        <v>9</v>
      </c>
      <c r="G378" s="6">
        <f>VLOOKUP($E378,Sheet3!$B$3:$G$54,3,0)</f>
        <v>0</v>
      </c>
      <c r="H378" s="5">
        <f>VLOOKUP($A378,Sheet3!$I$3:$J$38,2,0)</f>
        <v>23.6</v>
      </c>
      <c r="I378" s="6">
        <f>VLOOKUP($E378,Sheet3!$B$3:$G$54,5,0)</f>
        <v>121666</v>
      </c>
      <c r="J378" s="5">
        <f>VLOOKUP($E378,Sheet3!$B$3:$G$54,4,0)</f>
        <v>3.9</v>
      </c>
      <c r="K378" s="5">
        <f>VLOOKUP($E378,Sheet3!$B$3:$G$54,6,0)</f>
        <v>0.7</v>
      </c>
      <c r="L378">
        <v>168</v>
      </c>
      <c r="M378">
        <v>144</v>
      </c>
      <c r="N378">
        <v>17</v>
      </c>
      <c r="O378" s="14">
        <f t="shared" si="11"/>
        <v>0.8571428571428571</v>
      </c>
    </row>
    <row r="379" spans="1:15" x14ac:dyDescent="0.3">
      <c r="A379" s="16" t="s">
        <v>35</v>
      </c>
      <c r="B379" s="12" t="s">
        <v>30</v>
      </c>
      <c r="C379" s="12" t="s">
        <v>29</v>
      </c>
      <c r="D379" s="6">
        <f t="shared" si="10"/>
        <v>26</v>
      </c>
      <c r="E379">
        <v>40</v>
      </c>
      <c r="F379" s="6">
        <f>VLOOKUP($E379,Sheet3!$B$3:$D$54,2,0)</f>
        <v>9</v>
      </c>
      <c r="G379" s="6">
        <f>VLOOKUP($E379,Sheet3!$B$3:$G$54,3,0)</f>
        <v>0</v>
      </c>
      <c r="H379" s="5">
        <f>VLOOKUP($A379,Sheet3!$I$3:$J$38,2,0)</f>
        <v>23.6</v>
      </c>
      <c r="I379" s="6">
        <f>VLOOKUP($E379,Sheet3!$B$3:$G$54,5,0)</f>
        <v>121666</v>
      </c>
      <c r="J379" s="5">
        <f>VLOOKUP($E379,Sheet3!$B$3:$G$54,4,0)</f>
        <v>3.9</v>
      </c>
      <c r="K379" s="5">
        <f>VLOOKUP($E379,Sheet3!$B$3:$G$54,6,0)</f>
        <v>0.7</v>
      </c>
      <c r="L379">
        <v>231</v>
      </c>
      <c r="M379">
        <v>96</v>
      </c>
      <c r="N379">
        <v>14</v>
      </c>
      <c r="O379" s="14">
        <f t="shared" si="11"/>
        <v>0.41558441558441561</v>
      </c>
    </row>
    <row r="380" spans="1:15" x14ac:dyDescent="0.3">
      <c r="A380" s="16" t="s">
        <v>35</v>
      </c>
      <c r="B380" s="12" t="s">
        <v>30</v>
      </c>
      <c r="C380" s="12" t="s">
        <v>29</v>
      </c>
      <c r="D380" s="6">
        <f t="shared" ref="D380:D442" si="12">IF(E380-N380&lt;0,E380-N380+52,E380-N380)</f>
        <v>26</v>
      </c>
      <c r="E380">
        <v>41</v>
      </c>
      <c r="F380" s="6">
        <f>VLOOKUP($E380,Sheet3!$B$3:$D$54,2,0)</f>
        <v>10</v>
      </c>
      <c r="G380" s="6">
        <f>VLOOKUP($E380,Sheet3!$B$3:$G$54,3,0)</f>
        <v>0</v>
      </c>
      <c r="H380" s="5">
        <f>VLOOKUP($A380,Sheet3!$I$3:$J$38,2,0)</f>
        <v>23.6</v>
      </c>
      <c r="I380" s="6">
        <f>VLOOKUP($E380,Sheet3!$B$3:$G$54,5,0)</f>
        <v>126488</v>
      </c>
      <c r="J380" s="5">
        <f>VLOOKUP($E380,Sheet3!$B$3:$G$54,4,0)</f>
        <v>3.9</v>
      </c>
      <c r="K380" s="5">
        <f>VLOOKUP($E380,Sheet3!$B$3:$G$54,6,0)</f>
        <v>0.9</v>
      </c>
      <c r="L380">
        <v>239</v>
      </c>
      <c r="M380">
        <v>96</v>
      </c>
      <c r="N380">
        <v>15</v>
      </c>
      <c r="O380" s="14">
        <f t="shared" ref="O380:O442" si="13">M380/L380</f>
        <v>0.40167364016736401</v>
      </c>
    </row>
    <row r="381" spans="1:15" x14ac:dyDescent="0.3">
      <c r="A381" s="16" t="s">
        <v>35</v>
      </c>
      <c r="B381" s="12" t="s">
        <v>30</v>
      </c>
      <c r="C381" s="12" t="s">
        <v>29</v>
      </c>
      <c r="D381" s="6">
        <f t="shared" si="12"/>
        <v>26</v>
      </c>
      <c r="E381">
        <v>42</v>
      </c>
      <c r="F381" s="6">
        <f>VLOOKUP($E381,Sheet3!$B$3:$D$54,2,0)</f>
        <v>10</v>
      </c>
      <c r="G381" s="6">
        <f>VLOOKUP($E381,Sheet3!$B$3:$G$54,3,0)</f>
        <v>0</v>
      </c>
      <c r="H381" s="5">
        <f>VLOOKUP($A381,Sheet3!$I$3:$J$38,2,0)</f>
        <v>23.6</v>
      </c>
      <c r="I381" s="6">
        <f>VLOOKUP($E381,Sheet3!$B$3:$G$54,5,0)</f>
        <v>126488</v>
      </c>
      <c r="J381" s="5">
        <f>VLOOKUP($E381,Sheet3!$B$3:$G$54,4,0)</f>
        <v>3.9</v>
      </c>
      <c r="K381" s="5">
        <f>VLOOKUP($E381,Sheet3!$B$3:$G$54,6,0)</f>
        <v>0.9</v>
      </c>
      <c r="L381">
        <v>261</v>
      </c>
      <c r="M381">
        <v>336</v>
      </c>
      <c r="N381">
        <v>16</v>
      </c>
      <c r="O381" s="14">
        <f t="shared" si="13"/>
        <v>1.2873563218390804</v>
      </c>
    </row>
    <row r="382" spans="1:15" x14ac:dyDescent="0.3">
      <c r="A382" s="16" t="s">
        <v>35</v>
      </c>
      <c r="B382" s="12" t="s">
        <v>30</v>
      </c>
      <c r="C382" s="12" t="s">
        <v>29</v>
      </c>
      <c r="D382" s="6">
        <f t="shared" si="12"/>
        <v>26</v>
      </c>
      <c r="E382">
        <v>43</v>
      </c>
      <c r="F382" s="6">
        <f>VLOOKUP($E382,Sheet3!$B$3:$D$54,2,0)</f>
        <v>10</v>
      </c>
      <c r="G382" s="6">
        <f>VLOOKUP($E382,Sheet3!$B$3:$G$54,3,0)</f>
        <v>0</v>
      </c>
      <c r="H382" s="5">
        <f>VLOOKUP($A382,Sheet3!$I$3:$J$38,2,0)</f>
        <v>23.6</v>
      </c>
      <c r="I382" s="6">
        <f>VLOOKUP($E382,Sheet3!$B$3:$G$54,5,0)</f>
        <v>126488</v>
      </c>
      <c r="J382" s="5">
        <f>VLOOKUP($E382,Sheet3!$B$3:$G$54,4,0)</f>
        <v>3.65</v>
      </c>
      <c r="K382" s="5">
        <f>VLOOKUP($E382,Sheet3!$B$3:$G$54,6,0)</f>
        <v>0.9</v>
      </c>
      <c r="L382">
        <v>293</v>
      </c>
      <c r="M382">
        <v>168</v>
      </c>
      <c r="N382">
        <v>17</v>
      </c>
      <c r="O382" s="14">
        <f t="shared" si="13"/>
        <v>0.57337883959044367</v>
      </c>
    </row>
    <row r="383" spans="1:15" x14ac:dyDescent="0.3">
      <c r="A383" s="16" t="s">
        <v>35</v>
      </c>
      <c r="B383" s="12" t="s">
        <v>30</v>
      </c>
      <c r="C383" s="12" t="s">
        <v>29</v>
      </c>
      <c r="D383" s="6">
        <f t="shared" si="12"/>
        <v>26</v>
      </c>
      <c r="E383">
        <v>44</v>
      </c>
      <c r="F383" s="6">
        <f>VLOOKUP($E383,Sheet3!$B$3:$D$54,2,0)</f>
        <v>10</v>
      </c>
      <c r="G383" s="6">
        <f>VLOOKUP($E383,Sheet3!$B$3:$G$54,3,0)</f>
        <v>1</v>
      </c>
      <c r="H383" s="5">
        <f>VLOOKUP($A383,Sheet3!$I$3:$J$38,2,0)</f>
        <v>23.6</v>
      </c>
      <c r="I383" s="6">
        <f>VLOOKUP($E383,Sheet3!$B$3:$G$54,5,0)</f>
        <v>126488</v>
      </c>
      <c r="J383" s="5">
        <f>VLOOKUP($E383,Sheet3!$B$3:$G$54,4,0)</f>
        <v>3.65</v>
      </c>
      <c r="K383" s="5">
        <f>VLOOKUP($E383,Sheet3!$B$3:$G$54,6,0)</f>
        <v>0.9</v>
      </c>
      <c r="L383">
        <v>364</v>
      </c>
      <c r="M383">
        <v>288</v>
      </c>
      <c r="N383">
        <v>18</v>
      </c>
      <c r="O383" s="14">
        <f t="shared" si="13"/>
        <v>0.79120879120879117</v>
      </c>
    </row>
    <row r="384" spans="1:15" x14ac:dyDescent="0.3">
      <c r="A384" s="16" t="s">
        <v>35</v>
      </c>
      <c r="B384" s="12" t="s">
        <v>30</v>
      </c>
      <c r="C384" s="12" t="s">
        <v>29</v>
      </c>
      <c r="D384" s="6">
        <f t="shared" si="12"/>
        <v>33</v>
      </c>
      <c r="E384">
        <v>45</v>
      </c>
      <c r="F384" s="6">
        <f>VLOOKUP($E384,Sheet3!$B$3:$D$54,2,0)</f>
        <v>11</v>
      </c>
      <c r="G384" s="6">
        <f>VLOOKUP($E384,Sheet3!$B$3:$G$54,3,0)</f>
        <v>0</v>
      </c>
      <c r="H384" s="5">
        <f>VLOOKUP($A384,Sheet3!$I$3:$J$38,2,0)</f>
        <v>23.6</v>
      </c>
      <c r="I384" s="6">
        <f>VLOOKUP($E384,Sheet3!$B$3:$G$54,5,0)</f>
        <v>124251</v>
      </c>
      <c r="J384" s="5">
        <f>VLOOKUP($E384,Sheet3!$B$3:$G$54,4,0)</f>
        <v>3.65</v>
      </c>
      <c r="K384" s="5">
        <f>VLOOKUP($E384,Sheet3!$B$3:$G$54,6,0)</f>
        <v>1.3</v>
      </c>
      <c r="L384">
        <v>288</v>
      </c>
      <c r="M384">
        <v>96</v>
      </c>
      <c r="N384">
        <v>12</v>
      </c>
      <c r="O384" s="14">
        <f t="shared" si="13"/>
        <v>0.33333333333333331</v>
      </c>
    </row>
    <row r="385" spans="1:15" x14ac:dyDescent="0.3">
      <c r="A385" s="16" t="s">
        <v>35</v>
      </c>
      <c r="B385" s="12" t="s">
        <v>30</v>
      </c>
      <c r="C385" s="12" t="s">
        <v>29</v>
      </c>
      <c r="D385" s="6">
        <f t="shared" si="12"/>
        <v>33</v>
      </c>
      <c r="E385">
        <v>46</v>
      </c>
      <c r="F385" s="6">
        <f>VLOOKUP($E385,Sheet3!$B$3:$D$54,2,0)</f>
        <v>11</v>
      </c>
      <c r="G385" s="6">
        <f>VLOOKUP($E385,Sheet3!$B$3:$G$54,3,0)</f>
        <v>0</v>
      </c>
      <c r="H385" s="5">
        <f>VLOOKUP($A385,Sheet3!$I$3:$J$38,2,0)</f>
        <v>23.6</v>
      </c>
      <c r="I385" s="6">
        <f>VLOOKUP($E385,Sheet3!$B$3:$G$54,5,0)</f>
        <v>124251</v>
      </c>
      <c r="J385" s="5">
        <f>VLOOKUP($E385,Sheet3!$B$3:$G$54,4,0)</f>
        <v>3.65</v>
      </c>
      <c r="K385" s="5">
        <f>VLOOKUP($E385,Sheet3!$B$3:$G$54,6,0)</f>
        <v>1.3</v>
      </c>
      <c r="L385">
        <v>144</v>
      </c>
      <c r="M385">
        <v>228</v>
      </c>
      <c r="N385">
        <v>13</v>
      </c>
      <c r="O385" s="14">
        <f t="shared" si="13"/>
        <v>1.5833333333333333</v>
      </c>
    </row>
    <row r="386" spans="1:15" x14ac:dyDescent="0.3">
      <c r="A386" s="16" t="s">
        <v>35</v>
      </c>
      <c r="B386" s="12" t="s">
        <v>30</v>
      </c>
      <c r="C386" s="12" t="s">
        <v>29</v>
      </c>
      <c r="D386" s="6">
        <f t="shared" si="12"/>
        <v>33</v>
      </c>
      <c r="E386">
        <v>47</v>
      </c>
      <c r="F386" s="6">
        <f>VLOOKUP($E386,Sheet3!$B$3:$D$54,2,0)</f>
        <v>11</v>
      </c>
      <c r="G386" s="6">
        <f>VLOOKUP($E386,Sheet3!$B$3:$G$54,3,0)</f>
        <v>0</v>
      </c>
      <c r="H386" s="5">
        <f>VLOOKUP($A386,Sheet3!$I$3:$J$38,2,0)</f>
        <v>23.6</v>
      </c>
      <c r="I386" s="6">
        <f>VLOOKUP($E386,Sheet3!$B$3:$G$54,5,0)</f>
        <v>124251</v>
      </c>
      <c r="J386" s="5">
        <f>VLOOKUP($E386,Sheet3!$B$3:$G$54,4,0)</f>
        <v>3.65</v>
      </c>
      <c r="K386" s="5">
        <f>VLOOKUP($E386,Sheet3!$B$3:$G$54,6,0)</f>
        <v>1.3</v>
      </c>
      <c r="L386">
        <v>240</v>
      </c>
      <c r="M386">
        <v>216</v>
      </c>
      <c r="N386">
        <v>14</v>
      </c>
      <c r="O386" s="14">
        <f t="shared" si="13"/>
        <v>0.9</v>
      </c>
    </row>
    <row r="387" spans="1:15" x14ac:dyDescent="0.3">
      <c r="A387" s="16" t="s">
        <v>35</v>
      </c>
      <c r="B387" s="12" t="s">
        <v>30</v>
      </c>
      <c r="C387" s="12" t="s">
        <v>29</v>
      </c>
      <c r="D387" s="6">
        <f t="shared" si="12"/>
        <v>33</v>
      </c>
      <c r="E387">
        <v>48</v>
      </c>
      <c r="F387" s="6">
        <f>VLOOKUP($E387,Sheet3!$B$3:$D$54,2,0)</f>
        <v>11</v>
      </c>
      <c r="G387" s="6">
        <f>VLOOKUP($E387,Sheet3!$B$3:$G$54,3,0)</f>
        <v>0</v>
      </c>
      <c r="H387" s="5">
        <f>VLOOKUP($A387,Sheet3!$I$3:$J$38,2,0)</f>
        <v>23.6</v>
      </c>
      <c r="I387" s="6">
        <f>VLOOKUP($E387,Sheet3!$B$3:$G$54,5,0)</f>
        <v>124251</v>
      </c>
      <c r="J387" s="5">
        <f>VLOOKUP($E387,Sheet3!$B$3:$G$54,4,0)</f>
        <v>3.65</v>
      </c>
      <c r="K387" s="5">
        <f>VLOOKUP($E387,Sheet3!$B$3:$G$54,6,0)</f>
        <v>1.3</v>
      </c>
      <c r="L387">
        <v>288</v>
      </c>
      <c r="M387">
        <v>264</v>
      </c>
      <c r="N387">
        <v>15</v>
      </c>
      <c r="O387" s="14">
        <f t="shared" si="13"/>
        <v>0.91666666666666663</v>
      </c>
    </row>
    <row r="388" spans="1:15" x14ac:dyDescent="0.3">
      <c r="A388" s="16" t="s">
        <v>35</v>
      </c>
      <c r="B388" s="12" t="s">
        <v>30</v>
      </c>
      <c r="C388" s="12" t="s">
        <v>29</v>
      </c>
      <c r="D388" s="6">
        <f t="shared" si="12"/>
        <v>37</v>
      </c>
      <c r="E388">
        <v>49</v>
      </c>
      <c r="F388" s="6">
        <f>VLOOKUP($E388,Sheet3!$B$3:$D$54,2,0)</f>
        <v>12</v>
      </c>
      <c r="G388" s="6">
        <f>VLOOKUP($E388,Sheet3!$B$3:$G$54,3,0)</f>
        <v>1</v>
      </c>
      <c r="H388" s="5">
        <f>VLOOKUP($A388,Sheet3!$I$3:$J$38,2,0)</f>
        <v>23.6</v>
      </c>
      <c r="I388" s="6">
        <f>VLOOKUP($E388,Sheet3!$B$3:$G$54,5,0)</f>
        <v>105715</v>
      </c>
      <c r="J388" s="5">
        <f>VLOOKUP($E388,Sheet3!$B$3:$G$54,4,0)</f>
        <v>3.65</v>
      </c>
      <c r="K388" s="5">
        <f>VLOOKUP($E388,Sheet3!$B$3:$G$54,6,0)</f>
        <v>1.3</v>
      </c>
      <c r="L388">
        <v>216</v>
      </c>
      <c r="M388">
        <v>288</v>
      </c>
      <c r="N388">
        <v>12</v>
      </c>
      <c r="O388" s="14">
        <f t="shared" si="13"/>
        <v>1.3333333333333333</v>
      </c>
    </row>
    <row r="389" spans="1:15" x14ac:dyDescent="0.3">
      <c r="A389" s="16" t="s">
        <v>35</v>
      </c>
      <c r="B389" s="12" t="s">
        <v>30</v>
      </c>
      <c r="C389" s="12" t="s">
        <v>29</v>
      </c>
      <c r="D389" s="6">
        <f t="shared" si="12"/>
        <v>37</v>
      </c>
      <c r="E389">
        <v>50</v>
      </c>
      <c r="F389" s="6">
        <f>VLOOKUP($E389,Sheet3!$B$3:$D$54,2,0)</f>
        <v>12</v>
      </c>
      <c r="G389" s="6">
        <f>VLOOKUP($E389,Sheet3!$B$3:$G$54,3,0)</f>
        <v>0</v>
      </c>
      <c r="H389" s="5">
        <f>VLOOKUP($A389,Sheet3!$I$3:$J$38,2,0)</f>
        <v>23.6</v>
      </c>
      <c r="I389" s="6">
        <f>VLOOKUP($E389,Sheet3!$B$3:$G$54,5,0)</f>
        <v>105715</v>
      </c>
      <c r="J389" s="5">
        <f>VLOOKUP($E389,Sheet3!$B$3:$G$54,4,0)</f>
        <v>3.4</v>
      </c>
      <c r="K389" s="5">
        <f>VLOOKUP($E389,Sheet3!$B$3:$G$54,6,0)</f>
        <v>1.3</v>
      </c>
      <c r="L389">
        <v>360</v>
      </c>
      <c r="M389">
        <v>240</v>
      </c>
      <c r="N389">
        <v>13</v>
      </c>
      <c r="O389" s="14">
        <f t="shared" si="13"/>
        <v>0.66666666666666663</v>
      </c>
    </row>
    <row r="390" spans="1:15" x14ac:dyDescent="0.3">
      <c r="A390" s="16" t="s">
        <v>35</v>
      </c>
      <c r="B390" s="12" t="s">
        <v>30</v>
      </c>
      <c r="C390" s="12" t="s">
        <v>29</v>
      </c>
      <c r="D390" s="6">
        <f t="shared" si="12"/>
        <v>37</v>
      </c>
      <c r="E390">
        <v>51</v>
      </c>
      <c r="F390" s="6">
        <f>VLOOKUP($E390,Sheet3!$B$3:$D$54,2,0)</f>
        <v>12</v>
      </c>
      <c r="G390" s="6">
        <f>VLOOKUP($E390,Sheet3!$B$3:$G$54,3,0)</f>
        <v>0</v>
      </c>
      <c r="H390" s="5">
        <f>VLOOKUP($A390,Sheet3!$I$3:$J$38,2,0)</f>
        <v>23.6</v>
      </c>
      <c r="I390" s="6">
        <f>VLOOKUP($E390,Sheet3!$B$3:$G$54,5,0)</f>
        <v>105715</v>
      </c>
      <c r="J390" s="5">
        <f>VLOOKUP($E390,Sheet3!$B$3:$G$54,4,0)</f>
        <v>3.4</v>
      </c>
      <c r="K390" s="5">
        <f>VLOOKUP($E390,Sheet3!$B$3:$G$54,6,0)</f>
        <v>1.3</v>
      </c>
      <c r="L390">
        <v>168</v>
      </c>
      <c r="M390">
        <v>72</v>
      </c>
      <c r="N390">
        <v>14</v>
      </c>
      <c r="O390" s="14">
        <f t="shared" si="13"/>
        <v>0.42857142857142855</v>
      </c>
    </row>
    <row r="391" spans="1:15" x14ac:dyDescent="0.3">
      <c r="A391" s="16" t="s">
        <v>35</v>
      </c>
      <c r="B391" s="12" t="s">
        <v>30</v>
      </c>
      <c r="C391" s="12" t="s">
        <v>29</v>
      </c>
      <c r="D391" s="6">
        <f t="shared" si="12"/>
        <v>44</v>
      </c>
      <c r="E391">
        <v>52</v>
      </c>
      <c r="F391" s="6">
        <f>VLOOKUP($E391,Sheet3!$B$3:$D$54,2,0)</f>
        <v>12</v>
      </c>
      <c r="G391" s="6">
        <f>VLOOKUP($E391,Sheet3!$B$3:$G$54,3,0)</f>
        <v>1</v>
      </c>
      <c r="H391" s="5">
        <f>VLOOKUP($A391,Sheet3!$I$3:$J$38,2,0)</f>
        <v>23.6</v>
      </c>
      <c r="I391" s="6">
        <f>VLOOKUP($E391,Sheet3!$B$3:$G$54,5,0)</f>
        <v>105715</v>
      </c>
      <c r="J391" s="5">
        <f>VLOOKUP($E391,Sheet3!$B$3:$G$54,4,0)</f>
        <v>3.4</v>
      </c>
      <c r="K391" s="5">
        <f>VLOOKUP($E391,Sheet3!$B$3:$G$54,6,0)</f>
        <v>1.3</v>
      </c>
      <c r="L391">
        <v>0</v>
      </c>
      <c r="M391">
        <v>0</v>
      </c>
      <c r="N391">
        <v>8</v>
      </c>
      <c r="O391" s="14" t="e">
        <f t="shared" si="13"/>
        <v>#DIV/0!</v>
      </c>
    </row>
    <row r="392" spans="1:15" x14ac:dyDescent="0.3">
      <c r="A392" s="16" t="s">
        <v>35</v>
      </c>
      <c r="B392" s="12" t="s">
        <v>30</v>
      </c>
      <c r="C392" s="12" t="s">
        <v>29</v>
      </c>
      <c r="D392" s="6">
        <f t="shared" si="12"/>
        <v>47</v>
      </c>
      <c r="E392">
        <v>1</v>
      </c>
      <c r="F392" s="6">
        <f>VLOOKUP($E392,Sheet3!$B$3:$D$54,2,0)</f>
        <v>12</v>
      </c>
      <c r="G392" s="6">
        <f>VLOOKUP($E392,Sheet3!$B$3:$G$54,3,0)</f>
        <v>1</v>
      </c>
      <c r="H392" s="5">
        <f>VLOOKUP($A392,Sheet3!$I$3:$J$38,2,0)</f>
        <v>23.6</v>
      </c>
      <c r="I392" s="6">
        <f>VLOOKUP($E392,Sheet3!$B$3:$G$54,5,0)</f>
        <v>105715</v>
      </c>
      <c r="J392" s="5">
        <f>VLOOKUP($E392,Sheet3!$B$3:$G$54,4,0)</f>
        <v>3.4</v>
      </c>
      <c r="K392" s="5">
        <f>VLOOKUP($E392,Sheet3!$B$3:$G$54,6,0)</f>
        <v>1.3</v>
      </c>
      <c r="L392">
        <v>0</v>
      </c>
      <c r="M392">
        <v>0</v>
      </c>
      <c r="N392">
        <v>6</v>
      </c>
      <c r="O392" s="14" t="e">
        <f t="shared" si="13"/>
        <v>#DIV/0!</v>
      </c>
    </row>
    <row r="393" spans="1:15" x14ac:dyDescent="0.3">
      <c r="A393" s="16" t="s">
        <v>35</v>
      </c>
      <c r="B393" s="12" t="s">
        <v>30</v>
      </c>
      <c r="C393" s="12" t="s">
        <v>29</v>
      </c>
      <c r="D393" s="6">
        <f t="shared" si="12"/>
        <v>41</v>
      </c>
      <c r="E393">
        <v>2</v>
      </c>
      <c r="F393" s="6">
        <f>VLOOKUP($E393,Sheet3!$B$3:$D$54,2,0)</f>
        <v>1</v>
      </c>
      <c r="G393" s="6">
        <f>VLOOKUP($E393,Sheet3!$B$3:$G$54,3,0)</f>
        <v>1</v>
      </c>
      <c r="H393" s="5">
        <f>VLOOKUP($A393,Sheet3!$I$3:$J$38,2,0)</f>
        <v>23.6</v>
      </c>
      <c r="I393" s="6">
        <f>VLOOKUP($E393,Sheet3!$B$3:$G$54,5,0)</f>
        <v>133692</v>
      </c>
      <c r="J393" s="5">
        <f>VLOOKUP($E393,Sheet3!$B$3:$G$54,4,0)</f>
        <v>3.4</v>
      </c>
      <c r="K393" s="5">
        <f>VLOOKUP($E393,Sheet3!$B$3:$G$54,6,0)</f>
        <v>1.5</v>
      </c>
      <c r="L393">
        <v>312</v>
      </c>
      <c r="M393">
        <v>432</v>
      </c>
      <c r="N393">
        <v>13</v>
      </c>
      <c r="O393" s="14">
        <f t="shared" si="13"/>
        <v>1.3846153846153846</v>
      </c>
    </row>
    <row r="394" spans="1:15" x14ac:dyDescent="0.3">
      <c r="A394" s="16" t="s">
        <v>35</v>
      </c>
      <c r="B394" s="12" t="s">
        <v>30</v>
      </c>
      <c r="C394" s="12" t="s">
        <v>29</v>
      </c>
      <c r="D394" s="6">
        <f t="shared" si="12"/>
        <v>41</v>
      </c>
      <c r="E394">
        <v>3</v>
      </c>
      <c r="F394" s="6">
        <f>VLOOKUP($E394,Sheet3!$B$3:$D$54,2,0)</f>
        <v>1</v>
      </c>
      <c r="G394" s="6">
        <f>VLOOKUP($E394,Sheet3!$B$3:$G$54,3,0)</f>
        <v>0</v>
      </c>
      <c r="H394" s="5">
        <f>VLOOKUP($A394,Sheet3!$I$3:$J$38,2,0)</f>
        <v>23.6</v>
      </c>
      <c r="I394" s="6">
        <f>VLOOKUP($E394,Sheet3!$B$3:$G$54,5,0)</f>
        <v>133692</v>
      </c>
      <c r="J394" s="5">
        <f>VLOOKUP($E394,Sheet3!$B$3:$G$54,4,0)</f>
        <v>3.4</v>
      </c>
      <c r="K394" s="5">
        <f>VLOOKUP($E394,Sheet3!$B$3:$G$54,6,0)</f>
        <v>1.5</v>
      </c>
      <c r="L394">
        <v>312</v>
      </c>
      <c r="M394">
        <v>336</v>
      </c>
      <c r="N394">
        <v>14</v>
      </c>
      <c r="O394" s="14">
        <f t="shared" si="13"/>
        <v>1.0769230769230769</v>
      </c>
    </row>
    <row r="395" spans="1:15" x14ac:dyDescent="0.3">
      <c r="A395" s="16" t="s">
        <v>35</v>
      </c>
      <c r="B395" s="12" t="s">
        <v>30</v>
      </c>
      <c r="C395" s="12" t="s">
        <v>29</v>
      </c>
      <c r="D395" s="6">
        <f t="shared" si="12"/>
        <v>41</v>
      </c>
      <c r="E395">
        <v>4</v>
      </c>
      <c r="F395" s="6">
        <f>VLOOKUP($E395,Sheet3!$B$3:$D$54,2,0)</f>
        <v>1</v>
      </c>
      <c r="G395" s="6">
        <f>VLOOKUP($E395,Sheet3!$B$3:$G$54,3,0)</f>
        <v>0</v>
      </c>
      <c r="H395" s="5">
        <f>VLOOKUP($A395,Sheet3!$I$3:$J$38,2,0)</f>
        <v>23.6</v>
      </c>
      <c r="I395" s="6">
        <f>VLOOKUP($E395,Sheet3!$B$3:$G$54,5,0)</f>
        <v>133692</v>
      </c>
      <c r="J395" s="5">
        <f>VLOOKUP($E395,Sheet3!$B$3:$G$54,4,0)</f>
        <v>3.4</v>
      </c>
      <c r="K395" s="5">
        <f>VLOOKUP($E395,Sheet3!$B$3:$G$54,6,0)</f>
        <v>1.5</v>
      </c>
      <c r="L395">
        <v>264</v>
      </c>
      <c r="M395">
        <v>384</v>
      </c>
      <c r="N395">
        <v>15</v>
      </c>
      <c r="O395" s="14">
        <f t="shared" si="13"/>
        <v>1.4545454545454546</v>
      </c>
    </row>
    <row r="396" spans="1:15" x14ac:dyDescent="0.3">
      <c r="A396" s="16" t="s">
        <v>35</v>
      </c>
      <c r="B396" s="12" t="s">
        <v>30</v>
      </c>
      <c r="C396" s="12" t="s">
        <v>29</v>
      </c>
      <c r="D396" s="6">
        <f t="shared" si="12"/>
        <v>41</v>
      </c>
      <c r="E396">
        <v>5</v>
      </c>
      <c r="F396" s="6">
        <f>VLOOKUP($E396,Sheet3!$B$3:$D$54,2,0)</f>
        <v>1</v>
      </c>
      <c r="G396" s="6">
        <f>VLOOKUP($E396,Sheet3!$B$3:$G$54,3,0)</f>
        <v>0</v>
      </c>
      <c r="H396" s="5">
        <f>VLOOKUP($A396,Sheet3!$I$3:$J$38,2,0)</f>
        <v>23.6</v>
      </c>
      <c r="I396" s="6">
        <f>VLOOKUP($E396,Sheet3!$B$3:$G$54,5,0)</f>
        <v>133692</v>
      </c>
      <c r="J396" s="5">
        <f>VLOOKUP($E396,Sheet3!$B$3:$G$54,4,0)</f>
        <v>3.4</v>
      </c>
      <c r="K396" s="5">
        <f>VLOOKUP($E396,Sheet3!$B$3:$G$54,6,0)</f>
        <v>1.5</v>
      </c>
      <c r="L396">
        <v>360</v>
      </c>
      <c r="M396">
        <v>216</v>
      </c>
      <c r="N396">
        <v>16</v>
      </c>
      <c r="O396" s="14">
        <f t="shared" si="13"/>
        <v>0.6</v>
      </c>
    </row>
    <row r="397" spans="1:15" x14ac:dyDescent="0.3">
      <c r="A397" s="16" t="s">
        <v>35</v>
      </c>
      <c r="B397" s="12" t="s">
        <v>30</v>
      </c>
      <c r="C397" s="12" t="s">
        <v>29</v>
      </c>
      <c r="D397" s="6">
        <f t="shared" si="12"/>
        <v>46</v>
      </c>
      <c r="E397">
        <v>6</v>
      </c>
      <c r="F397" s="6">
        <f>VLOOKUP($E397,Sheet3!$B$3:$D$54,2,0)</f>
        <v>2</v>
      </c>
      <c r="G397" s="6">
        <f>VLOOKUP($E397,Sheet3!$B$3:$G$54,3,0)</f>
        <v>0</v>
      </c>
      <c r="H397" s="5">
        <f>VLOOKUP($A397,Sheet3!$I$3:$J$38,2,0)</f>
        <v>23.6</v>
      </c>
      <c r="I397" s="6">
        <f>VLOOKUP($E397,Sheet3!$B$3:$G$54,5,0)</f>
        <v>137922</v>
      </c>
      <c r="J397" s="5">
        <f>VLOOKUP($E397,Sheet3!$B$3:$G$54,4,0)</f>
        <v>3.15</v>
      </c>
      <c r="K397" s="5">
        <f>VLOOKUP($E397,Sheet3!$B$3:$G$54,6,0)</f>
        <v>1.6</v>
      </c>
      <c r="L397">
        <v>288</v>
      </c>
      <c r="M397">
        <v>384</v>
      </c>
      <c r="N397">
        <v>12</v>
      </c>
      <c r="O397" s="14">
        <f t="shared" si="13"/>
        <v>1.3333333333333333</v>
      </c>
    </row>
    <row r="398" spans="1:15" x14ac:dyDescent="0.3">
      <c r="A398" s="16" t="s">
        <v>35</v>
      </c>
      <c r="B398" s="12" t="s">
        <v>30</v>
      </c>
      <c r="C398" s="12" t="s">
        <v>29</v>
      </c>
      <c r="D398" s="6">
        <f t="shared" si="12"/>
        <v>46</v>
      </c>
      <c r="E398">
        <v>7</v>
      </c>
      <c r="F398" s="6">
        <f>VLOOKUP($E398,Sheet3!$B$3:$D$54,2,0)</f>
        <v>2</v>
      </c>
      <c r="G398" s="6">
        <f>VLOOKUP($E398,Sheet3!$B$3:$G$54,3,0)</f>
        <v>0</v>
      </c>
      <c r="H398" s="5">
        <f>VLOOKUP($A398,Sheet3!$I$3:$J$38,2,0)</f>
        <v>23.6</v>
      </c>
      <c r="I398" s="6">
        <f>VLOOKUP($E398,Sheet3!$B$3:$G$54,5,0)</f>
        <v>137922</v>
      </c>
      <c r="J398" s="5">
        <f>VLOOKUP($E398,Sheet3!$B$3:$G$54,4,0)</f>
        <v>3.15</v>
      </c>
      <c r="K398" s="5">
        <f>VLOOKUP($E398,Sheet3!$B$3:$G$54,6,0)</f>
        <v>1.6</v>
      </c>
      <c r="L398">
        <v>240</v>
      </c>
      <c r="M398">
        <v>312</v>
      </c>
      <c r="N398">
        <v>13</v>
      </c>
      <c r="O398" s="14">
        <f t="shared" si="13"/>
        <v>1.3</v>
      </c>
    </row>
    <row r="399" spans="1:15" x14ac:dyDescent="0.3">
      <c r="A399" s="16" t="s">
        <v>35</v>
      </c>
      <c r="B399" s="12" t="s">
        <v>30</v>
      </c>
      <c r="C399" s="12" t="s">
        <v>29</v>
      </c>
      <c r="D399" s="6">
        <f t="shared" si="12"/>
        <v>46</v>
      </c>
      <c r="E399">
        <v>8</v>
      </c>
      <c r="F399" s="6">
        <f>VLOOKUP($E399,Sheet3!$B$3:$D$54,2,0)</f>
        <v>2</v>
      </c>
      <c r="G399" s="6">
        <f>VLOOKUP($E399,Sheet3!$B$3:$G$54,3,0)</f>
        <v>0</v>
      </c>
      <c r="H399" s="5">
        <f>VLOOKUP($A399,Sheet3!$I$3:$J$38,2,0)</f>
        <v>23.6</v>
      </c>
      <c r="I399" s="6">
        <f>VLOOKUP($E399,Sheet3!$B$3:$G$54,5,0)</f>
        <v>137922</v>
      </c>
      <c r="J399" s="5">
        <f>VLOOKUP($E399,Sheet3!$B$3:$G$54,4,0)</f>
        <v>3.15</v>
      </c>
      <c r="K399" s="5">
        <f>VLOOKUP($E399,Sheet3!$B$3:$G$54,6,0)</f>
        <v>1.6</v>
      </c>
      <c r="L399">
        <v>240</v>
      </c>
      <c r="M399">
        <v>264</v>
      </c>
      <c r="N399">
        <v>14</v>
      </c>
      <c r="O399" s="14">
        <f t="shared" si="13"/>
        <v>1.1000000000000001</v>
      </c>
    </row>
    <row r="400" spans="1:15" x14ac:dyDescent="0.3">
      <c r="A400" s="16" t="s">
        <v>35</v>
      </c>
      <c r="B400" s="12" t="s">
        <v>30</v>
      </c>
      <c r="C400" s="12" t="s">
        <v>29</v>
      </c>
      <c r="D400" s="6">
        <f t="shared" si="12"/>
        <v>46</v>
      </c>
      <c r="E400">
        <v>9</v>
      </c>
      <c r="F400" s="6">
        <f>VLOOKUP($E400,Sheet3!$B$3:$D$54,2,0)</f>
        <v>2</v>
      </c>
      <c r="G400" s="6">
        <f>VLOOKUP($E400,Sheet3!$B$3:$G$54,3,0)</f>
        <v>0</v>
      </c>
      <c r="H400" s="5">
        <f>VLOOKUP($A400,Sheet3!$I$3:$J$38,2,0)</f>
        <v>23.6</v>
      </c>
      <c r="I400" s="6">
        <f>VLOOKUP($E400,Sheet3!$B$3:$G$54,5,0)</f>
        <v>137922</v>
      </c>
      <c r="J400" s="5">
        <f>VLOOKUP($E400,Sheet3!$B$3:$G$54,4,0)</f>
        <v>3.15</v>
      </c>
      <c r="K400" s="5">
        <f>VLOOKUP($E400,Sheet3!$B$3:$G$54,6,0)</f>
        <v>1.6</v>
      </c>
      <c r="L400">
        <v>336</v>
      </c>
      <c r="M400">
        <v>384</v>
      </c>
      <c r="N400">
        <v>15</v>
      </c>
      <c r="O400" s="14">
        <f t="shared" si="13"/>
        <v>1.1428571428571428</v>
      </c>
    </row>
    <row r="401" spans="1:15" x14ac:dyDescent="0.3">
      <c r="A401" s="16" t="s">
        <v>35</v>
      </c>
      <c r="B401" s="12" t="s">
        <v>30</v>
      </c>
      <c r="C401" s="12" t="s">
        <v>29</v>
      </c>
      <c r="D401" s="6">
        <f t="shared" si="12"/>
        <v>51</v>
      </c>
      <c r="E401">
        <v>10</v>
      </c>
      <c r="F401" s="6">
        <f>VLOOKUP($E401,Sheet3!$B$3:$D$54,2,0)</f>
        <v>3</v>
      </c>
      <c r="G401" s="6">
        <f>VLOOKUP($E401,Sheet3!$B$3:$G$54,3,0)</f>
        <v>0</v>
      </c>
      <c r="H401" s="5">
        <f>VLOOKUP($A401,Sheet3!$I$3:$J$38,2,0)</f>
        <v>23.6</v>
      </c>
      <c r="I401" s="6">
        <f>VLOOKUP($E401,Sheet3!$B$3:$G$54,5,0)</f>
        <v>172223</v>
      </c>
      <c r="J401" s="5">
        <f>VLOOKUP($E401,Sheet3!$B$3:$G$54,4,0)</f>
        <v>3.15</v>
      </c>
      <c r="K401" s="5">
        <f>VLOOKUP($E401,Sheet3!$B$3:$G$54,6,0)</f>
        <v>1.9</v>
      </c>
      <c r="L401">
        <v>312</v>
      </c>
      <c r="M401">
        <v>360</v>
      </c>
      <c r="N401">
        <v>11</v>
      </c>
      <c r="O401" s="14">
        <f t="shared" si="13"/>
        <v>1.1538461538461537</v>
      </c>
    </row>
    <row r="402" spans="1:15" x14ac:dyDescent="0.3">
      <c r="A402" s="16" t="s">
        <v>35</v>
      </c>
      <c r="B402" s="12" t="s">
        <v>30</v>
      </c>
      <c r="C402" s="12" t="s">
        <v>29</v>
      </c>
      <c r="D402" s="6">
        <f t="shared" si="12"/>
        <v>51</v>
      </c>
      <c r="E402">
        <v>11</v>
      </c>
      <c r="F402" s="6">
        <f>VLOOKUP($E402,Sheet3!$B$3:$D$54,2,0)</f>
        <v>3</v>
      </c>
      <c r="G402" s="6">
        <f>VLOOKUP($E402,Sheet3!$B$3:$G$54,3,0)</f>
        <v>0</v>
      </c>
      <c r="H402" s="5">
        <f>VLOOKUP($A402,Sheet3!$I$3:$J$38,2,0)</f>
        <v>23.6</v>
      </c>
      <c r="I402" s="6">
        <f>VLOOKUP($E402,Sheet3!$B$3:$G$54,5,0)</f>
        <v>172223</v>
      </c>
      <c r="J402" s="5">
        <f>VLOOKUP($E402,Sheet3!$B$3:$G$54,4,0)</f>
        <v>2.9</v>
      </c>
      <c r="K402" s="5">
        <f>VLOOKUP($E402,Sheet3!$B$3:$G$54,6,0)</f>
        <v>1.9</v>
      </c>
      <c r="L402">
        <v>240</v>
      </c>
      <c r="M402">
        <v>432</v>
      </c>
      <c r="N402">
        <v>12</v>
      </c>
      <c r="O402" s="14">
        <f t="shared" si="13"/>
        <v>1.8</v>
      </c>
    </row>
    <row r="403" spans="1:15" x14ac:dyDescent="0.3">
      <c r="A403" s="16" t="s">
        <v>35</v>
      </c>
      <c r="B403" s="12" t="s">
        <v>30</v>
      </c>
      <c r="C403" s="12" t="s">
        <v>29</v>
      </c>
      <c r="D403" s="6">
        <f t="shared" si="12"/>
        <v>51</v>
      </c>
      <c r="E403">
        <v>12</v>
      </c>
      <c r="F403" s="6">
        <f>VLOOKUP($E403,Sheet3!$B$3:$D$54,2,0)</f>
        <v>3</v>
      </c>
      <c r="G403" s="6">
        <f>VLOOKUP($E403,Sheet3!$B$3:$G$54,3,0)</f>
        <v>0</v>
      </c>
      <c r="H403" s="5">
        <f>VLOOKUP($A403,Sheet3!$I$3:$J$38,2,0)</f>
        <v>23.6</v>
      </c>
      <c r="I403" s="6">
        <f>VLOOKUP($E403,Sheet3!$B$3:$G$54,5,0)</f>
        <v>172223</v>
      </c>
      <c r="J403" s="5">
        <f>VLOOKUP($E403,Sheet3!$B$3:$G$54,4,0)</f>
        <v>2.9</v>
      </c>
      <c r="K403" s="5">
        <f>VLOOKUP($E403,Sheet3!$B$3:$G$54,6,0)</f>
        <v>1.9</v>
      </c>
      <c r="L403">
        <v>312</v>
      </c>
      <c r="M403">
        <v>336</v>
      </c>
      <c r="N403">
        <v>13</v>
      </c>
      <c r="O403" s="14">
        <f t="shared" si="13"/>
        <v>1.0769230769230769</v>
      </c>
    </row>
    <row r="404" spans="1:15" x14ac:dyDescent="0.3">
      <c r="A404" s="16" t="s">
        <v>35</v>
      </c>
      <c r="B404" s="12" t="s">
        <v>30</v>
      </c>
      <c r="C404" s="12" t="s">
        <v>29</v>
      </c>
      <c r="D404" s="6">
        <f t="shared" si="12"/>
        <v>51</v>
      </c>
      <c r="E404">
        <v>13</v>
      </c>
      <c r="F404" s="6">
        <f>VLOOKUP($E404,Sheet3!$B$3:$D$54,2,0)</f>
        <v>3</v>
      </c>
      <c r="G404" s="6">
        <f>VLOOKUP($E404,Sheet3!$B$3:$G$54,3,0)</f>
        <v>0</v>
      </c>
      <c r="H404" s="5">
        <f>VLOOKUP($A404,Sheet3!$I$3:$J$38,2,0)</f>
        <v>23.6</v>
      </c>
      <c r="I404" s="6">
        <f>VLOOKUP($E404,Sheet3!$B$3:$G$54,5,0)</f>
        <v>172223</v>
      </c>
      <c r="J404" s="5">
        <f>VLOOKUP($E404,Sheet3!$B$3:$G$54,4,0)</f>
        <v>2.9</v>
      </c>
      <c r="K404" s="5">
        <f>VLOOKUP($E404,Sheet3!$B$3:$G$54,6,0)</f>
        <v>1.9</v>
      </c>
      <c r="L404">
        <v>288</v>
      </c>
      <c r="M404">
        <v>216</v>
      </c>
      <c r="N404">
        <v>14</v>
      </c>
      <c r="O404" s="14">
        <f t="shared" si="13"/>
        <v>0.75</v>
      </c>
    </row>
    <row r="405" spans="1:15" x14ac:dyDescent="0.3">
      <c r="A405" s="16" t="s">
        <v>35</v>
      </c>
      <c r="B405" s="12" t="s">
        <v>30</v>
      </c>
      <c r="C405" s="12" t="s">
        <v>29</v>
      </c>
      <c r="D405" s="6">
        <f t="shared" si="12"/>
        <v>51</v>
      </c>
      <c r="E405">
        <v>14</v>
      </c>
      <c r="F405" s="6">
        <f>VLOOKUP($E405,Sheet3!$B$3:$D$54,2,0)</f>
        <v>3</v>
      </c>
      <c r="G405" s="6">
        <f>VLOOKUP($E405,Sheet3!$B$3:$G$54,3,0)</f>
        <v>0</v>
      </c>
      <c r="H405" s="5">
        <f>VLOOKUP($A405,Sheet3!$I$3:$J$38,2,0)</f>
        <v>23.6</v>
      </c>
      <c r="I405" s="6">
        <f>VLOOKUP($E405,Sheet3!$B$3:$G$54,5,0)</f>
        <v>172223</v>
      </c>
      <c r="J405" s="5">
        <f>VLOOKUP($E405,Sheet3!$B$3:$G$54,4,0)</f>
        <v>2.9</v>
      </c>
      <c r="K405" s="5">
        <f>VLOOKUP($E405,Sheet3!$B$3:$G$54,6,0)</f>
        <v>1.9</v>
      </c>
      <c r="L405">
        <v>312</v>
      </c>
      <c r="M405">
        <v>240</v>
      </c>
      <c r="N405">
        <v>15</v>
      </c>
      <c r="O405" s="14">
        <f t="shared" si="13"/>
        <v>0.76923076923076927</v>
      </c>
    </row>
    <row r="406" spans="1:15" x14ac:dyDescent="0.3">
      <c r="A406" s="16" t="s">
        <v>35</v>
      </c>
      <c r="B406" s="12" t="s">
        <v>30</v>
      </c>
      <c r="C406" s="12" t="s">
        <v>29</v>
      </c>
      <c r="D406" s="6">
        <f t="shared" si="12"/>
        <v>4</v>
      </c>
      <c r="E406">
        <v>15</v>
      </c>
      <c r="F406" s="6">
        <f>VLOOKUP($E406,Sheet3!$B$3:$D$54,2,0)</f>
        <v>4</v>
      </c>
      <c r="G406" s="6">
        <f>VLOOKUP($E406,Sheet3!$B$3:$G$54,3,0)</f>
        <v>0</v>
      </c>
      <c r="H406" s="5">
        <f>VLOOKUP($A406,Sheet3!$I$3:$J$38,2,0)</f>
        <v>23.6</v>
      </c>
      <c r="I406" s="6">
        <f>VLOOKUP($E406,Sheet3!$B$3:$G$54,5,0)</f>
        <v>139084</v>
      </c>
      <c r="J406" s="5">
        <f>VLOOKUP($E406,Sheet3!$B$3:$G$54,4,0)</f>
        <v>2.9</v>
      </c>
      <c r="K406" s="5">
        <f>VLOOKUP($E406,Sheet3!$B$3:$G$54,6,0)</f>
        <v>1.9</v>
      </c>
      <c r="L406">
        <v>360</v>
      </c>
      <c r="M406">
        <v>288</v>
      </c>
      <c r="N406">
        <v>11</v>
      </c>
      <c r="O406" s="14">
        <f t="shared" si="13"/>
        <v>0.8</v>
      </c>
    </row>
    <row r="407" spans="1:15" x14ac:dyDescent="0.3">
      <c r="A407" s="16" t="s">
        <v>35</v>
      </c>
      <c r="B407" s="12" t="s">
        <v>30</v>
      </c>
      <c r="C407" s="12" t="s">
        <v>29</v>
      </c>
      <c r="D407" s="6">
        <f t="shared" si="12"/>
        <v>4</v>
      </c>
      <c r="E407">
        <v>16</v>
      </c>
      <c r="F407" s="6">
        <f>VLOOKUP($E407,Sheet3!$B$3:$D$54,2,0)</f>
        <v>4</v>
      </c>
      <c r="G407" s="6">
        <f>VLOOKUP($E407,Sheet3!$B$3:$G$54,3,0)</f>
        <v>0</v>
      </c>
      <c r="H407" s="5">
        <f>VLOOKUP($A407,Sheet3!$I$3:$J$38,2,0)</f>
        <v>23.6</v>
      </c>
      <c r="I407" s="6">
        <f>VLOOKUP($E407,Sheet3!$B$3:$G$54,5,0)</f>
        <v>139084</v>
      </c>
      <c r="J407" s="5">
        <f>VLOOKUP($E407,Sheet3!$B$3:$G$54,4,0)</f>
        <v>2.9</v>
      </c>
      <c r="K407" s="5">
        <f>VLOOKUP($E407,Sheet3!$B$3:$G$54,6,0)</f>
        <v>1.9</v>
      </c>
      <c r="L407">
        <v>384</v>
      </c>
      <c r="M407">
        <v>216</v>
      </c>
      <c r="N407">
        <v>12</v>
      </c>
      <c r="O407" s="14">
        <f t="shared" si="13"/>
        <v>0.5625</v>
      </c>
    </row>
    <row r="408" spans="1:15" x14ac:dyDescent="0.3">
      <c r="A408" s="16" t="s">
        <v>35</v>
      </c>
      <c r="B408" s="12" t="s">
        <v>30</v>
      </c>
      <c r="C408" s="12" t="s">
        <v>29</v>
      </c>
      <c r="D408" s="6">
        <f t="shared" si="12"/>
        <v>4</v>
      </c>
      <c r="E408">
        <v>17</v>
      </c>
      <c r="F408" s="6">
        <f>VLOOKUP($E408,Sheet3!$B$3:$D$54,2,0)</f>
        <v>4</v>
      </c>
      <c r="G408" s="6">
        <f>VLOOKUP($E408,Sheet3!$B$3:$G$54,3,0)</f>
        <v>1</v>
      </c>
      <c r="H408" s="5">
        <f>VLOOKUP($A408,Sheet3!$I$3:$J$38,2,0)</f>
        <v>23.6</v>
      </c>
      <c r="I408" s="6">
        <f>VLOOKUP($E408,Sheet3!$B$3:$G$54,5,0)</f>
        <v>139084</v>
      </c>
      <c r="J408" s="5">
        <f>VLOOKUP($E408,Sheet3!$B$3:$G$54,4,0)</f>
        <v>2.65</v>
      </c>
      <c r="K408" s="5">
        <f>VLOOKUP($E408,Sheet3!$B$3:$G$54,6,0)</f>
        <v>1.9</v>
      </c>
      <c r="L408">
        <v>0</v>
      </c>
      <c r="M408">
        <v>72</v>
      </c>
      <c r="N408">
        <v>13</v>
      </c>
      <c r="O408" s="14" t="e">
        <f t="shared" si="13"/>
        <v>#DIV/0!</v>
      </c>
    </row>
    <row r="409" spans="1:15" x14ac:dyDescent="0.3">
      <c r="A409" s="16" t="s">
        <v>35</v>
      </c>
      <c r="B409" s="12" t="s">
        <v>30</v>
      </c>
      <c r="C409" s="12" t="s">
        <v>29</v>
      </c>
      <c r="D409" s="6">
        <f t="shared" si="12"/>
        <v>5</v>
      </c>
      <c r="E409">
        <v>18</v>
      </c>
      <c r="F409" s="6">
        <f>VLOOKUP($E409,Sheet3!$B$3:$D$54,2,0)</f>
        <v>4</v>
      </c>
      <c r="G409" s="6">
        <f>VLOOKUP($E409,Sheet3!$B$3:$G$54,3,0)</f>
        <v>1</v>
      </c>
      <c r="H409" s="5">
        <f>VLOOKUP($A409,Sheet3!$I$3:$J$38,2,0)</f>
        <v>23.6</v>
      </c>
      <c r="I409" s="6">
        <f>VLOOKUP($E409,Sheet3!$B$3:$G$54,5,0)</f>
        <v>139084</v>
      </c>
      <c r="J409" s="5">
        <f>VLOOKUP($E409,Sheet3!$B$3:$G$54,4,0)</f>
        <v>2.65</v>
      </c>
      <c r="K409" s="5">
        <f>VLOOKUP($E409,Sheet3!$B$3:$G$54,6,0)</f>
        <v>1.9</v>
      </c>
      <c r="L409">
        <v>192</v>
      </c>
      <c r="M409">
        <v>144</v>
      </c>
      <c r="N409">
        <v>13</v>
      </c>
      <c r="O409" s="14">
        <f t="shared" si="13"/>
        <v>0.75</v>
      </c>
    </row>
    <row r="410" spans="1:15" x14ac:dyDescent="0.3">
      <c r="A410" s="16" t="s">
        <v>35</v>
      </c>
      <c r="B410" s="12" t="s">
        <v>30</v>
      </c>
      <c r="C410" s="12" t="s">
        <v>29</v>
      </c>
      <c r="D410" s="6">
        <f t="shared" si="12"/>
        <v>7</v>
      </c>
      <c r="E410">
        <v>19</v>
      </c>
      <c r="F410" s="6">
        <f>VLOOKUP($E410,Sheet3!$B$3:$D$54,2,0)</f>
        <v>5</v>
      </c>
      <c r="G410" s="6">
        <f>VLOOKUP($E410,Sheet3!$B$3:$G$54,3,0)</f>
        <v>0</v>
      </c>
      <c r="H410" s="5">
        <f>VLOOKUP($A410,Sheet3!$I$3:$J$38,2,0)</f>
        <v>23.6</v>
      </c>
      <c r="I410" s="6">
        <f>VLOOKUP($E410,Sheet3!$B$3:$G$54,5,0)</f>
        <v>139390</v>
      </c>
      <c r="J410" s="5">
        <f>VLOOKUP($E410,Sheet3!$B$3:$G$54,4,0)</f>
        <v>2.65</v>
      </c>
      <c r="K410" s="5">
        <f>VLOOKUP($E410,Sheet3!$B$3:$G$54,6,0)</f>
        <v>1.6</v>
      </c>
      <c r="L410">
        <v>264</v>
      </c>
      <c r="M410">
        <v>384</v>
      </c>
      <c r="N410">
        <v>12</v>
      </c>
      <c r="O410" s="14">
        <f t="shared" si="13"/>
        <v>1.4545454545454546</v>
      </c>
    </row>
    <row r="411" spans="1:15" x14ac:dyDescent="0.3">
      <c r="A411" s="16" t="s">
        <v>35</v>
      </c>
      <c r="B411" s="12" t="s">
        <v>30</v>
      </c>
      <c r="C411" s="12" t="s">
        <v>29</v>
      </c>
      <c r="D411" s="6">
        <f t="shared" si="12"/>
        <v>7</v>
      </c>
      <c r="E411">
        <v>20</v>
      </c>
      <c r="F411" s="6">
        <f>VLOOKUP($E411,Sheet3!$B$3:$D$54,2,0)</f>
        <v>5</v>
      </c>
      <c r="G411" s="6">
        <f>VLOOKUP($E411,Sheet3!$B$3:$G$54,3,0)</f>
        <v>0</v>
      </c>
      <c r="H411" s="5">
        <f>VLOOKUP($A411,Sheet3!$I$3:$J$38,2,0)</f>
        <v>23.6</v>
      </c>
      <c r="I411" s="6">
        <f>VLOOKUP($E411,Sheet3!$B$3:$G$54,5,0)</f>
        <v>139390</v>
      </c>
      <c r="J411" s="5">
        <f>VLOOKUP($E411,Sheet3!$B$3:$G$54,4,0)</f>
        <v>2.65</v>
      </c>
      <c r="K411" s="5">
        <f>VLOOKUP($E411,Sheet3!$B$3:$G$54,6,0)</f>
        <v>1.6</v>
      </c>
      <c r="L411">
        <v>216</v>
      </c>
      <c r="M411">
        <v>312</v>
      </c>
      <c r="N411">
        <v>13</v>
      </c>
      <c r="O411" s="14">
        <f t="shared" si="13"/>
        <v>1.4444444444444444</v>
      </c>
    </row>
    <row r="412" spans="1:15" x14ac:dyDescent="0.3">
      <c r="A412" s="16" t="s">
        <v>35</v>
      </c>
      <c r="B412" s="12" t="s">
        <v>30</v>
      </c>
      <c r="C412" s="12" t="s">
        <v>29</v>
      </c>
      <c r="D412" s="6">
        <f t="shared" si="12"/>
        <v>7</v>
      </c>
      <c r="E412">
        <v>21</v>
      </c>
      <c r="F412" s="6">
        <f>VLOOKUP($E412,Sheet3!$B$3:$D$54,2,0)</f>
        <v>5</v>
      </c>
      <c r="G412" s="6">
        <f>VLOOKUP($E412,Sheet3!$B$3:$G$54,3,0)</f>
        <v>0</v>
      </c>
      <c r="H412" s="5">
        <f>VLOOKUP($A412,Sheet3!$I$3:$J$38,2,0)</f>
        <v>23.6</v>
      </c>
      <c r="I412" s="6">
        <f>VLOOKUP($E412,Sheet3!$B$3:$G$54,5,0)</f>
        <v>139390</v>
      </c>
      <c r="J412" s="5">
        <f>VLOOKUP($E412,Sheet3!$B$3:$G$54,4,0)</f>
        <v>2.65</v>
      </c>
      <c r="K412" s="5">
        <f>VLOOKUP($E412,Sheet3!$B$3:$G$54,6,0)</f>
        <v>1.6</v>
      </c>
      <c r="L412">
        <v>384</v>
      </c>
      <c r="M412">
        <v>144</v>
      </c>
      <c r="N412">
        <v>14</v>
      </c>
      <c r="O412" s="14">
        <f t="shared" si="13"/>
        <v>0.375</v>
      </c>
    </row>
    <row r="413" spans="1:15" x14ac:dyDescent="0.3">
      <c r="A413" s="16" t="s">
        <v>35</v>
      </c>
      <c r="B413" s="12" t="s">
        <v>30</v>
      </c>
      <c r="C413" s="12" t="s">
        <v>29</v>
      </c>
      <c r="D413" s="6">
        <f t="shared" si="12"/>
        <v>7</v>
      </c>
      <c r="E413">
        <v>22</v>
      </c>
      <c r="F413" s="6">
        <f>VLOOKUP($E413,Sheet3!$B$3:$D$54,2,0)</f>
        <v>5</v>
      </c>
      <c r="G413" s="6">
        <f>VLOOKUP($E413,Sheet3!$B$3:$G$54,3,0)</f>
        <v>0</v>
      </c>
      <c r="H413" s="5">
        <f>VLOOKUP($A413,Sheet3!$I$3:$J$38,2,0)</f>
        <v>23.6</v>
      </c>
      <c r="I413" s="6">
        <f>VLOOKUP($E413,Sheet3!$B$3:$G$54,5,0)</f>
        <v>139390</v>
      </c>
      <c r="J413" s="5">
        <f>VLOOKUP($E413,Sheet3!$B$3:$G$54,4,0)</f>
        <v>2.65</v>
      </c>
      <c r="K413" s="5">
        <f>VLOOKUP($E413,Sheet3!$B$3:$G$54,6,0)</f>
        <v>1.6</v>
      </c>
      <c r="L413">
        <v>672</v>
      </c>
      <c r="M413">
        <v>384</v>
      </c>
      <c r="N413">
        <v>15</v>
      </c>
      <c r="O413" s="14">
        <f t="shared" si="13"/>
        <v>0.5714285714285714</v>
      </c>
    </row>
    <row r="414" spans="1:15" x14ac:dyDescent="0.3">
      <c r="A414" s="16" t="s">
        <v>35</v>
      </c>
      <c r="B414" s="12" t="s">
        <v>30</v>
      </c>
      <c r="C414" s="12" t="s">
        <v>29</v>
      </c>
      <c r="D414" s="6">
        <f t="shared" si="12"/>
        <v>12</v>
      </c>
      <c r="E414">
        <v>23</v>
      </c>
      <c r="F414" s="6">
        <f>VLOOKUP($E414,Sheet3!$B$3:$D$54,2,0)</f>
        <v>5</v>
      </c>
      <c r="G414" s="6">
        <f>VLOOKUP($E414,Sheet3!$B$3:$G$54,3,0)</f>
        <v>1</v>
      </c>
      <c r="H414" s="5">
        <f>VLOOKUP($A414,Sheet3!$I$3:$J$38,2,0)</f>
        <v>23.6</v>
      </c>
      <c r="I414" s="6">
        <f>VLOOKUP($E414,Sheet3!$B$3:$G$54,5,0)</f>
        <v>139390</v>
      </c>
      <c r="J414" s="5">
        <f>VLOOKUP($E414,Sheet3!$B$3:$G$54,4,0)</f>
        <v>2.4</v>
      </c>
      <c r="K414" s="5">
        <f>VLOOKUP($E414,Sheet3!$B$3:$G$54,6,0)</f>
        <v>1.6</v>
      </c>
      <c r="L414">
        <v>96</v>
      </c>
      <c r="M414">
        <v>312</v>
      </c>
      <c r="N414">
        <v>11</v>
      </c>
      <c r="O414" s="14">
        <f t="shared" si="13"/>
        <v>3.25</v>
      </c>
    </row>
    <row r="415" spans="1:15" x14ac:dyDescent="0.3">
      <c r="A415" s="16" t="s">
        <v>35</v>
      </c>
      <c r="B415" s="12" t="s">
        <v>30</v>
      </c>
      <c r="C415" s="12" t="s">
        <v>29</v>
      </c>
      <c r="D415" s="6">
        <f t="shared" si="12"/>
        <v>12</v>
      </c>
      <c r="E415">
        <v>24</v>
      </c>
      <c r="F415" s="6">
        <f>VLOOKUP($E415,Sheet3!$B$3:$D$54,2,0)</f>
        <v>6</v>
      </c>
      <c r="G415" s="6">
        <f>VLOOKUP($E415,Sheet3!$B$3:$G$54,3,0)</f>
        <v>0</v>
      </c>
      <c r="H415" s="5">
        <f>VLOOKUP($A415,Sheet3!$I$3:$J$38,2,0)</f>
        <v>23.6</v>
      </c>
      <c r="I415" s="6">
        <f>VLOOKUP($E415,Sheet3!$B$3:$G$54,5,0)</f>
        <v>132191</v>
      </c>
      <c r="J415" s="5">
        <f>VLOOKUP($E415,Sheet3!$B$3:$G$54,4,0)</f>
        <v>2.4</v>
      </c>
      <c r="K415" s="5">
        <f>VLOOKUP($E415,Sheet3!$B$3:$G$54,6,0)</f>
        <v>1.7</v>
      </c>
      <c r="L415">
        <v>360</v>
      </c>
      <c r="M415">
        <v>0</v>
      </c>
      <c r="N415">
        <v>12</v>
      </c>
      <c r="O415" s="14">
        <f t="shared" si="13"/>
        <v>0</v>
      </c>
    </row>
    <row r="416" spans="1:15" x14ac:dyDescent="0.3">
      <c r="A416" s="16" t="s">
        <v>35</v>
      </c>
      <c r="B416" s="12" t="s">
        <v>30</v>
      </c>
      <c r="C416" s="12" t="s">
        <v>29</v>
      </c>
      <c r="D416" s="6">
        <f t="shared" si="12"/>
        <v>12</v>
      </c>
      <c r="E416">
        <v>25</v>
      </c>
      <c r="F416" s="6">
        <f>VLOOKUP($E416,Sheet3!$B$3:$D$54,2,0)</f>
        <v>6</v>
      </c>
      <c r="G416" s="6">
        <f>VLOOKUP($E416,Sheet3!$B$3:$G$54,3,0)</f>
        <v>0</v>
      </c>
      <c r="H416" s="5">
        <f>VLOOKUP($A416,Sheet3!$I$3:$J$38,2,0)</f>
        <v>23.6</v>
      </c>
      <c r="I416" s="6">
        <f>VLOOKUP($E416,Sheet3!$B$3:$G$54,5,0)</f>
        <v>132191</v>
      </c>
      <c r="J416" s="5">
        <f>VLOOKUP($E416,Sheet3!$B$3:$G$54,4,0)</f>
        <v>2.4</v>
      </c>
      <c r="K416" s="5">
        <f>VLOOKUP($E416,Sheet3!$B$3:$G$54,6,0)</f>
        <v>1.7</v>
      </c>
      <c r="L416">
        <v>432</v>
      </c>
      <c r="M416">
        <v>192</v>
      </c>
      <c r="N416">
        <v>13</v>
      </c>
      <c r="O416" s="14">
        <f t="shared" si="13"/>
        <v>0.44444444444444442</v>
      </c>
    </row>
    <row r="417" spans="1:15" x14ac:dyDescent="0.3">
      <c r="A417" s="16" t="s">
        <v>35</v>
      </c>
      <c r="B417" s="12" t="s">
        <v>30</v>
      </c>
      <c r="C417" s="12" t="s">
        <v>29</v>
      </c>
      <c r="D417" s="6">
        <f t="shared" si="12"/>
        <v>12</v>
      </c>
      <c r="E417">
        <v>26</v>
      </c>
      <c r="F417" s="6">
        <f>VLOOKUP($E417,Sheet3!$B$3:$D$54,2,0)</f>
        <v>6</v>
      </c>
      <c r="G417" s="6">
        <f>VLOOKUP($E417,Sheet3!$B$3:$G$54,3,0)</f>
        <v>0</v>
      </c>
      <c r="H417" s="5">
        <f>VLOOKUP($A417,Sheet3!$I$3:$J$38,2,0)</f>
        <v>23.6</v>
      </c>
      <c r="I417" s="6">
        <f>VLOOKUP($E417,Sheet3!$B$3:$G$54,5,0)</f>
        <v>132191</v>
      </c>
      <c r="J417" s="5">
        <f>VLOOKUP($E417,Sheet3!$B$3:$G$54,4,0)</f>
        <v>2.4</v>
      </c>
      <c r="K417" s="5">
        <f>VLOOKUP($E417,Sheet3!$B$3:$G$54,6,0)</f>
        <v>1.7</v>
      </c>
      <c r="L417">
        <v>360</v>
      </c>
      <c r="M417">
        <v>264</v>
      </c>
      <c r="N417">
        <v>14</v>
      </c>
      <c r="O417" s="14">
        <f t="shared" si="13"/>
        <v>0.73333333333333328</v>
      </c>
    </row>
    <row r="418" spans="1:15" x14ac:dyDescent="0.3">
      <c r="A418" s="16" t="s">
        <v>40</v>
      </c>
      <c r="B418" s="12" t="s">
        <v>29</v>
      </c>
      <c r="C418" s="12" t="s">
        <v>31</v>
      </c>
      <c r="D418" s="6">
        <f t="shared" si="12"/>
        <v>11</v>
      </c>
      <c r="E418">
        <v>27</v>
      </c>
      <c r="F418" s="6">
        <f>VLOOKUP($E418,Sheet3!$B$3:$D$54,2,0)</f>
        <v>7</v>
      </c>
      <c r="G418" s="6">
        <f>VLOOKUP($E418,Sheet3!$B$3:$G$54,3,0)</f>
        <v>0</v>
      </c>
      <c r="H418" s="5">
        <f>VLOOKUP($A418,Sheet3!$I$3:$J$38,2,0)</f>
        <v>21.88</v>
      </c>
      <c r="I418" s="6">
        <f>VLOOKUP($E418,Sheet3!$B$3:$G$54,5,0)</f>
        <v>124806</v>
      </c>
      <c r="J418" s="5">
        <f>VLOOKUP($E418,Sheet3!$B$3:$G$54,4,0)</f>
        <v>4.5</v>
      </c>
      <c r="K418" s="5">
        <f>VLOOKUP($E418,Sheet3!$B$3:$G$54,6,0)</f>
        <v>1.3</v>
      </c>
      <c r="L418">
        <v>3000</v>
      </c>
      <c r="M418">
        <v>3265</v>
      </c>
      <c r="N418">
        <v>16</v>
      </c>
      <c r="O418" s="14">
        <f t="shared" si="13"/>
        <v>1.0883333333333334</v>
      </c>
    </row>
    <row r="419" spans="1:15" x14ac:dyDescent="0.3">
      <c r="A419" s="16" t="s">
        <v>40</v>
      </c>
      <c r="B419" s="12" t="s">
        <v>29</v>
      </c>
      <c r="C419" s="12" t="s">
        <v>31</v>
      </c>
      <c r="D419" s="6">
        <f t="shared" si="12"/>
        <v>11</v>
      </c>
      <c r="E419">
        <v>28</v>
      </c>
      <c r="F419" s="6">
        <f>VLOOKUP($E419,Sheet3!$B$3:$D$54,2,0)</f>
        <v>7</v>
      </c>
      <c r="G419" s="6">
        <f>VLOOKUP($E419,Sheet3!$B$3:$G$54,3,0)</f>
        <v>0</v>
      </c>
      <c r="H419" s="5">
        <f>VLOOKUP($A419,Sheet3!$I$3:$J$38,2,0)</f>
        <v>21.88</v>
      </c>
      <c r="I419" s="6">
        <f>VLOOKUP($E419,Sheet3!$B$3:$G$54,5,0)</f>
        <v>124806</v>
      </c>
      <c r="J419" s="5">
        <f>VLOOKUP($E419,Sheet3!$B$3:$G$54,4,0)</f>
        <v>4.5</v>
      </c>
      <c r="K419" s="5">
        <f>VLOOKUP($E419,Sheet3!$B$3:$G$54,6,0)</f>
        <v>1.3</v>
      </c>
      <c r="L419">
        <v>2967</v>
      </c>
      <c r="M419">
        <v>2416</v>
      </c>
      <c r="N419">
        <v>17</v>
      </c>
      <c r="O419" s="14">
        <f t="shared" si="13"/>
        <v>0.81429052915402766</v>
      </c>
    </row>
    <row r="420" spans="1:15" x14ac:dyDescent="0.3">
      <c r="A420" s="16" t="s">
        <v>40</v>
      </c>
      <c r="B420" s="12" t="s">
        <v>29</v>
      </c>
      <c r="C420" s="12" t="s">
        <v>31</v>
      </c>
      <c r="D420" s="6">
        <f t="shared" si="12"/>
        <v>11</v>
      </c>
      <c r="E420">
        <v>29</v>
      </c>
      <c r="F420" s="6">
        <f>VLOOKUP($E420,Sheet3!$B$3:$D$54,2,0)</f>
        <v>7</v>
      </c>
      <c r="G420" s="6">
        <f>VLOOKUP($E420,Sheet3!$B$3:$G$54,3,0)</f>
        <v>0</v>
      </c>
      <c r="H420" s="5">
        <f>VLOOKUP($A420,Sheet3!$I$3:$J$38,2,0)</f>
        <v>21.88</v>
      </c>
      <c r="I420" s="6">
        <f>VLOOKUP($E420,Sheet3!$B$3:$G$54,5,0)</f>
        <v>124806</v>
      </c>
      <c r="J420" s="5">
        <f>VLOOKUP($E420,Sheet3!$B$3:$G$54,4,0)</f>
        <v>4.5</v>
      </c>
      <c r="K420" s="5">
        <f>VLOOKUP($E420,Sheet3!$B$3:$G$54,6,0)</f>
        <v>1.3</v>
      </c>
      <c r="L420">
        <v>3000</v>
      </c>
      <c r="M420">
        <v>2280</v>
      </c>
      <c r="N420">
        <v>18</v>
      </c>
      <c r="O420" s="14">
        <f t="shared" si="13"/>
        <v>0.76</v>
      </c>
    </row>
    <row r="421" spans="1:15" x14ac:dyDescent="0.3">
      <c r="A421" s="16" t="s">
        <v>40</v>
      </c>
      <c r="B421" s="12" t="s">
        <v>29</v>
      </c>
      <c r="C421" s="12" t="s">
        <v>31</v>
      </c>
      <c r="D421" s="6">
        <f t="shared" si="12"/>
        <v>11</v>
      </c>
      <c r="E421">
        <v>30</v>
      </c>
      <c r="F421" s="6">
        <f>VLOOKUP($E421,Sheet3!$B$3:$D$54,2,0)</f>
        <v>7</v>
      </c>
      <c r="G421" s="6">
        <f>VLOOKUP($E421,Sheet3!$B$3:$G$54,3,0)</f>
        <v>0</v>
      </c>
      <c r="H421" s="5">
        <f>VLOOKUP($A421,Sheet3!$I$3:$J$38,2,0)</f>
        <v>21.88</v>
      </c>
      <c r="I421" s="6">
        <f>VLOOKUP($E421,Sheet3!$B$3:$G$54,5,0)</f>
        <v>124806</v>
      </c>
      <c r="J421" s="5">
        <f>VLOOKUP($E421,Sheet3!$B$3:$G$54,4,0)</f>
        <v>4.5</v>
      </c>
      <c r="K421" s="5">
        <f>VLOOKUP($E421,Sheet3!$B$3:$G$54,6,0)</f>
        <v>1.3</v>
      </c>
      <c r="L421">
        <v>3000</v>
      </c>
      <c r="M421">
        <v>2435</v>
      </c>
      <c r="N421">
        <v>19</v>
      </c>
      <c r="O421" s="14">
        <f t="shared" si="13"/>
        <v>0.81166666666666665</v>
      </c>
    </row>
    <row r="422" spans="1:15" x14ac:dyDescent="0.3">
      <c r="A422" s="16" t="s">
        <v>40</v>
      </c>
      <c r="B422" s="12" t="s">
        <v>29</v>
      </c>
      <c r="C422" s="12" t="s">
        <v>31</v>
      </c>
      <c r="D422" s="6">
        <f t="shared" si="12"/>
        <v>10</v>
      </c>
      <c r="E422">
        <v>31</v>
      </c>
      <c r="F422" s="6">
        <f>VLOOKUP($E422,Sheet3!$B$3:$D$54,2,0)</f>
        <v>7</v>
      </c>
      <c r="G422" s="6">
        <f>VLOOKUP($E422,Sheet3!$B$3:$G$54,3,0)</f>
        <v>0</v>
      </c>
      <c r="H422" s="5">
        <f>VLOOKUP($A422,Sheet3!$I$3:$J$38,2,0)</f>
        <v>21.88</v>
      </c>
      <c r="I422" s="6">
        <f>VLOOKUP($E422,Sheet3!$B$3:$G$54,5,0)</f>
        <v>124806</v>
      </c>
      <c r="J422" s="5">
        <f>VLOOKUP($E422,Sheet3!$B$3:$G$54,4,0)</f>
        <v>4.5</v>
      </c>
      <c r="K422" s="5">
        <f>VLOOKUP($E422,Sheet3!$B$3:$G$54,6,0)</f>
        <v>1.3</v>
      </c>
      <c r="L422">
        <v>2615</v>
      </c>
      <c r="M422">
        <v>1864</v>
      </c>
      <c r="N422">
        <v>21</v>
      </c>
      <c r="O422" s="14">
        <f t="shared" si="13"/>
        <v>0.71281070745697894</v>
      </c>
    </row>
    <row r="423" spans="1:15" x14ac:dyDescent="0.3">
      <c r="A423" s="16" t="s">
        <v>40</v>
      </c>
      <c r="B423" s="12" t="s">
        <v>29</v>
      </c>
      <c r="C423" s="12" t="s">
        <v>31</v>
      </c>
      <c r="D423" s="6">
        <f t="shared" si="12"/>
        <v>11</v>
      </c>
      <c r="E423">
        <v>32</v>
      </c>
      <c r="F423" s="6">
        <f>VLOOKUP($E423,Sheet3!$B$3:$D$54,2,0)</f>
        <v>8</v>
      </c>
      <c r="G423" s="6">
        <f>VLOOKUP($E423,Sheet3!$B$3:$G$54,3,0)</f>
        <v>1</v>
      </c>
      <c r="H423" s="5">
        <f>VLOOKUP($A423,Sheet3!$I$3:$J$38,2,0)</f>
        <v>21.88</v>
      </c>
      <c r="I423" s="6">
        <f>VLOOKUP($E423,Sheet3!$B$3:$G$54,5,0)</f>
        <v>69121</v>
      </c>
      <c r="J423" s="5">
        <f>VLOOKUP($E423,Sheet3!$B$3:$G$54,4,0)</f>
        <v>4.5</v>
      </c>
      <c r="K423" s="5">
        <f>VLOOKUP($E423,Sheet3!$B$3:$G$54,6,0)</f>
        <v>1.1000000000000001</v>
      </c>
      <c r="L423">
        <v>0</v>
      </c>
      <c r="M423">
        <v>0</v>
      </c>
      <c r="N423">
        <v>21</v>
      </c>
      <c r="O423" s="14" t="e">
        <f t="shared" si="13"/>
        <v>#DIV/0!</v>
      </c>
    </row>
    <row r="424" spans="1:15" x14ac:dyDescent="0.3">
      <c r="A424" s="16" t="s">
        <v>40</v>
      </c>
      <c r="B424" s="12" t="s">
        <v>29</v>
      </c>
      <c r="C424" s="12" t="s">
        <v>31</v>
      </c>
      <c r="D424" s="6">
        <f t="shared" si="12"/>
        <v>12</v>
      </c>
      <c r="E424">
        <v>33</v>
      </c>
      <c r="F424" s="6">
        <f>VLOOKUP($E424,Sheet3!$B$3:$D$54,2,0)</f>
        <v>8</v>
      </c>
      <c r="G424" s="6">
        <f>VLOOKUP($E424,Sheet3!$B$3:$G$54,3,0)</f>
        <v>1</v>
      </c>
      <c r="H424" s="5">
        <f>VLOOKUP($A424,Sheet3!$I$3:$J$38,2,0)</f>
        <v>21.88</v>
      </c>
      <c r="I424" s="6">
        <f>VLOOKUP($E424,Sheet3!$B$3:$G$54,5,0)</f>
        <v>69121</v>
      </c>
      <c r="J424" s="5">
        <f>VLOOKUP($E424,Sheet3!$B$3:$G$54,4,0)</f>
        <v>4.5</v>
      </c>
      <c r="K424" s="5">
        <f>VLOOKUP($E424,Sheet3!$B$3:$G$54,6,0)</f>
        <v>1.1000000000000001</v>
      </c>
      <c r="L424">
        <v>0</v>
      </c>
      <c r="M424">
        <v>0</v>
      </c>
      <c r="N424">
        <v>21</v>
      </c>
      <c r="O424" s="14" t="e">
        <f t="shared" si="13"/>
        <v>#DIV/0!</v>
      </c>
    </row>
    <row r="425" spans="1:15" x14ac:dyDescent="0.3">
      <c r="A425" s="16" t="s">
        <v>40</v>
      </c>
      <c r="B425" s="12" t="s">
        <v>29</v>
      </c>
      <c r="C425" s="12" t="s">
        <v>31</v>
      </c>
      <c r="D425" s="6">
        <f t="shared" si="12"/>
        <v>13</v>
      </c>
      <c r="E425">
        <v>34</v>
      </c>
      <c r="F425" s="6">
        <f>VLOOKUP($E425,Sheet3!$B$3:$D$54,2,0)</f>
        <v>8</v>
      </c>
      <c r="G425" s="6">
        <f>VLOOKUP($E425,Sheet3!$B$3:$G$54,3,0)</f>
        <v>0</v>
      </c>
      <c r="H425" s="5">
        <f>VLOOKUP($A425,Sheet3!$I$3:$J$38,2,0)</f>
        <v>21.88</v>
      </c>
      <c r="I425" s="6">
        <f>VLOOKUP($E425,Sheet3!$B$3:$G$54,5,0)</f>
        <v>69121</v>
      </c>
      <c r="J425" s="5">
        <f>VLOOKUP($E425,Sheet3!$B$3:$G$54,4,0)</f>
        <v>4.5</v>
      </c>
      <c r="K425" s="5">
        <f>VLOOKUP($E425,Sheet3!$B$3:$G$54,6,0)</f>
        <v>1.1000000000000001</v>
      </c>
      <c r="L425">
        <v>0</v>
      </c>
      <c r="M425">
        <v>0</v>
      </c>
      <c r="N425">
        <v>21</v>
      </c>
      <c r="O425" s="14" t="e">
        <f t="shared" si="13"/>
        <v>#DIV/0!</v>
      </c>
    </row>
    <row r="426" spans="1:15" x14ac:dyDescent="0.3">
      <c r="A426" s="16" t="s">
        <v>40</v>
      </c>
      <c r="B426" s="12" t="s">
        <v>29</v>
      </c>
      <c r="C426" s="12" t="s">
        <v>31</v>
      </c>
      <c r="D426" s="6">
        <f t="shared" si="12"/>
        <v>12</v>
      </c>
      <c r="E426">
        <v>35</v>
      </c>
      <c r="F426" s="6">
        <f>VLOOKUP($E426,Sheet3!$B$3:$D$54,2,0)</f>
        <v>8</v>
      </c>
      <c r="G426" s="6">
        <f>VLOOKUP($E426,Sheet3!$B$3:$G$54,3,0)</f>
        <v>0</v>
      </c>
      <c r="H426" s="5">
        <f>VLOOKUP($A426,Sheet3!$I$3:$J$38,2,0)</f>
        <v>21.88</v>
      </c>
      <c r="I426" s="6">
        <f>VLOOKUP($E426,Sheet3!$B$3:$G$54,5,0)</f>
        <v>69121</v>
      </c>
      <c r="J426" s="5">
        <f>VLOOKUP($E426,Sheet3!$B$3:$G$54,4,0)</f>
        <v>4.5</v>
      </c>
      <c r="K426" s="5">
        <f>VLOOKUP($E426,Sheet3!$B$3:$G$54,6,0)</f>
        <v>1.1000000000000001</v>
      </c>
      <c r="L426">
        <v>0</v>
      </c>
      <c r="M426">
        <v>56</v>
      </c>
      <c r="N426">
        <v>23</v>
      </c>
      <c r="O426" s="14" t="e">
        <f t="shared" si="13"/>
        <v>#DIV/0!</v>
      </c>
    </row>
    <row r="427" spans="1:15" x14ac:dyDescent="0.3">
      <c r="A427" s="16" t="s">
        <v>40</v>
      </c>
      <c r="B427" s="12" t="s">
        <v>29</v>
      </c>
      <c r="C427" s="12" t="s">
        <v>31</v>
      </c>
      <c r="D427" s="6">
        <f t="shared" si="12"/>
        <v>19</v>
      </c>
      <c r="E427">
        <v>36</v>
      </c>
      <c r="F427" s="6">
        <f>VLOOKUP($E427,Sheet3!$B$3:$D$54,2,0)</f>
        <v>9</v>
      </c>
      <c r="G427" s="6">
        <f>VLOOKUP($E427,Sheet3!$B$3:$G$54,3,0)</f>
        <v>0</v>
      </c>
      <c r="H427" s="5">
        <f>VLOOKUP($A427,Sheet3!$I$3:$J$38,2,0)</f>
        <v>21.88</v>
      </c>
      <c r="I427" s="6">
        <f>VLOOKUP($E427,Sheet3!$B$3:$G$54,5,0)</f>
        <v>121666</v>
      </c>
      <c r="J427" s="5">
        <f>VLOOKUP($E427,Sheet3!$B$3:$G$54,4,0)</f>
        <v>4.5</v>
      </c>
      <c r="K427" s="5">
        <f>VLOOKUP($E427,Sheet3!$B$3:$G$54,6,0)</f>
        <v>0.7</v>
      </c>
      <c r="L427">
        <v>452</v>
      </c>
      <c r="M427">
        <v>508</v>
      </c>
      <c r="N427">
        <v>17</v>
      </c>
      <c r="O427" s="14">
        <f t="shared" si="13"/>
        <v>1.1238938053097345</v>
      </c>
    </row>
    <row r="428" spans="1:15" x14ac:dyDescent="0.3">
      <c r="A428" s="16" t="s">
        <v>40</v>
      </c>
      <c r="B428" s="12" t="s">
        <v>29</v>
      </c>
      <c r="C428" s="12" t="s">
        <v>31</v>
      </c>
      <c r="D428" s="6">
        <f t="shared" si="12"/>
        <v>19</v>
      </c>
      <c r="E428">
        <v>37</v>
      </c>
      <c r="F428" s="6">
        <f>VLOOKUP($E428,Sheet3!$B$3:$D$54,2,0)</f>
        <v>9</v>
      </c>
      <c r="G428" s="6">
        <f>VLOOKUP($E428,Sheet3!$B$3:$G$54,3,0)</f>
        <v>0</v>
      </c>
      <c r="H428" s="5">
        <f>VLOOKUP($A428,Sheet3!$I$3:$J$38,2,0)</f>
        <v>21.88</v>
      </c>
      <c r="I428" s="6">
        <f>VLOOKUP($E428,Sheet3!$B$3:$G$54,5,0)</f>
        <v>121666</v>
      </c>
      <c r="J428" s="5">
        <f>VLOOKUP($E428,Sheet3!$B$3:$G$54,4,0)</f>
        <v>4.5</v>
      </c>
      <c r="K428" s="5">
        <f>VLOOKUP($E428,Sheet3!$B$3:$G$54,6,0)</f>
        <v>0.7</v>
      </c>
      <c r="L428">
        <v>562</v>
      </c>
      <c r="M428">
        <v>662</v>
      </c>
      <c r="N428">
        <v>18</v>
      </c>
      <c r="O428" s="14">
        <f t="shared" si="13"/>
        <v>1.1779359430604983</v>
      </c>
    </row>
    <row r="429" spans="1:15" x14ac:dyDescent="0.3">
      <c r="A429" s="16" t="s">
        <v>40</v>
      </c>
      <c r="B429" s="12" t="s">
        <v>29</v>
      </c>
      <c r="C429" s="12" t="s">
        <v>31</v>
      </c>
      <c r="D429" s="6">
        <f t="shared" si="12"/>
        <v>19</v>
      </c>
      <c r="E429">
        <v>38</v>
      </c>
      <c r="F429" s="6">
        <f>VLOOKUP($E429,Sheet3!$B$3:$D$54,2,0)</f>
        <v>9</v>
      </c>
      <c r="G429" s="6">
        <f>VLOOKUP($E429,Sheet3!$B$3:$G$54,3,0)</f>
        <v>0</v>
      </c>
      <c r="H429" s="5">
        <f>VLOOKUP($A429,Sheet3!$I$3:$J$38,2,0)</f>
        <v>21.88</v>
      </c>
      <c r="I429" s="6">
        <f>VLOOKUP($E429,Sheet3!$B$3:$G$54,5,0)</f>
        <v>121666</v>
      </c>
      <c r="J429" s="5">
        <f>VLOOKUP($E429,Sheet3!$B$3:$G$54,4,0)</f>
        <v>3.9</v>
      </c>
      <c r="K429" s="5">
        <f>VLOOKUP($E429,Sheet3!$B$3:$G$54,6,0)</f>
        <v>0.7</v>
      </c>
      <c r="L429">
        <v>1176</v>
      </c>
      <c r="M429">
        <v>1814</v>
      </c>
      <c r="N429">
        <v>19</v>
      </c>
      <c r="O429" s="14">
        <f t="shared" si="13"/>
        <v>1.5425170068027212</v>
      </c>
    </row>
    <row r="430" spans="1:15" x14ac:dyDescent="0.3">
      <c r="A430" s="16" t="s">
        <v>40</v>
      </c>
      <c r="B430" s="12" t="s">
        <v>29</v>
      </c>
      <c r="C430" s="12" t="s">
        <v>31</v>
      </c>
      <c r="D430" s="6">
        <f t="shared" si="12"/>
        <v>19</v>
      </c>
      <c r="E430">
        <v>39</v>
      </c>
      <c r="F430" s="6">
        <f>VLOOKUP($E430,Sheet3!$B$3:$D$54,2,0)</f>
        <v>9</v>
      </c>
      <c r="G430" s="6">
        <f>VLOOKUP($E430,Sheet3!$B$3:$G$54,3,0)</f>
        <v>0</v>
      </c>
      <c r="H430" s="5">
        <f>VLOOKUP($A430,Sheet3!$I$3:$J$38,2,0)</f>
        <v>21.88</v>
      </c>
      <c r="I430" s="6">
        <f>VLOOKUP($E430,Sheet3!$B$3:$G$54,5,0)</f>
        <v>121666</v>
      </c>
      <c r="J430" s="5">
        <f>VLOOKUP($E430,Sheet3!$B$3:$G$54,4,0)</f>
        <v>3.9</v>
      </c>
      <c r="K430" s="5">
        <f>VLOOKUP($E430,Sheet3!$B$3:$G$54,6,0)</f>
        <v>0.7</v>
      </c>
      <c r="L430">
        <v>1612</v>
      </c>
      <c r="M430">
        <v>2597</v>
      </c>
      <c r="N430">
        <v>20</v>
      </c>
      <c r="O430" s="14">
        <f t="shared" si="13"/>
        <v>1.6110421836228288</v>
      </c>
    </row>
    <row r="431" spans="1:15" x14ac:dyDescent="0.3">
      <c r="A431" s="16" t="s">
        <v>40</v>
      </c>
      <c r="B431" s="12" t="s">
        <v>29</v>
      </c>
      <c r="C431" s="12" t="s">
        <v>31</v>
      </c>
      <c r="D431" s="6">
        <f t="shared" si="12"/>
        <v>24</v>
      </c>
      <c r="E431">
        <v>40</v>
      </c>
      <c r="F431" s="6">
        <f>VLOOKUP($E431,Sheet3!$B$3:$D$54,2,0)</f>
        <v>9</v>
      </c>
      <c r="G431" s="6">
        <f>VLOOKUP($E431,Sheet3!$B$3:$G$54,3,0)</f>
        <v>0</v>
      </c>
      <c r="H431" s="5">
        <f>VLOOKUP($A431,Sheet3!$I$3:$J$38,2,0)</f>
        <v>21.88</v>
      </c>
      <c r="I431" s="6">
        <f>VLOOKUP($E431,Sheet3!$B$3:$G$54,5,0)</f>
        <v>121666</v>
      </c>
      <c r="J431" s="5">
        <f>VLOOKUP($E431,Sheet3!$B$3:$G$54,4,0)</f>
        <v>3.9</v>
      </c>
      <c r="K431" s="5">
        <f>VLOOKUP($E431,Sheet3!$B$3:$G$54,6,0)</f>
        <v>0.7</v>
      </c>
      <c r="L431">
        <v>2523</v>
      </c>
      <c r="M431">
        <v>2255</v>
      </c>
      <c r="N431">
        <v>16</v>
      </c>
      <c r="O431" s="14">
        <f t="shared" si="13"/>
        <v>0.89377724930638125</v>
      </c>
    </row>
    <row r="432" spans="1:15" x14ac:dyDescent="0.3">
      <c r="A432" s="16" t="s">
        <v>40</v>
      </c>
      <c r="B432" s="12" t="s">
        <v>29</v>
      </c>
      <c r="C432" s="12" t="s">
        <v>31</v>
      </c>
      <c r="D432" s="6">
        <f t="shared" si="12"/>
        <v>24</v>
      </c>
      <c r="E432">
        <v>41</v>
      </c>
      <c r="F432" s="6">
        <f>VLOOKUP($E432,Sheet3!$B$3:$D$54,2,0)</f>
        <v>10</v>
      </c>
      <c r="G432" s="6">
        <f>VLOOKUP($E432,Sheet3!$B$3:$G$54,3,0)</f>
        <v>0</v>
      </c>
      <c r="H432" s="5">
        <f>VLOOKUP($A432,Sheet3!$I$3:$J$38,2,0)</f>
        <v>21.88</v>
      </c>
      <c r="I432" s="6">
        <f>VLOOKUP($E432,Sheet3!$B$3:$G$54,5,0)</f>
        <v>126488</v>
      </c>
      <c r="J432" s="5">
        <f>VLOOKUP($E432,Sheet3!$B$3:$G$54,4,0)</f>
        <v>3.9</v>
      </c>
      <c r="K432" s="5">
        <f>VLOOKUP($E432,Sheet3!$B$3:$G$54,6,0)</f>
        <v>0.9</v>
      </c>
      <c r="L432">
        <v>2225</v>
      </c>
      <c r="M432">
        <v>2235</v>
      </c>
      <c r="N432">
        <v>17</v>
      </c>
      <c r="O432" s="14">
        <f t="shared" si="13"/>
        <v>1.0044943820224719</v>
      </c>
    </row>
    <row r="433" spans="1:15" x14ac:dyDescent="0.3">
      <c r="A433" s="16" t="s">
        <v>40</v>
      </c>
      <c r="B433" s="12" t="s">
        <v>29</v>
      </c>
      <c r="C433" s="12" t="s">
        <v>31</v>
      </c>
      <c r="D433" s="6">
        <f t="shared" si="12"/>
        <v>24</v>
      </c>
      <c r="E433">
        <v>42</v>
      </c>
      <c r="F433" s="6">
        <f>VLOOKUP($E433,Sheet3!$B$3:$D$54,2,0)</f>
        <v>10</v>
      </c>
      <c r="G433" s="6">
        <f>VLOOKUP($E433,Sheet3!$B$3:$G$54,3,0)</f>
        <v>0</v>
      </c>
      <c r="H433" s="5">
        <f>VLOOKUP($A433,Sheet3!$I$3:$J$38,2,0)</f>
        <v>21.88</v>
      </c>
      <c r="I433" s="6">
        <f>VLOOKUP($E433,Sheet3!$B$3:$G$54,5,0)</f>
        <v>126488</v>
      </c>
      <c r="J433" s="5">
        <f>VLOOKUP($E433,Sheet3!$B$3:$G$54,4,0)</f>
        <v>3.9</v>
      </c>
      <c r="K433" s="5">
        <f>VLOOKUP($E433,Sheet3!$B$3:$G$54,6,0)</f>
        <v>0.9</v>
      </c>
      <c r="L433">
        <v>2639</v>
      </c>
      <c r="M433">
        <v>2563</v>
      </c>
      <c r="N433">
        <v>18</v>
      </c>
      <c r="O433" s="14">
        <f t="shared" si="13"/>
        <v>0.97120121258052294</v>
      </c>
    </row>
    <row r="434" spans="1:15" x14ac:dyDescent="0.3">
      <c r="A434" s="16" t="s">
        <v>40</v>
      </c>
      <c r="B434" s="12" t="s">
        <v>29</v>
      </c>
      <c r="C434" s="12" t="s">
        <v>31</v>
      </c>
      <c r="D434" s="6">
        <f t="shared" si="12"/>
        <v>22</v>
      </c>
      <c r="E434">
        <v>43</v>
      </c>
      <c r="F434" s="6">
        <f>VLOOKUP($E434,Sheet3!$B$3:$D$54,2,0)</f>
        <v>10</v>
      </c>
      <c r="G434" s="6">
        <f>VLOOKUP($E434,Sheet3!$B$3:$G$54,3,0)</f>
        <v>0</v>
      </c>
      <c r="H434" s="5">
        <f>VLOOKUP($A434,Sheet3!$I$3:$J$38,2,0)</f>
        <v>21.88</v>
      </c>
      <c r="I434" s="6">
        <f>VLOOKUP($E434,Sheet3!$B$3:$G$54,5,0)</f>
        <v>126488</v>
      </c>
      <c r="J434" s="5">
        <f>VLOOKUP($E434,Sheet3!$B$3:$G$54,4,0)</f>
        <v>3.65</v>
      </c>
      <c r="K434" s="5">
        <f>VLOOKUP($E434,Sheet3!$B$3:$G$54,6,0)</f>
        <v>0.9</v>
      </c>
      <c r="L434">
        <v>2523</v>
      </c>
      <c r="M434">
        <v>1436</v>
      </c>
      <c r="N434">
        <v>21</v>
      </c>
      <c r="O434" s="14">
        <f t="shared" si="13"/>
        <v>0.56916369401506139</v>
      </c>
    </row>
    <row r="435" spans="1:15" x14ac:dyDescent="0.3">
      <c r="A435" s="16" t="s">
        <v>40</v>
      </c>
      <c r="B435" s="12" t="s">
        <v>29</v>
      </c>
      <c r="C435" s="12" t="s">
        <v>31</v>
      </c>
      <c r="D435" s="6">
        <f t="shared" si="12"/>
        <v>23</v>
      </c>
      <c r="E435">
        <v>44</v>
      </c>
      <c r="F435" s="6">
        <f>VLOOKUP($E435,Sheet3!$B$3:$D$54,2,0)</f>
        <v>10</v>
      </c>
      <c r="G435" s="6">
        <f>VLOOKUP($E435,Sheet3!$B$3:$G$54,3,0)</f>
        <v>1</v>
      </c>
      <c r="H435" s="5">
        <f>VLOOKUP($A435,Sheet3!$I$3:$J$38,2,0)</f>
        <v>21.88</v>
      </c>
      <c r="I435" s="6">
        <f>VLOOKUP($E435,Sheet3!$B$3:$G$54,5,0)</f>
        <v>126488</v>
      </c>
      <c r="J435" s="5">
        <f>VLOOKUP($E435,Sheet3!$B$3:$G$54,4,0)</f>
        <v>3.65</v>
      </c>
      <c r="K435" s="5">
        <f>VLOOKUP($E435,Sheet3!$B$3:$G$54,6,0)</f>
        <v>0.9</v>
      </c>
      <c r="L435">
        <v>1780</v>
      </c>
      <c r="M435">
        <v>1436</v>
      </c>
      <c r="N435">
        <v>21</v>
      </c>
      <c r="O435" s="14">
        <f t="shared" si="13"/>
        <v>0.80674157303370786</v>
      </c>
    </row>
    <row r="436" spans="1:15" x14ac:dyDescent="0.3">
      <c r="A436" s="16" t="s">
        <v>40</v>
      </c>
      <c r="B436" s="12" t="s">
        <v>29</v>
      </c>
      <c r="C436" s="12" t="s">
        <v>31</v>
      </c>
      <c r="D436" s="6">
        <f t="shared" si="12"/>
        <v>31</v>
      </c>
      <c r="E436">
        <v>45</v>
      </c>
      <c r="F436" s="6">
        <f>VLOOKUP($E436,Sheet3!$B$3:$D$54,2,0)</f>
        <v>11</v>
      </c>
      <c r="G436" s="6">
        <f>VLOOKUP($E436,Sheet3!$B$3:$G$54,3,0)</f>
        <v>0</v>
      </c>
      <c r="H436" s="5">
        <f>VLOOKUP($A436,Sheet3!$I$3:$J$38,2,0)</f>
        <v>21.88</v>
      </c>
      <c r="I436" s="6">
        <f>VLOOKUP($E436,Sheet3!$B$3:$G$54,5,0)</f>
        <v>124251</v>
      </c>
      <c r="J436" s="5">
        <f>VLOOKUP($E436,Sheet3!$B$3:$G$54,4,0)</f>
        <v>3.65</v>
      </c>
      <c r="K436" s="5">
        <f>VLOOKUP($E436,Sheet3!$B$3:$G$54,6,0)</f>
        <v>1.3</v>
      </c>
      <c r="L436">
        <v>2604</v>
      </c>
      <c r="M436">
        <v>2211</v>
      </c>
      <c r="N436">
        <v>14</v>
      </c>
      <c r="O436" s="14">
        <f t="shared" si="13"/>
        <v>0.84907834101382484</v>
      </c>
    </row>
    <row r="437" spans="1:15" x14ac:dyDescent="0.3">
      <c r="A437" s="16" t="s">
        <v>40</v>
      </c>
      <c r="B437" s="12" t="s">
        <v>29</v>
      </c>
      <c r="C437" s="12" t="s">
        <v>31</v>
      </c>
      <c r="D437" s="6">
        <f t="shared" si="12"/>
        <v>30</v>
      </c>
      <c r="E437">
        <v>46</v>
      </c>
      <c r="F437" s="6">
        <f>VLOOKUP($E437,Sheet3!$B$3:$D$54,2,0)</f>
        <v>11</v>
      </c>
      <c r="G437" s="6">
        <f>VLOOKUP($E437,Sheet3!$B$3:$G$54,3,0)</f>
        <v>0</v>
      </c>
      <c r="H437" s="5">
        <f>VLOOKUP($A437,Sheet3!$I$3:$J$38,2,0)</f>
        <v>21.88</v>
      </c>
      <c r="I437" s="6">
        <f>VLOOKUP($E437,Sheet3!$B$3:$G$54,5,0)</f>
        <v>124251</v>
      </c>
      <c r="J437" s="5">
        <f>VLOOKUP($E437,Sheet3!$B$3:$G$54,4,0)</f>
        <v>3.65</v>
      </c>
      <c r="K437" s="5">
        <f>VLOOKUP($E437,Sheet3!$B$3:$G$54,6,0)</f>
        <v>1.3</v>
      </c>
      <c r="L437">
        <v>2430</v>
      </c>
      <c r="M437">
        <v>1874</v>
      </c>
      <c r="N437">
        <v>16</v>
      </c>
      <c r="O437" s="14">
        <f t="shared" si="13"/>
        <v>0.77119341563786004</v>
      </c>
    </row>
    <row r="438" spans="1:15" x14ac:dyDescent="0.3">
      <c r="A438" s="16" t="s">
        <v>40</v>
      </c>
      <c r="B438" s="12" t="s">
        <v>29</v>
      </c>
      <c r="C438" s="12" t="s">
        <v>31</v>
      </c>
      <c r="D438" s="6">
        <f t="shared" si="12"/>
        <v>29</v>
      </c>
      <c r="E438">
        <v>47</v>
      </c>
      <c r="F438" s="6">
        <f>VLOOKUP($E438,Sheet3!$B$3:$D$54,2,0)</f>
        <v>11</v>
      </c>
      <c r="G438" s="6">
        <f>VLOOKUP($E438,Sheet3!$B$3:$G$54,3,0)</f>
        <v>0</v>
      </c>
      <c r="H438" s="5">
        <f>VLOOKUP($A438,Sheet3!$I$3:$J$38,2,0)</f>
        <v>21.88</v>
      </c>
      <c r="I438" s="6">
        <f>VLOOKUP($E438,Sheet3!$B$3:$G$54,5,0)</f>
        <v>124251</v>
      </c>
      <c r="J438" s="5">
        <f>VLOOKUP($E438,Sheet3!$B$3:$G$54,4,0)</f>
        <v>3.65</v>
      </c>
      <c r="K438" s="5">
        <f>VLOOKUP($E438,Sheet3!$B$3:$G$54,6,0)</f>
        <v>1.3</v>
      </c>
      <c r="L438">
        <v>2605</v>
      </c>
      <c r="M438">
        <v>2143</v>
      </c>
      <c r="N438">
        <v>18</v>
      </c>
      <c r="O438" s="14">
        <f t="shared" si="13"/>
        <v>0.8226487523992323</v>
      </c>
    </row>
    <row r="439" spans="1:15" x14ac:dyDescent="0.3">
      <c r="A439" s="16" t="s">
        <v>40</v>
      </c>
      <c r="B439" s="12" t="s">
        <v>29</v>
      </c>
      <c r="C439" s="12" t="s">
        <v>31</v>
      </c>
      <c r="D439" s="6">
        <f t="shared" si="12"/>
        <v>29</v>
      </c>
      <c r="E439">
        <v>48</v>
      </c>
      <c r="F439" s="6">
        <f>VLOOKUP($E439,Sheet3!$B$3:$D$54,2,0)</f>
        <v>11</v>
      </c>
      <c r="G439" s="6">
        <f>VLOOKUP($E439,Sheet3!$B$3:$G$54,3,0)</f>
        <v>0</v>
      </c>
      <c r="H439" s="5">
        <f>VLOOKUP($A439,Sheet3!$I$3:$J$38,2,0)</f>
        <v>21.88</v>
      </c>
      <c r="I439" s="6">
        <f>VLOOKUP($E439,Sheet3!$B$3:$G$54,5,0)</f>
        <v>124251</v>
      </c>
      <c r="J439" s="5">
        <f>VLOOKUP($E439,Sheet3!$B$3:$G$54,4,0)</f>
        <v>3.65</v>
      </c>
      <c r="K439" s="5">
        <f>VLOOKUP($E439,Sheet3!$B$3:$G$54,6,0)</f>
        <v>1.3</v>
      </c>
      <c r="L439">
        <v>2604</v>
      </c>
      <c r="M439">
        <v>2135</v>
      </c>
      <c r="N439">
        <v>19</v>
      </c>
      <c r="O439" s="14">
        <f t="shared" si="13"/>
        <v>0.81989247311827962</v>
      </c>
    </row>
    <row r="440" spans="1:15" x14ac:dyDescent="0.3">
      <c r="A440" s="16" t="s">
        <v>40</v>
      </c>
      <c r="B440" s="12" t="s">
        <v>29</v>
      </c>
      <c r="C440" s="12" t="s">
        <v>31</v>
      </c>
      <c r="D440" s="6">
        <f t="shared" si="12"/>
        <v>33</v>
      </c>
      <c r="E440">
        <v>49</v>
      </c>
      <c r="F440" s="6">
        <f>VLOOKUP($E440,Sheet3!$B$3:$D$54,2,0)</f>
        <v>12</v>
      </c>
      <c r="G440" s="6">
        <f>VLOOKUP($E440,Sheet3!$B$3:$G$54,3,0)</f>
        <v>1</v>
      </c>
      <c r="H440" s="5">
        <f>VLOOKUP($A440,Sheet3!$I$3:$J$38,2,0)</f>
        <v>21.88</v>
      </c>
      <c r="I440" s="6">
        <f>VLOOKUP($E440,Sheet3!$B$3:$G$54,5,0)</f>
        <v>105715</v>
      </c>
      <c r="J440" s="5">
        <f>VLOOKUP($E440,Sheet3!$B$3:$G$54,4,0)</f>
        <v>3.65</v>
      </c>
      <c r="K440" s="5">
        <f>VLOOKUP($E440,Sheet3!$B$3:$G$54,6,0)</f>
        <v>1.3</v>
      </c>
      <c r="L440">
        <v>1676</v>
      </c>
      <c r="M440">
        <v>1512</v>
      </c>
      <c r="N440">
        <v>16</v>
      </c>
      <c r="O440" s="14">
        <f t="shared" si="13"/>
        <v>0.90214797136038183</v>
      </c>
    </row>
    <row r="441" spans="1:15" x14ac:dyDescent="0.3">
      <c r="A441" s="16" t="s">
        <v>40</v>
      </c>
      <c r="B441" s="12" t="s">
        <v>29</v>
      </c>
      <c r="C441" s="12" t="s">
        <v>31</v>
      </c>
      <c r="D441" s="6">
        <f t="shared" si="12"/>
        <v>33</v>
      </c>
      <c r="E441">
        <v>50</v>
      </c>
      <c r="F441" s="6">
        <f>VLOOKUP($E441,Sheet3!$B$3:$D$54,2,0)</f>
        <v>12</v>
      </c>
      <c r="G441" s="6">
        <f>VLOOKUP($E441,Sheet3!$B$3:$G$54,3,0)</f>
        <v>0</v>
      </c>
      <c r="H441" s="5">
        <f>VLOOKUP($A441,Sheet3!$I$3:$J$38,2,0)</f>
        <v>21.88</v>
      </c>
      <c r="I441" s="6">
        <f>VLOOKUP($E441,Sheet3!$B$3:$G$54,5,0)</f>
        <v>105715</v>
      </c>
      <c r="J441" s="5">
        <f>VLOOKUP($E441,Sheet3!$B$3:$G$54,4,0)</f>
        <v>3.4</v>
      </c>
      <c r="K441" s="5">
        <f>VLOOKUP($E441,Sheet3!$B$3:$G$54,6,0)</f>
        <v>1.3</v>
      </c>
      <c r="L441">
        <v>2386</v>
      </c>
      <c r="M441">
        <v>2407</v>
      </c>
      <c r="N441">
        <v>17</v>
      </c>
      <c r="O441" s="14">
        <f t="shared" si="13"/>
        <v>1.0088013411567478</v>
      </c>
    </row>
    <row r="442" spans="1:15" x14ac:dyDescent="0.3">
      <c r="A442" s="16" t="s">
        <v>40</v>
      </c>
      <c r="B442" s="12" t="s">
        <v>29</v>
      </c>
      <c r="C442" s="12" t="s">
        <v>31</v>
      </c>
      <c r="D442" s="6">
        <f t="shared" si="12"/>
        <v>33</v>
      </c>
      <c r="E442">
        <v>51</v>
      </c>
      <c r="F442" s="6">
        <f>VLOOKUP($E442,Sheet3!$B$3:$D$54,2,0)</f>
        <v>12</v>
      </c>
      <c r="G442" s="6">
        <f>VLOOKUP($E442,Sheet3!$B$3:$G$54,3,0)</f>
        <v>0</v>
      </c>
      <c r="H442" s="5">
        <f>VLOOKUP($A442,Sheet3!$I$3:$J$38,2,0)</f>
        <v>21.88</v>
      </c>
      <c r="I442" s="6">
        <f>VLOOKUP($E442,Sheet3!$B$3:$G$54,5,0)</f>
        <v>105715</v>
      </c>
      <c r="J442" s="5">
        <f>VLOOKUP($E442,Sheet3!$B$3:$G$54,4,0)</f>
        <v>3.4</v>
      </c>
      <c r="K442" s="5">
        <f>VLOOKUP($E442,Sheet3!$B$3:$G$54,6,0)</f>
        <v>1.3</v>
      </c>
      <c r="L442">
        <v>1604</v>
      </c>
      <c r="M442">
        <v>1840</v>
      </c>
      <c r="N442">
        <v>18</v>
      </c>
      <c r="O442" s="14">
        <f t="shared" si="13"/>
        <v>1.1471321695760599</v>
      </c>
    </row>
    <row r="443" spans="1:15" x14ac:dyDescent="0.3">
      <c r="A443" s="16" t="s">
        <v>40</v>
      </c>
      <c r="B443" s="12" t="s">
        <v>29</v>
      </c>
      <c r="C443" s="12" t="s">
        <v>31</v>
      </c>
      <c r="D443" s="6">
        <f t="shared" ref="D443:D469" si="14">IF(E443-N443&lt;0,E443-N443+52,E443-N443)</f>
        <v>34</v>
      </c>
      <c r="E443">
        <v>52</v>
      </c>
      <c r="F443" s="6">
        <f>VLOOKUP($E443,Sheet3!$B$3:$D$54,2,0)</f>
        <v>12</v>
      </c>
      <c r="G443" s="6">
        <f>VLOOKUP($E443,Sheet3!$B$3:$G$54,3,0)</f>
        <v>1</v>
      </c>
      <c r="H443" s="5">
        <f>VLOOKUP($A443,Sheet3!$I$3:$J$38,2,0)</f>
        <v>21.88</v>
      </c>
      <c r="I443" s="6">
        <f>VLOOKUP($E443,Sheet3!$B$3:$G$54,5,0)</f>
        <v>105715</v>
      </c>
      <c r="J443" s="5">
        <f>VLOOKUP($E443,Sheet3!$B$3:$G$54,4,0)</f>
        <v>3.4</v>
      </c>
      <c r="K443" s="5">
        <f>VLOOKUP($E443,Sheet3!$B$3:$G$54,6,0)</f>
        <v>1.3</v>
      </c>
      <c r="L443">
        <v>0</v>
      </c>
      <c r="M443">
        <v>0</v>
      </c>
      <c r="N443">
        <v>18</v>
      </c>
      <c r="O443" s="14" t="e">
        <f t="shared" ref="O443:O505" si="15">M443/L443</f>
        <v>#DIV/0!</v>
      </c>
    </row>
    <row r="444" spans="1:15" x14ac:dyDescent="0.3">
      <c r="A444" s="16" t="s">
        <v>40</v>
      </c>
      <c r="B444" s="12" t="s">
        <v>29</v>
      </c>
      <c r="C444" s="12" t="s">
        <v>31</v>
      </c>
      <c r="D444" s="6">
        <f t="shared" si="14"/>
        <v>37</v>
      </c>
      <c r="E444">
        <v>1</v>
      </c>
      <c r="F444" s="6">
        <f>VLOOKUP($E444,Sheet3!$B$3:$D$54,2,0)</f>
        <v>12</v>
      </c>
      <c r="G444" s="6">
        <f>VLOOKUP($E444,Sheet3!$B$3:$G$54,3,0)</f>
        <v>1</v>
      </c>
      <c r="H444" s="5">
        <f>VLOOKUP($A444,Sheet3!$I$3:$J$38,2,0)</f>
        <v>21.88</v>
      </c>
      <c r="I444" s="6">
        <f>VLOOKUP($E444,Sheet3!$B$3:$G$54,5,0)</f>
        <v>105715</v>
      </c>
      <c r="J444" s="5">
        <f>VLOOKUP($E444,Sheet3!$B$3:$G$54,4,0)</f>
        <v>3.4</v>
      </c>
      <c r="K444" s="5">
        <f>VLOOKUP($E444,Sheet3!$B$3:$G$54,6,0)</f>
        <v>1.3</v>
      </c>
      <c r="L444">
        <v>0</v>
      </c>
      <c r="M444">
        <v>0</v>
      </c>
      <c r="N444">
        <v>16</v>
      </c>
      <c r="O444" s="14" t="e">
        <f t="shared" si="15"/>
        <v>#DIV/0!</v>
      </c>
    </row>
    <row r="445" spans="1:15" x14ac:dyDescent="0.3">
      <c r="A445" s="16" t="s">
        <v>40</v>
      </c>
      <c r="B445" s="12" t="s">
        <v>29</v>
      </c>
      <c r="C445" s="12" t="s">
        <v>31</v>
      </c>
      <c r="D445" s="6">
        <f t="shared" si="14"/>
        <v>37</v>
      </c>
      <c r="E445">
        <v>2</v>
      </c>
      <c r="F445" s="6">
        <f>VLOOKUP($E445,Sheet3!$B$3:$D$54,2,0)</f>
        <v>1</v>
      </c>
      <c r="G445" s="6">
        <f>VLOOKUP($E445,Sheet3!$B$3:$G$54,3,0)</f>
        <v>1</v>
      </c>
      <c r="H445" s="5">
        <f>VLOOKUP($A445,Sheet3!$I$3:$J$38,2,0)</f>
        <v>21.88</v>
      </c>
      <c r="I445" s="6">
        <f>VLOOKUP($E445,Sheet3!$B$3:$G$54,5,0)</f>
        <v>133692</v>
      </c>
      <c r="J445" s="5">
        <f>VLOOKUP($E445,Sheet3!$B$3:$G$54,4,0)</f>
        <v>3.4</v>
      </c>
      <c r="K445" s="5">
        <f>VLOOKUP($E445,Sheet3!$B$3:$G$54,6,0)</f>
        <v>1.5</v>
      </c>
      <c r="L445">
        <v>1685</v>
      </c>
      <c r="M445">
        <v>1510</v>
      </c>
      <c r="N445">
        <v>17</v>
      </c>
      <c r="O445" s="14">
        <f t="shared" si="15"/>
        <v>0.89614243323442133</v>
      </c>
    </row>
    <row r="446" spans="1:15" x14ac:dyDescent="0.3">
      <c r="A446" s="16" t="s">
        <v>40</v>
      </c>
      <c r="B446" s="12" t="s">
        <v>29</v>
      </c>
      <c r="C446" s="12" t="s">
        <v>31</v>
      </c>
      <c r="D446" s="6">
        <f t="shared" si="14"/>
        <v>37</v>
      </c>
      <c r="E446">
        <v>3</v>
      </c>
      <c r="F446" s="6">
        <f>VLOOKUP($E446,Sheet3!$B$3:$D$54,2,0)</f>
        <v>1</v>
      </c>
      <c r="G446" s="6">
        <f>VLOOKUP($E446,Sheet3!$B$3:$G$54,3,0)</f>
        <v>0</v>
      </c>
      <c r="H446" s="5">
        <f>VLOOKUP($A446,Sheet3!$I$3:$J$38,2,0)</f>
        <v>21.88</v>
      </c>
      <c r="I446" s="6">
        <f>VLOOKUP($E446,Sheet3!$B$3:$G$54,5,0)</f>
        <v>133692</v>
      </c>
      <c r="J446" s="5">
        <f>VLOOKUP($E446,Sheet3!$B$3:$G$54,4,0)</f>
        <v>3.4</v>
      </c>
      <c r="K446" s="5">
        <f>VLOOKUP($E446,Sheet3!$B$3:$G$54,6,0)</f>
        <v>1.5</v>
      </c>
      <c r="L446">
        <v>1919</v>
      </c>
      <c r="M446">
        <v>1927</v>
      </c>
      <c r="N446">
        <v>18</v>
      </c>
      <c r="O446" s="14">
        <f t="shared" si="15"/>
        <v>1.0041688379364253</v>
      </c>
    </row>
    <row r="447" spans="1:15" x14ac:dyDescent="0.3">
      <c r="A447" s="16" t="s">
        <v>40</v>
      </c>
      <c r="B447" s="12" t="s">
        <v>29</v>
      </c>
      <c r="C447" s="12" t="s">
        <v>31</v>
      </c>
      <c r="D447" s="6">
        <f t="shared" si="14"/>
        <v>37</v>
      </c>
      <c r="E447">
        <v>4</v>
      </c>
      <c r="F447" s="6">
        <f>VLOOKUP($E447,Sheet3!$B$3:$D$54,2,0)</f>
        <v>1</v>
      </c>
      <c r="G447" s="6">
        <f>VLOOKUP($E447,Sheet3!$B$3:$G$54,3,0)</f>
        <v>0</v>
      </c>
      <c r="H447" s="5">
        <f>VLOOKUP($A447,Sheet3!$I$3:$J$38,2,0)</f>
        <v>21.88</v>
      </c>
      <c r="I447" s="6">
        <f>VLOOKUP($E447,Sheet3!$B$3:$G$54,5,0)</f>
        <v>133692</v>
      </c>
      <c r="J447" s="5">
        <f>VLOOKUP($E447,Sheet3!$B$3:$G$54,4,0)</f>
        <v>3.4</v>
      </c>
      <c r="K447" s="5">
        <f>VLOOKUP($E447,Sheet3!$B$3:$G$54,6,0)</f>
        <v>1.5</v>
      </c>
      <c r="L447">
        <v>2126</v>
      </c>
      <c r="M447">
        <v>2107</v>
      </c>
      <c r="N447">
        <v>19</v>
      </c>
      <c r="O447" s="14">
        <f t="shared" si="15"/>
        <v>0.99106302916274691</v>
      </c>
    </row>
    <row r="448" spans="1:15" x14ac:dyDescent="0.3">
      <c r="A448" s="16" t="s">
        <v>40</v>
      </c>
      <c r="B448" s="12" t="s">
        <v>29</v>
      </c>
      <c r="C448" s="12" t="s">
        <v>31</v>
      </c>
      <c r="D448" s="6">
        <f t="shared" si="14"/>
        <v>37</v>
      </c>
      <c r="E448">
        <v>5</v>
      </c>
      <c r="F448" s="6">
        <f>VLOOKUP($E448,Sheet3!$B$3:$D$54,2,0)</f>
        <v>1</v>
      </c>
      <c r="G448" s="6">
        <f>VLOOKUP($E448,Sheet3!$B$3:$G$54,3,0)</f>
        <v>0</v>
      </c>
      <c r="H448" s="5">
        <f>VLOOKUP($A448,Sheet3!$I$3:$J$38,2,0)</f>
        <v>21.88</v>
      </c>
      <c r="I448" s="6">
        <f>VLOOKUP($E448,Sheet3!$B$3:$G$54,5,0)</f>
        <v>133692</v>
      </c>
      <c r="J448" s="5">
        <f>VLOOKUP($E448,Sheet3!$B$3:$G$54,4,0)</f>
        <v>3.4</v>
      </c>
      <c r="K448" s="5">
        <f>VLOOKUP($E448,Sheet3!$B$3:$G$54,6,0)</f>
        <v>1.5</v>
      </c>
      <c r="L448">
        <v>2153</v>
      </c>
      <c r="M448">
        <v>2104</v>
      </c>
      <c r="N448">
        <v>20</v>
      </c>
      <c r="O448" s="14">
        <f t="shared" si="15"/>
        <v>0.97724105898745939</v>
      </c>
    </row>
    <row r="449" spans="1:15" x14ac:dyDescent="0.3">
      <c r="A449" s="16" t="s">
        <v>40</v>
      </c>
      <c r="B449" s="12" t="s">
        <v>29</v>
      </c>
      <c r="C449" s="12" t="s">
        <v>31</v>
      </c>
      <c r="D449" s="6">
        <f t="shared" si="14"/>
        <v>45</v>
      </c>
      <c r="E449">
        <v>6</v>
      </c>
      <c r="F449" s="6">
        <f>VLOOKUP($E449,Sheet3!$B$3:$D$54,2,0)</f>
        <v>2</v>
      </c>
      <c r="G449" s="6">
        <f>VLOOKUP($E449,Sheet3!$B$3:$G$54,3,0)</f>
        <v>0</v>
      </c>
      <c r="H449" s="5">
        <f>VLOOKUP($A449,Sheet3!$I$3:$J$38,2,0)</f>
        <v>21.88</v>
      </c>
      <c r="I449" s="6">
        <f>VLOOKUP($E449,Sheet3!$B$3:$G$54,5,0)</f>
        <v>137922</v>
      </c>
      <c r="J449" s="5">
        <f>VLOOKUP($E449,Sheet3!$B$3:$G$54,4,0)</f>
        <v>3.15</v>
      </c>
      <c r="K449" s="5">
        <f>VLOOKUP($E449,Sheet3!$B$3:$G$54,6,0)</f>
        <v>1.6</v>
      </c>
      <c r="L449">
        <v>2153</v>
      </c>
      <c r="M449">
        <v>1981</v>
      </c>
      <c r="N449">
        <v>13</v>
      </c>
      <c r="O449" s="14">
        <f t="shared" si="15"/>
        <v>0.92011147236414303</v>
      </c>
    </row>
    <row r="450" spans="1:15" x14ac:dyDescent="0.3">
      <c r="A450" s="16" t="s">
        <v>40</v>
      </c>
      <c r="B450" s="12" t="s">
        <v>29</v>
      </c>
      <c r="C450" s="12" t="s">
        <v>31</v>
      </c>
      <c r="D450" s="6">
        <f t="shared" si="14"/>
        <v>45</v>
      </c>
      <c r="E450">
        <v>7</v>
      </c>
      <c r="F450" s="6">
        <f>VLOOKUP($E450,Sheet3!$B$3:$D$54,2,0)</f>
        <v>2</v>
      </c>
      <c r="G450" s="6">
        <f>VLOOKUP($E450,Sheet3!$B$3:$G$54,3,0)</f>
        <v>0</v>
      </c>
      <c r="H450" s="5">
        <f>VLOOKUP($A450,Sheet3!$I$3:$J$38,2,0)</f>
        <v>21.88</v>
      </c>
      <c r="I450" s="6">
        <f>VLOOKUP($E450,Sheet3!$B$3:$G$54,5,0)</f>
        <v>137922</v>
      </c>
      <c r="J450" s="5">
        <f>VLOOKUP($E450,Sheet3!$B$3:$G$54,4,0)</f>
        <v>3.15</v>
      </c>
      <c r="K450" s="5">
        <f>VLOOKUP($E450,Sheet3!$B$3:$G$54,6,0)</f>
        <v>1.6</v>
      </c>
      <c r="L450">
        <v>2020</v>
      </c>
      <c r="M450">
        <v>2100</v>
      </c>
      <c r="N450">
        <v>14</v>
      </c>
      <c r="O450" s="14">
        <f t="shared" si="15"/>
        <v>1.0396039603960396</v>
      </c>
    </row>
    <row r="451" spans="1:15" x14ac:dyDescent="0.3">
      <c r="A451" s="16" t="s">
        <v>40</v>
      </c>
      <c r="B451" s="12" t="s">
        <v>29</v>
      </c>
      <c r="C451" s="12" t="s">
        <v>31</v>
      </c>
      <c r="D451" s="6">
        <f t="shared" si="14"/>
        <v>45</v>
      </c>
      <c r="E451">
        <v>8</v>
      </c>
      <c r="F451" s="6">
        <f>VLOOKUP($E451,Sheet3!$B$3:$D$54,2,0)</f>
        <v>2</v>
      </c>
      <c r="G451" s="6">
        <f>VLOOKUP($E451,Sheet3!$B$3:$G$54,3,0)</f>
        <v>0</v>
      </c>
      <c r="H451" s="5">
        <f>VLOOKUP($A451,Sheet3!$I$3:$J$38,2,0)</f>
        <v>21.88</v>
      </c>
      <c r="I451" s="6">
        <f>VLOOKUP($E451,Sheet3!$B$3:$G$54,5,0)</f>
        <v>137922</v>
      </c>
      <c r="J451" s="5">
        <f>VLOOKUP($E451,Sheet3!$B$3:$G$54,4,0)</f>
        <v>3.15</v>
      </c>
      <c r="K451" s="5">
        <f>VLOOKUP($E451,Sheet3!$B$3:$G$54,6,0)</f>
        <v>1.6</v>
      </c>
      <c r="L451">
        <v>2125</v>
      </c>
      <c r="M451">
        <v>2137</v>
      </c>
      <c r="N451">
        <v>15</v>
      </c>
      <c r="O451" s="14">
        <f t="shared" si="15"/>
        <v>1.0056470588235293</v>
      </c>
    </row>
    <row r="452" spans="1:15" x14ac:dyDescent="0.3">
      <c r="A452" s="16" t="s">
        <v>40</v>
      </c>
      <c r="B452" s="12" t="s">
        <v>29</v>
      </c>
      <c r="C452" s="12" t="s">
        <v>31</v>
      </c>
      <c r="D452" s="6">
        <f t="shared" si="14"/>
        <v>45</v>
      </c>
      <c r="E452">
        <v>9</v>
      </c>
      <c r="F452" s="6">
        <f>VLOOKUP($E452,Sheet3!$B$3:$D$54,2,0)</f>
        <v>2</v>
      </c>
      <c r="G452" s="6">
        <f>VLOOKUP($E452,Sheet3!$B$3:$G$54,3,0)</f>
        <v>0</v>
      </c>
      <c r="H452" s="5">
        <f>VLOOKUP($A452,Sheet3!$I$3:$J$38,2,0)</f>
        <v>21.88</v>
      </c>
      <c r="I452" s="6">
        <f>VLOOKUP($E452,Sheet3!$B$3:$G$54,5,0)</f>
        <v>137922</v>
      </c>
      <c r="J452" s="5">
        <f>VLOOKUP($E452,Sheet3!$B$3:$G$54,4,0)</f>
        <v>3.15</v>
      </c>
      <c r="K452" s="5">
        <f>VLOOKUP($E452,Sheet3!$B$3:$G$54,6,0)</f>
        <v>1.6</v>
      </c>
      <c r="L452">
        <v>2154</v>
      </c>
      <c r="M452">
        <v>1993</v>
      </c>
      <c r="N452">
        <v>16</v>
      </c>
      <c r="O452" s="14">
        <f t="shared" si="15"/>
        <v>0.92525533890436396</v>
      </c>
    </row>
    <row r="453" spans="1:15" x14ac:dyDescent="0.3">
      <c r="A453" s="16" t="s">
        <v>40</v>
      </c>
      <c r="B453" s="12" t="s">
        <v>29</v>
      </c>
      <c r="C453" s="12" t="s">
        <v>31</v>
      </c>
      <c r="D453" s="6">
        <f t="shared" si="14"/>
        <v>51</v>
      </c>
      <c r="E453">
        <v>10</v>
      </c>
      <c r="F453" s="6">
        <f>VLOOKUP($E453,Sheet3!$B$3:$D$54,2,0)</f>
        <v>3</v>
      </c>
      <c r="G453" s="6">
        <f>VLOOKUP($E453,Sheet3!$B$3:$G$54,3,0)</f>
        <v>0</v>
      </c>
      <c r="H453" s="5">
        <f>VLOOKUP($A453,Sheet3!$I$3:$J$38,2,0)</f>
        <v>21.88</v>
      </c>
      <c r="I453" s="6">
        <f>VLOOKUP($E453,Sheet3!$B$3:$G$54,5,0)</f>
        <v>172223</v>
      </c>
      <c r="J453" s="5">
        <f>VLOOKUP($E453,Sheet3!$B$3:$G$54,4,0)</f>
        <v>3.15</v>
      </c>
      <c r="K453" s="5">
        <f>VLOOKUP($E453,Sheet3!$B$3:$G$54,6,0)</f>
        <v>1.9</v>
      </c>
      <c r="L453">
        <v>2052</v>
      </c>
      <c r="M453">
        <v>2087</v>
      </c>
      <c r="N453">
        <v>11</v>
      </c>
      <c r="O453" s="14">
        <f t="shared" si="15"/>
        <v>1.017056530214425</v>
      </c>
    </row>
    <row r="454" spans="1:15" x14ac:dyDescent="0.3">
      <c r="A454" s="16" t="s">
        <v>40</v>
      </c>
      <c r="B454" s="12" t="s">
        <v>29</v>
      </c>
      <c r="C454" s="12" t="s">
        <v>31</v>
      </c>
      <c r="D454" s="6">
        <f t="shared" si="14"/>
        <v>51</v>
      </c>
      <c r="E454">
        <v>11</v>
      </c>
      <c r="F454" s="6">
        <f>VLOOKUP($E454,Sheet3!$B$3:$D$54,2,0)</f>
        <v>3</v>
      </c>
      <c r="G454" s="6">
        <f>VLOOKUP($E454,Sheet3!$B$3:$G$54,3,0)</f>
        <v>0</v>
      </c>
      <c r="H454" s="5">
        <f>VLOOKUP($A454,Sheet3!$I$3:$J$38,2,0)</f>
        <v>21.88</v>
      </c>
      <c r="I454" s="6">
        <f>VLOOKUP($E454,Sheet3!$B$3:$G$54,5,0)</f>
        <v>172223</v>
      </c>
      <c r="J454" s="5">
        <f>VLOOKUP($E454,Sheet3!$B$3:$G$54,4,0)</f>
        <v>2.9</v>
      </c>
      <c r="K454" s="5">
        <f>VLOOKUP($E454,Sheet3!$B$3:$G$54,6,0)</f>
        <v>1.9</v>
      </c>
      <c r="L454">
        <v>2025</v>
      </c>
      <c r="M454">
        <v>2127</v>
      </c>
      <c r="N454">
        <v>12</v>
      </c>
      <c r="O454" s="14">
        <f t="shared" si="15"/>
        <v>1.0503703703703704</v>
      </c>
    </row>
    <row r="455" spans="1:15" x14ac:dyDescent="0.3">
      <c r="A455" s="16" t="s">
        <v>40</v>
      </c>
      <c r="B455" s="12" t="s">
        <v>29</v>
      </c>
      <c r="C455" s="12" t="s">
        <v>31</v>
      </c>
      <c r="D455" s="6">
        <f t="shared" si="14"/>
        <v>51</v>
      </c>
      <c r="E455">
        <v>12</v>
      </c>
      <c r="F455" s="6">
        <f>VLOOKUP($E455,Sheet3!$B$3:$D$54,2,0)</f>
        <v>3</v>
      </c>
      <c r="G455" s="6">
        <f>VLOOKUP($E455,Sheet3!$B$3:$G$54,3,0)</f>
        <v>0</v>
      </c>
      <c r="H455" s="5">
        <f>VLOOKUP($A455,Sheet3!$I$3:$J$38,2,0)</f>
        <v>21.88</v>
      </c>
      <c r="I455" s="6">
        <f>VLOOKUP($E455,Sheet3!$B$3:$G$54,5,0)</f>
        <v>172223</v>
      </c>
      <c r="J455" s="5">
        <f>VLOOKUP($E455,Sheet3!$B$3:$G$54,4,0)</f>
        <v>2.9</v>
      </c>
      <c r="K455" s="5">
        <f>VLOOKUP($E455,Sheet3!$B$3:$G$54,6,0)</f>
        <v>1.9</v>
      </c>
      <c r="L455">
        <v>1893</v>
      </c>
      <c r="M455">
        <v>2014</v>
      </c>
      <c r="N455">
        <v>13</v>
      </c>
      <c r="O455" s="14">
        <f t="shared" si="15"/>
        <v>1.06391970417327</v>
      </c>
    </row>
    <row r="456" spans="1:15" x14ac:dyDescent="0.3">
      <c r="A456" s="16" t="s">
        <v>40</v>
      </c>
      <c r="B456" s="12" t="s">
        <v>29</v>
      </c>
      <c r="C456" s="12" t="s">
        <v>31</v>
      </c>
      <c r="D456" s="6">
        <f t="shared" si="14"/>
        <v>51</v>
      </c>
      <c r="E456">
        <v>13</v>
      </c>
      <c r="F456" s="6">
        <f>VLOOKUP($E456,Sheet3!$B$3:$D$54,2,0)</f>
        <v>3</v>
      </c>
      <c r="G456" s="6">
        <f>VLOOKUP($E456,Sheet3!$B$3:$G$54,3,0)</f>
        <v>0</v>
      </c>
      <c r="H456" s="5">
        <f>VLOOKUP($A456,Sheet3!$I$3:$J$38,2,0)</f>
        <v>21.88</v>
      </c>
      <c r="I456" s="6">
        <f>VLOOKUP($E456,Sheet3!$B$3:$G$54,5,0)</f>
        <v>172223</v>
      </c>
      <c r="J456" s="5">
        <f>VLOOKUP($E456,Sheet3!$B$3:$G$54,4,0)</f>
        <v>2.9</v>
      </c>
      <c r="K456" s="5">
        <f>VLOOKUP($E456,Sheet3!$B$3:$G$54,6,0)</f>
        <v>1.9</v>
      </c>
      <c r="L456">
        <v>2047</v>
      </c>
      <c r="M456">
        <v>2114</v>
      </c>
      <c r="N456">
        <v>14</v>
      </c>
      <c r="O456" s="14">
        <f t="shared" si="15"/>
        <v>1.0327308255984367</v>
      </c>
    </row>
    <row r="457" spans="1:15" x14ac:dyDescent="0.3">
      <c r="A457" s="16" t="s">
        <v>40</v>
      </c>
      <c r="B457" s="12" t="s">
        <v>29</v>
      </c>
      <c r="C457" s="12" t="s">
        <v>31</v>
      </c>
      <c r="D457" s="6">
        <f t="shared" si="14"/>
        <v>3</v>
      </c>
      <c r="E457">
        <v>14</v>
      </c>
      <c r="F457" s="6">
        <f>VLOOKUP($E457,Sheet3!$B$3:$D$54,2,0)</f>
        <v>3</v>
      </c>
      <c r="G457" s="6">
        <f>VLOOKUP($E457,Sheet3!$B$3:$G$54,3,0)</f>
        <v>0</v>
      </c>
      <c r="H457" s="5">
        <f>VLOOKUP($A457,Sheet3!$I$3:$J$38,2,0)</f>
        <v>21.88</v>
      </c>
      <c r="I457" s="6">
        <f>VLOOKUP($E457,Sheet3!$B$3:$G$54,5,0)</f>
        <v>172223</v>
      </c>
      <c r="J457" s="5">
        <f>VLOOKUP($E457,Sheet3!$B$3:$G$54,4,0)</f>
        <v>2.9</v>
      </c>
      <c r="K457" s="5">
        <f>VLOOKUP($E457,Sheet3!$B$3:$G$54,6,0)</f>
        <v>1.9</v>
      </c>
      <c r="L457">
        <v>2050</v>
      </c>
      <c r="M457">
        <v>2106</v>
      </c>
      <c r="N457">
        <v>11</v>
      </c>
      <c r="O457" s="14">
        <f t="shared" si="15"/>
        <v>1.0273170731707317</v>
      </c>
    </row>
    <row r="458" spans="1:15" x14ac:dyDescent="0.3">
      <c r="A458" s="16" t="s">
        <v>40</v>
      </c>
      <c r="B458" s="12" t="s">
        <v>29</v>
      </c>
      <c r="C458" s="12" t="s">
        <v>31</v>
      </c>
      <c r="D458" s="6">
        <f t="shared" si="14"/>
        <v>3</v>
      </c>
      <c r="E458">
        <v>15</v>
      </c>
      <c r="F458" s="6">
        <f>VLOOKUP($E458,Sheet3!$B$3:$D$54,2,0)</f>
        <v>4</v>
      </c>
      <c r="G458" s="6">
        <f>VLOOKUP($E458,Sheet3!$B$3:$G$54,3,0)</f>
        <v>0</v>
      </c>
      <c r="H458" s="5">
        <f>VLOOKUP($A458,Sheet3!$I$3:$J$38,2,0)</f>
        <v>21.88</v>
      </c>
      <c r="I458" s="6">
        <f>VLOOKUP($E458,Sheet3!$B$3:$G$54,5,0)</f>
        <v>139084</v>
      </c>
      <c r="J458" s="5">
        <f>VLOOKUP($E458,Sheet3!$B$3:$G$54,4,0)</f>
        <v>2.9</v>
      </c>
      <c r="K458" s="5">
        <f>VLOOKUP($E458,Sheet3!$B$3:$G$54,6,0)</f>
        <v>1.9</v>
      </c>
      <c r="L458">
        <v>1868</v>
      </c>
      <c r="M458">
        <v>1951</v>
      </c>
      <c r="N458">
        <v>12</v>
      </c>
      <c r="O458" s="14">
        <f t="shared" si="15"/>
        <v>1.0444325481798715</v>
      </c>
    </row>
    <row r="459" spans="1:15" x14ac:dyDescent="0.3">
      <c r="A459" s="16" t="s">
        <v>40</v>
      </c>
      <c r="B459" s="12" t="s">
        <v>29</v>
      </c>
      <c r="C459" s="12" t="s">
        <v>31</v>
      </c>
      <c r="D459" s="6">
        <f t="shared" si="14"/>
        <v>3</v>
      </c>
      <c r="E459">
        <v>16</v>
      </c>
      <c r="F459" s="6">
        <f>VLOOKUP($E459,Sheet3!$B$3:$D$54,2,0)</f>
        <v>4</v>
      </c>
      <c r="G459" s="6">
        <f>VLOOKUP($E459,Sheet3!$B$3:$G$54,3,0)</f>
        <v>0</v>
      </c>
      <c r="H459" s="5">
        <f>VLOOKUP($A459,Sheet3!$I$3:$J$38,2,0)</f>
        <v>21.88</v>
      </c>
      <c r="I459" s="6">
        <f>VLOOKUP($E459,Sheet3!$B$3:$G$54,5,0)</f>
        <v>139084</v>
      </c>
      <c r="J459" s="5">
        <f>VLOOKUP($E459,Sheet3!$B$3:$G$54,4,0)</f>
        <v>2.9</v>
      </c>
      <c r="K459" s="5">
        <f>VLOOKUP($E459,Sheet3!$B$3:$G$54,6,0)</f>
        <v>1.9</v>
      </c>
      <c r="L459">
        <v>1388</v>
      </c>
      <c r="M459">
        <v>1465</v>
      </c>
      <c r="N459">
        <v>13</v>
      </c>
      <c r="O459" s="14">
        <f t="shared" si="15"/>
        <v>1.0554755043227666</v>
      </c>
    </row>
    <row r="460" spans="1:15" x14ac:dyDescent="0.3">
      <c r="A460" s="16" t="s">
        <v>40</v>
      </c>
      <c r="B460" s="12" t="s">
        <v>29</v>
      </c>
      <c r="C460" s="12" t="s">
        <v>31</v>
      </c>
      <c r="D460" s="6">
        <f t="shared" si="14"/>
        <v>3</v>
      </c>
      <c r="E460">
        <v>17</v>
      </c>
      <c r="F460" s="6">
        <f>VLOOKUP($E460,Sheet3!$B$3:$D$54,2,0)</f>
        <v>4</v>
      </c>
      <c r="G460" s="6">
        <f>VLOOKUP($E460,Sheet3!$B$3:$G$54,3,0)</f>
        <v>1</v>
      </c>
      <c r="H460" s="5">
        <f>VLOOKUP($A460,Sheet3!$I$3:$J$38,2,0)</f>
        <v>21.88</v>
      </c>
      <c r="I460" s="6">
        <f>VLOOKUP($E460,Sheet3!$B$3:$G$54,5,0)</f>
        <v>139084</v>
      </c>
      <c r="J460" s="5">
        <f>VLOOKUP($E460,Sheet3!$B$3:$G$54,4,0)</f>
        <v>2.65</v>
      </c>
      <c r="K460" s="5">
        <f>VLOOKUP($E460,Sheet3!$B$3:$G$54,6,0)</f>
        <v>1.9</v>
      </c>
      <c r="L460">
        <v>1698</v>
      </c>
      <c r="M460">
        <v>1793</v>
      </c>
      <c r="N460">
        <v>14</v>
      </c>
      <c r="O460" s="14">
        <f t="shared" si="15"/>
        <v>1.0559481743227326</v>
      </c>
    </row>
    <row r="461" spans="1:15" x14ac:dyDescent="0.3">
      <c r="A461" s="16" t="s">
        <v>40</v>
      </c>
      <c r="B461" s="12" t="s">
        <v>29</v>
      </c>
      <c r="C461" s="12" t="s">
        <v>31</v>
      </c>
      <c r="D461" s="6">
        <f t="shared" si="14"/>
        <v>3</v>
      </c>
      <c r="E461">
        <v>18</v>
      </c>
      <c r="F461" s="6">
        <f>VLOOKUP($E461,Sheet3!$B$3:$D$54,2,0)</f>
        <v>4</v>
      </c>
      <c r="G461" s="6">
        <f>VLOOKUP($E461,Sheet3!$B$3:$G$54,3,0)</f>
        <v>1</v>
      </c>
      <c r="H461" s="5">
        <f>VLOOKUP($A461,Sheet3!$I$3:$J$38,2,0)</f>
        <v>21.88</v>
      </c>
      <c r="I461" s="6">
        <f>VLOOKUP($E461,Sheet3!$B$3:$G$54,5,0)</f>
        <v>139084</v>
      </c>
      <c r="J461" s="5">
        <f>VLOOKUP($E461,Sheet3!$B$3:$G$54,4,0)</f>
        <v>2.65</v>
      </c>
      <c r="K461" s="5">
        <f>VLOOKUP($E461,Sheet3!$B$3:$G$54,6,0)</f>
        <v>1.9</v>
      </c>
      <c r="L461">
        <v>1546</v>
      </c>
      <c r="M461">
        <v>1667</v>
      </c>
      <c r="N461">
        <v>15</v>
      </c>
      <c r="O461" s="14">
        <f t="shared" si="15"/>
        <v>1.0782664941785252</v>
      </c>
    </row>
    <row r="462" spans="1:15" x14ac:dyDescent="0.3">
      <c r="A462" s="16" t="s">
        <v>40</v>
      </c>
      <c r="B462" s="12" t="s">
        <v>29</v>
      </c>
      <c r="C462" s="12" t="s">
        <v>31</v>
      </c>
      <c r="D462" s="6">
        <f t="shared" si="14"/>
        <v>6</v>
      </c>
      <c r="E462">
        <v>19</v>
      </c>
      <c r="F462" s="6">
        <f>VLOOKUP($E462,Sheet3!$B$3:$D$54,2,0)</f>
        <v>5</v>
      </c>
      <c r="G462" s="6">
        <f>VLOOKUP($E462,Sheet3!$B$3:$G$54,3,0)</f>
        <v>0</v>
      </c>
      <c r="H462" s="5">
        <f>VLOOKUP($A462,Sheet3!$I$3:$J$38,2,0)</f>
        <v>21.88</v>
      </c>
      <c r="I462" s="6">
        <f>VLOOKUP($E462,Sheet3!$B$3:$G$54,5,0)</f>
        <v>139390</v>
      </c>
      <c r="J462" s="5">
        <f>VLOOKUP($E462,Sheet3!$B$3:$G$54,4,0)</f>
        <v>2.65</v>
      </c>
      <c r="K462" s="5">
        <f>VLOOKUP($E462,Sheet3!$B$3:$G$54,6,0)</f>
        <v>1.6</v>
      </c>
      <c r="L462">
        <v>2049</v>
      </c>
      <c r="M462">
        <v>2248</v>
      </c>
      <c r="N462">
        <v>13</v>
      </c>
      <c r="O462" s="14">
        <f t="shared" si="15"/>
        <v>1.0971205466081015</v>
      </c>
    </row>
    <row r="463" spans="1:15" x14ac:dyDescent="0.3">
      <c r="A463" s="16" t="s">
        <v>40</v>
      </c>
      <c r="B463" s="12" t="s">
        <v>29</v>
      </c>
      <c r="C463" s="12" t="s">
        <v>31</v>
      </c>
      <c r="D463" s="6">
        <f t="shared" si="14"/>
        <v>6</v>
      </c>
      <c r="E463">
        <v>20</v>
      </c>
      <c r="F463" s="6">
        <f>VLOOKUP($E463,Sheet3!$B$3:$D$54,2,0)</f>
        <v>5</v>
      </c>
      <c r="G463" s="6">
        <f>VLOOKUP($E463,Sheet3!$B$3:$G$54,3,0)</f>
        <v>0</v>
      </c>
      <c r="H463" s="5">
        <f>VLOOKUP($A463,Sheet3!$I$3:$J$38,2,0)</f>
        <v>21.88</v>
      </c>
      <c r="I463" s="6">
        <f>VLOOKUP($E463,Sheet3!$B$3:$G$54,5,0)</f>
        <v>139390</v>
      </c>
      <c r="J463" s="5">
        <f>VLOOKUP($E463,Sheet3!$B$3:$G$54,4,0)</f>
        <v>2.65</v>
      </c>
      <c r="K463" s="5">
        <f>VLOOKUP($E463,Sheet3!$B$3:$G$54,6,0)</f>
        <v>1.6</v>
      </c>
      <c r="L463">
        <v>2024</v>
      </c>
      <c r="M463">
        <v>2252</v>
      </c>
      <c r="N463">
        <v>14</v>
      </c>
      <c r="O463" s="14">
        <f t="shared" si="15"/>
        <v>1.1126482213438735</v>
      </c>
    </row>
    <row r="464" spans="1:15" x14ac:dyDescent="0.3">
      <c r="A464" s="16" t="s">
        <v>40</v>
      </c>
      <c r="B464" s="12" t="s">
        <v>29</v>
      </c>
      <c r="C464" s="12" t="s">
        <v>31</v>
      </c>
      <c r="D464" s="6">
        <f t="shared" si="14"/>
        <v>6</v>
      </c>
      <c r="E464">
        <v>21</v>
      </c>
      <c r="F464" s="6">
        <f>VLOOKUP($E464,Sheet3!$B$3:$D$54,2,0)</f>
        <v>5</v>
      </c>
      <c r="G464" s="6">
        <f>VLOOKUP($E464,Sheet3!$B$3:$G$54,3,0)</f>
        <v>0</v>
      </c>
      <c r="H464" s="5">
        <f>VLOOKUP($A464,Sheet3!$I$3:$J$38,2,0)</f>
        <v>21.88</v>
      </c>
      <c r="I464" s="6">
        <f>VLOOKUP($E464,Sheet3!$B$3:$G$54,5,0)</f>
        <v>139390</v>
      </c>
      <c r="J464" s="5">
        <f>VLOOKUP($E464,Sheet3!$B$3:$G$54,4,0)</f>
        <v>2.65</v>
      </c>
      <c r="K464" s="5">
        <f>VLOOKUP($E464,Sheet3!$B$3:$G$54,6,0)</f>
        <v>1.6</v>
      </c>
      <c r="L464">
        <v>1895</v>
      </c>
      <c r="M464">
        <v>2136</v>
      </c>
      <c r="N464">
        <v>15</v>
      </c>
      <c r="O464" s="14">
        <f t="shared" si="15"/>
        <v>1.1271767810026385</v>
      </c>
    </row>
    <row r="465" spans="1:15" x14ac:dyDescent="0.3">
      <c r="A465" s="16" t="s">
        <v>40</v>
      </c>
      <c r="B465" s="12" t="s">
        <v>29</v>
      </c>
      <c r="C465" s="12" t="s">
        <v>31</v>
      </c>
      <c r="D465" s="6">
        <f t="shared" si="14"/>
        <v>6</v>
      </c>
      <c r="E465">
        <v>22</v>
      </c>
      <c r="F465" s="6">
        <f>VLOOKUP($E465,Sheet3!$B$3:$D$54,2,0)</f>
        <v>5</v>
      </c>
      <c r="G465" s="6">
        <f>VLOOKUP($E465,Sheet3!$B$3:$G$54,3,0)</f>
        <v>0</v>
      </c>
      <c r="H465" s="5">
        <f>VLOOKUP($A465,Sheet3!$I$3:$J$38,2,0)</f>
        <v>21.88</v>
      </c>
      <c r="I465" s="6">
        <f>VLOOKUP($E465,Sheet3!$B$3:$G$54,5,0)</f>
        <v>139390</v>
      </c>
      <c r="J465" s="5">
        <f>VLOOKUP($E465,Sheet3!$B$3:$G$54,4,0)</f>
        <v>2.65</v>
      </c>
      <c r="K465" s="5">
        <f>VLOOKUP($E465,Sheet3!$B$3:$G$54,6,0)</f>
        <v>1.6</v>
      </c>
      <c r="L465">
        <v>2047</v>
      </c>
      <c r="M465">
        <v>2311</v>
      </c>
      <c r="N465">
        <v>16</v>
      </c>
      <c r="O465" s="14">
        <f t="shared" si="15"/>
        <v>1.1289692232535418</v>
      </c>
    </row>
    <row r="466" spans="1:15" x14ac:dyDescent="0.3">
      <c r="A466" s="16" t="s">
        <v>40</v>
      </c>
      <c r="B466" s="12" t="s">
        <v>29</v>
      </c>
      <c r="C466" s="12" t="s">
        <v>31</v>
      </c>
      <c r="D466" s="6">
        <f t="shared" si="14"/>
        <v>10</v>
      </c>
      <c r="E466">
        <v>23</v>
      </c>
      <c r="F466" s="6">
        <f>VLOOKUP($E466,Sheet3!$B$3:$D$54,2,0)</f>
        <v>5</v>
      </c>
      <c r="G466" s="6">
        <f>VLOOKUP($E466,Sheet3!$B$3:$G$54,3,0)</f>
        <v>1</v>
      </c>
      <c r="H466" s="5">
        <f>VLOOKUP($A466,Sheet3!$I$3:$J$38,2,0)</f>
        <v>21.88</v>
      </c>
      <c r="I466" s="6">
        <f>VLOOKUP($E466,Sheet3!$B$3:$G$54,5,0)</f>
        <v>139390</v>
      </c>
      <c r="J466" s="5">
        <f>VLOOKUP($E466,Sheet3!$B$3:$G$54,4,0)</f>
        <v>2.4</v>
      </c>
      <c r="K466" s="5">
        <f>VLOOKUP($E466,Sheet3!$B$3:$G$54,6,0)</f>
        <v>1.6</v>
      </c>
      <c r="L466">
        <v>2049</v>
      </c>
      <c r="M466">
        <v>2401</v>
      </c>
      <c r="N466">
        <v>13</v>
      </c>
      <c r="O466" s="14">
        <f t="shared" si="15"/>
        <v>1.1717911176183504</v>
      </c>
    </row>
    <row r="467" spans="1:15" x14ac:dyDescent="0.3">
      <c r="A467" s="16" t="s">
        <v>40</v>
      </c>
      <c r="B467" s="12" t="s">
        <v>29</v>
      </c>
      <c r="C467" s="12" t="s">
        <v>31</v>
      </c>
      <c r="D467" s="6">
        <f t="shared" si="14"/>
        <v>10</v>
      </c>
      <c r="E467">
        <v>24</v>
      </c>
      <c r="F467" s="6">
        <f>VLOOKUP($E467,Sheet3!$B$3:$D$54,2,0)</f>
        <v>6</v>
      </c>
      <c r="G467" s="6">
        <f>VLOOKUP($E467,Sheet3!$B$3:$G$54,3,0)</f>
        <v>0</v>
      </c>
      <c r="H467" s="5">
        <f>VLOOKUP($A467,Sheet3!$I$3:$J$38,2,0)</f>
        <v>21.88</v>
      </c>
      <c r="I467" s="6">
        <f>VLOOKUP($E467,Sheet3!$B$3:$G$54,5,0)</f>
        <v>132191</v>
      </c>
      <c r="J467" s="5">
        <f>VLOOKUP($E467,Sheet3!$B$3:$G$54,4,0)</f>
        <v>2.4</v>
      </c>
      <c r="K467" s="5">
        <f>VLOOKUP($E467,Sheet3!$B$3:$G$54,6,0)</f>
        <v>1.7</v>
      </c>
      <c r="L467">
        <v>1870</v>
      </c>
      <c r="M467">
        <v>2289</v>
      </c>
      <c r="N467">
        <v>14</v>
      </c>
      <c r="O467" s="14">
        <f t="shared" si="15"/>
        <v>1.2240641711229947</v>
      </c>
    </row>
    <row r="468" spans="1:15" x14ac:dyDescent="0.3">
      <c r="A468" s="16" t="s">
        <v>40</v>
      </c>
      <c r="B468" s="12" t="s">
        <v>29</v>
      </c>
      <c r="C468" s="12" t="s">
        <v>31</v>
      </c>
      <c r="D468" s="6">
        <f t="shared" si="14"/>
        <v>10</v>
      </c>
      <c r="E468">
        <v>25</v>
      </c>
      <c r="F468" s="6">
        <f>VLOOKUP($E468,Sheet3!$B$3:$D$54,2,0)</f>
        <v>6</v>
      </c>
      <c r="G468" s="6">
        <f>VLOOKUP($E468,Sheet3!$B$3:$G$54,3,0)</f>
        <v>0</v>
      </c>
      <c r="H468" s="5">
        <f>VLOOKUP($A468,Sheet3!$I$3:$J$38,2,0)</f>
        <v>21.88</v>
      </c>
      <c r="I468" s="6">
        <f>VLOOKUP($E468,Sheet3!$B$3:$G$54,5,0)</f>
        <v>132191</v>
      </c>
      <c r="J468" s="5">
        <f>VLOOKUP($E468,Sheet3!$B$3:$G$54,4,0)</f>
        <v>2.4</v>
      </c>
      <c r="K468" s="5">
        <f>VLOOKUP($E468,Sheet3!$B$3:$G$54,6,0)</f>
        <v>1.7</v>
      </c>
      <c r="L468">
        <v>1893</v>
      </c>
      <c r="M468">
        <v>2141</v>
      </c>
      <c r="N468">
        <v>15</v>
      </c>
      <c r="O468" s="14">
        <f t="shared" si="15"/>
        <v>1.1310089804543053</v>
      </c>
    </row>
    <row r="469" spans="1:15" x14ac:dyDescent="0.3">
      <c r="A469" s="16" t="s">
        <v>40</v>
      </c>
      <c r="B469" s="12" t="s">
        <v>29</v>
      </c>
      <c r="C469" s="12" t="s">
        <v>31</v>
      </c>
      <c r="D469" s="6">
        <f t="shared" si="14"/>
        <v>10</v>
      </c>
      <c r="E469">
        <v>26</v>
      </c>
      <c r="F469" s="6">
        <f>VLOOKUP($E469,Sheet3!$B$3:$D$54,2,0)</f>
        <v>6</v>
      </c>
      <c r="G469" s="6">
        <f>VLOOKUP($E469,Sheet3!$B$3:$G$54,3,0)</f>
        <v>0</v>
      </c>
      <c r="H469" s="5">
        <f>VLOOKUP($A469,Sheet3!$I$3:$J$38,2,0)</f>
        <v>21.88</v>
      </c>
      <c r="I469" s="6">
        <f>VLOOKUP($E469,Sheet3!$B$3:$G$54,5,0)</f>
        <v>132191</v>
      </c>
      <c r="J469" s="5">
        <f>VLOOKUP($E469,Sheet3!$B$3:$G$54,4,0)</f>
        <v>2.4</v>
      </c>
      <c r="K469" s="5">
        <f>VLOOKUP($E469,Sheet3!$B$3:$G$54,6,0)</f>
        <v>1.7</v>
      </c>
      <c r="L469">
        <v>1341</v>
      </c>
      <c r="M469">
        <v>1621</v>
      </c>
      <c r="N469">
        <v>16</v>
      </c>
      <c r="O469" s="14">
        <f t="shared" si="15"/>
        <v>1.2087994034302758</v>
      </c>
    </row>
    <row r="470" spans="1:15" x14ac:dyDescent="0.3">
      <c r="A470" s="16" t="s">
        <v>49</v>
      </c>
      <c r="B470" s="12" t="s">
        <v>29</v>
      </c>
      <c r="C470" s="12" t="s">
        <v>31</v>
      </c>
      <c r="D470" s="6">
        <f t="shared" ref="D470" si="16">IF(E470-N470&lt;0,E470-N470+52,E470-N470)</f>
        <v>11</v>
      </c>
      <c r="E470">
        <v>27</v>
      </c>
      <c r="F470" s="6">
        <f>VLOOKUP($E470,Sheet3!$B$3:$D$54,2,0)</f>
        <v>7</v>
      </c>
      <c r="G470" s="6">
        <f>VLOOKUP($E470,Sheet3!$B$3:$G$54,3,0)</f>
        <v>0</v>
      </c>
      <c r="H470" s="5">
        <f>VLOOKUP($A470,Sheet3!$I$3:$J$38,2,0)</f>
        <v>21.63</v>
      </c>
      <c r="I470" s="6">
        <f>VLOOKUP($E470,Sheet3!$B$3:$G$54,5,0)</f>
        <v>124806</v>
      </c>
      <c r="J470" s="5">
        <f>VLOOKUP($E470,Sheet3!$B$3:$G$54,4,0)</f>
        <v>4.5</v>
      </c>
      <c r="K470" s="5">
        <f>VLOOKUP($E470,Sheet3!$B$3:$G$54,6,0)</f>
        <v>1.3</v>
      </c>
      <c r="L470">
        <v>3000</v>
      </c>
      <c r="M470">
        <v>3265</v>
      </c>
      <c r="N470">
        <v>16</v>
      </c>
      <c r="O470" s="14">
        <f t="shared" si="15"/>
        <v>1.0883333333333334</v>
      </c>
    </row>
    <row r="471" spans="1:15" x14ac:dyDescent="0.3">
      <c r="A471" s="16" t="s">
        <v>49</v>
      </c>
      <c r="B471" s="12" t="s">
        <v>29</v>
      </c>
      <c r="C471" s="12" t="s">
        <v>31</v>
      </c>
      <c r="D471" s="6">
        <f t="shared" ref="D471:D522" si="17">IF(E471-N471&lt;0,E471-N471+52,E471-N471)</f>
        <v>11</v>
      </c>
      <c r="E471">
        <v>28</v>
      </c>
      <c r="F471" s="6">
        <f>VLOOKUP($E471,Sheet3!$B$3:$D$54,2,0)</f>
        <v>7</v>
      </c>
      <c r="G471" s="6">
        <f>VLOOKUP($E471,Sheet3!$B$3:$G$54,3,0)</f>
        <v>0</v>
      </c>
      <c r="H471" s="5">
        <f>VLOOKUP($A471,Sheet3!$I$3:$J$38,2,0)</f>
        <v>21.63</v>
      </c>
      <c r="I471" s="6">
        <f>VLOOKUP($E471,Sheet3!$B$3:$G$54,5,0)</f>
        <v>124806</v>
      </c>
      <c r="J471" s="5">
        <f>VLOOKUP($E471,Sheet3!$B$3:$G$54,4,0)</f>
        <v>4.5</v>
      </c>
      <c r="K471" s="5">
        <f>VLOOKUP($E471,Sheet3!$B$3:$G$54,6,0)</f>
        <v>1.3</v>
      </c>
      <c r="L471">
        <v>2967</v>
      </c>
      <c r="M471">
        <v>2416</v>
      </c>
      <c r="N471">
        <v>17</v>
      </c>
      <c r="O471" s="14">
        <f t="shared" si="15"/>
        <v>0.81429052915402766</v>
      </c>
    </row>
    <row r="472" spans="1:15" x14ac:dyDescent="0.3">
      <c r="A472" s="16" t="s">
        <v>49</v>
      </c>
      <c r="B472" s="12" t="s">
        <v>29</v>
      </c>
      <c r="C472" s="12" t="s">
        <v>31</v>
      </c>
      <c r="D472" s="6">
        <f t="shared" si="17"/>
        <v>11</v>
      </c>
      <c r="E472">
        <v>29</v>
      </c>
      <c r="F472" s="6">
        <f>VLOOKUP($E472,Sheet3!$B$3:$D$54,2,0)</f>
        <v>7</v>
      </c>
      <c r="G472" s="6">
        <f>VLOOKUP($E472,Sheet3!$B$3:$G$54,3,0)</f>
        <v>0</v>
      </c>
      <c r="H472" s="5">
        <f>VLOOKUP($A472,Sheet3!$I$3:$J$38,2,0)</f>
        <v>21.63</v>
      </c>
      <c r="I472" s="6">
        <f>VLOOKUP($E472,Sheet3!$B$3:$G$54,5,0)</f>
        <v>124806</v>
      </c>
      <c r="J472" s="5">
        <f>VLOOKUP($E472,Sheet3!$B$3:$G$54,4,0)</f>
        <v>4.5</v>
      </c>
      <c r="K472" s="5">
        <f>VLOOKUP($E472,Sheet3!$B$3:$G$54,6,0)</f>
        <v>1.3</v>
      </c>
      <c r="L472">
        <v>3000</v>
      </c>
      <c r="M472">
        <v>2280</v>
      </c>
      <c r="N472">
        <v>18</v>
      </c>
      <c r="O472" s="14">
        <f t="shared" si="15"/>
        <v>0.76</v>
      </c>
    </row>
    <row r="473" spans="1:15" x14ac:dyDescent="0.3">
      <c r="A473" s="16" t="s">
        <v>49</v>
      </c>
      <c r="B473" s="12" t="s">
        <v>29</v>
      </c>
      <c r="C473" s="12" t="s">
        <v>31</v>
      </c>
      <c r="D473" s="6">
        <f t="shared" si="17"/>
        <v>11</v>
      </c>
      <c r="E473">
        <v>30</v>
      </c>
      <c r="F473" s="6">
        <f>VLOOKUP($E473,Sheet3!$B$3:$D$54,2,0)</f>
        <v>7</v>
      </c>
      <c r="G473" s="6">
        <f>VLOOKUP($E473,Sheet3!$B$3:$G$54,3,0)</f>
        <v>0</v>
      </c>
      <c r="H473" s="5">
        <f>VLOOKUP($A473,Sheet3!$I$3:$J$38,2,0)</f>
        <v>21.63</v>
      </c>
      <c r="I473" s="6">
        <f>VLOOKUP($E473,Sheet3!$B$3:$G$54,5,0)</f>
        <v>124806</v>
      </c>
      <c r="J473" s="5">
        <f>VLOOKUP($E473,Sheet3!$B$3:$G$54,4,0)</f>
        <v>4.5</v>
      </c>
      <c r="K473" s="5">
        <f>VLOOKUP($E473,Sheet3!$B$3:$G$54,6,0)</f>
        <v>1.3</v>
      </c>
      <c r="L473">
        <v>3000</v>
      </c>
      <c r="M473">
        <v>2435</v>
      </c>
      <c r="N473">
        <v>19</v>
      </c>
      <c r="O473" s="14">
        <f t="shared" si="15"/>
        <v>0.81166666666666665</v>
      </c>
    </row>
    <row r="474" spans="1:15" x14ac:dyDescent="0.3">
      <c r="A474" s="16" t="s">
        <v>49</v>
      </c>
      <c r="B474" s="12" t="s">
        <v>29</v>
      </c>
      <c r="C474" s="12" t="s">
        <v>31</v>
      </c>
      <c r="D474" s="6">
        <f t="shared" si="17"/>
        <v>10</v>
      </c>
      <c r="E474">
        <v>31</v>
      </c>
      <c r="F474" s="6">
        <f>VLOOKUP($E474,Sheet3!$B$3:$D$54,2,0)</f>
        <v>7</v>
      </c>
      <c r="G474" s="6">
        <f>VLOOKUP($E474,Sheet3!$B$3:$G$54,3,0)</f>
        <v>0</v>
      </c>
      <c r="H474" s="5">
        <f>VLOOKUP($A474,Sheet3!$I$3:$J$38,2,0)</f>
        <v>21.63</v>
      </c>
      <c r="I474" s="6">
        <f>VLOOKUP($E474,Sheet3!$B$3:$G$54,5,0)</f>
        <v>124806</v>
      </c>
      <c r="J474" s="5">
        <f>VLOOKUP($E474,Sheet3!$B$3:$G$54,4,0)</f>
        <v>4.5</v>
      </c>
      <c r="K474" s="5">
        <f>VLOOKUP($E474,Sheet3!$B$3:$G$54,6,0)</f>
        <v>1.3</v>
      </c>
      <c r="L474">
        <v>2615</v>
      </c>
      <c r="M474">
        <v>1864</v>
      </c>
      <c r="N474">
        <v>21</v>
      </c>
      <c r="O474" s="14">
        <f t="shared" si="15"/>
        <v>0.71281070745697894</v>
      </c>
    </row>
    <row r="475" spans="1:15" x14ac:dyDescent="0.3">
      <c r="A475" s="16" t="s">
        <v>49</v>
      </c>
      <c r="B475" s="12" t="s">
        <v>29</v>
      </c>
      <c r="C475" s="12" t="s">
        <v>31</v>
      </c>
      <c r="D475" s="6">
        <f t="shared" si="17"/>
        <v>11</v>
      </c>
      <c r="E475">
        <v>32</v>
      </c>
      <c r="F475" s="6">
        <f>VLOOKUP($E475,Sheet3!$B$3:$D$54,2,0)</f>
        <v>8</v>
      </c>
      <c r="G475" s="6">
        <f>VLOOKUP($E475,Sheet3!$B$3:$G$54,3,0)</f>
        <v>1</v>
      </c>
      <c r="H475" s="5">
        <f>VLOOKUP($A475,Sheet3!$I$3:$J$38,2,0)</f>
        <v>21.63</v>
      </c>
      <c r="I475" s="6">
        <f>VLOOKUP($E475,Sheet3!$B$3:$G$54,5,0)</f>
        <v>69121</v>
      </c>
      <c r="J475" s="5">
        <f>VLOOKUP($E475,Sheet3!$B$3:$G$54,4,0)</f>
        <v>4.5</v>
      </c>
      <c r="K475" s="5">
        <f>VLOOKUP($E475,Sheet3!$B$3:$G$54,6,0)</f>
        <v>1.1000000000000001</v>
      </c>
      <c r="L475">
        <v>0</v>
      </c>
      <c r="M475">
        <v>0</v>
      </c>
      <c r="N475">
        <v>21</v>
      </c>
      <c r="O475" s="14" t="e">
        <f t="shared" si="15"/>
        <v>#DIV/0!</v>
      </c>
    </row>
    <row r="476" spans="1:15" x14ac:dyDescent="0.3">
      <c r="A476" s="16" t="s">
        <v>49</v>
      </c>
      <c r="B476" s="12" t="s">
        <v>29</v>
      </c>
      <c r="C476" s="12" t="s">
        <v>31</v>
      </c>
      <c r="D476" s="6">
        <f t="shared" si="17"/>
        <v>12</v>
      </c>
      <c r="E476">
        <v>33</v>
      </c>
      <c r="F476" s="6">
        <f>VLOOKUP($E476,Sheet3!$B$3:$D$54,2,0)</f>
        <v>8</v>
      </c>
      <c r="G476" s="6">
        <f>VLOOKUP($E476,Sheet3!$B$3:$G$54,3,0)</f>
        <v>1</v>
      </c>
      <c r="H476" s="5">
        <f>VLOOKUP($A476,Sheet3!$I$3:$J$38,2,0)</f>
        <v>21.63</v>
      </c>
      <c r="I476" s="6">
        <f>VLOOKUP($E476,Sheet3!$B$3:$G$54,5,0)</f>
        <v>69121</v>
      </c>
      <c r="J476" s="5">
        <f>VLOOKUP($E476,Sheet3!$B$3:$G$54,4,0)</f>
        <v>4.5</v>
      </c>
      <c r="K476" s="5">
        <f>VLOOKUP($E476,Sheet3!$B$3:$G$54,6,0)</f>
        <v>1.1000000000000001</v>
      </c>
      <c r="L476">
        <v>0</v>
      </c>
      <c r="M476">
        <v>0</v>
      </c>
      <c r="N476">
        <v>21</v>
      </c>
      <c r="O476" s="14" t="e">
        <f t="shared" si="15"/>
        <v>#DIV/0!</v>
      </c>
    </row>
    <row r="477" spans="1:15" x14ac:dyDescent="0.3">
      <c r="A477" s="16" t="s">
        <v>49</v>
      </c>
      <c r="B477" s="12" t="s">
        <v>29</v>
      </c>
      <c r="C477" s="12" t="s">
        <v>31</v>
      </c>
      <c r="D477" s="6">
        <f t="shared" si="17"/>
        <v>13</v>
      </c>
      <c r="E477">
        <v>34</v>
      </c>
      <c r="F477" s="6">
        <f>VLOOKUP($E477,Sheet3!$B$3:$D$54,2,0)</f>
        <v>8</v>
      </c>
      <c r="G477" s="6">
        <f>VLOOKUP($E477,Sheet3!$B$3:$G$54,3,0)</f>
        <v>0</v>
      </c>
      <c r="H477" s="5">
        <f>VLOOKUP($A477,Sheet3!$I$3:$J$38,2,0)</f>
        <v>21.63</v>
      </c>
      <c r="I477" s="6">
        <f>VLOOKUP($E477,Sheet3!$B$3:$G$54,5,0)</f>
        <v>69121</v>
      </c>
      <c r="J477" s="5">
        <f>VLOOKUP($E477,Sheet3!$B$3:$G$54,4,0)</f>
        <v>4.5</v>
      </c>
      <c r="K477" s="5">
        <f>VLOOKUP($E477,Sheet3!$B$3:$G$54,6,0)</f>
        <v>1.1000000000000001</v>
      </c>
      <c r="L477">
        <v>0</v>
      </c>
      <c r="M477">
        <v>0</v>
      </c>
      <c r="N477">
        <v>21</v>
      </c>
      <c r="O477" s="14" t="e">
        <f t="shared" si="15"/>
        <v>#DIV/0!</v>
      </c>
    </row>
    <row r="478" spans="1:15" x14ac:dyDescent="0.3">
      <c r="A478" s="16" t="s">
        <v>49</v>
      </c>
      <c r="B478" s="12" t="s">
        <v>29</v>
      </c>
      <c r="C478" s="12" t="s">
        <v>31</v>
      </c>
      <c r="D478" s="6">
        <f t="shared" si="17"/>
        <v>12</v>
      </c>
      <c r="E478">
        <v>35</v>
      </c>
      <c r="F478" s="6">
        <f>VLOOKUP($E478,Sheet3!$B$3:$D$54,2,0)</f>
        <v>8</v>
      </c>
      <c r="G478" s="6">
        <f>VLOOKUP($E478,Sheet3!$B$3:$G$54,3,0)</f>
        <v>0</v>
      </c>
      <c r="H478" s="5">
        <f>VLOOKUP($A478,Sheet3!$I$3:$J$38,2,0)</f>
        <v>21.63</v>
      </c>
      <c r="I478" s="6">
        <f>VLOOKUP($E478,Sheet3!$B$3:$G$54,5,0)</f>
        <v>69121</v>
      </c>
      <c r="J478" s="5">
        <f>VLOOKUP($E478,Sheet3!$B$3:$G$54,4,0)</f>
        <v>4.5</v>
      </c>
      <c r="K478" s="5">
        <f>VLOOKUP($E478,Sheet3!$B$3:$G$54,6,0)</f>
        <v>1.1000000000000001</v>
      </c>
      <c r="L478">
        <v>0</v>
      </c>
      <c r="M478">
        <v>56</v>
      </c>
      <c r="N478">
        <v>23</v>
      </c>
      <c r="O478" s="14" t="e">
        <f t="shared" si="15"/>
        <v>#DIV/0!</v>
      </c>
    </row>
    <row r="479" spans="1:15" x14ac:dyDescent="0.3">
      <c r="A479" s="16" t="s">
        <v>49</v>
      </c>
      <c r="B479" s="12" t="s">
        <v>29</v>
      </c>
      <c r="C479" s="12" t="s">
        <v>31</v>
      </c>
      <c r="D479" s="6">
        <f t="shared" si="17"/>
        <v>19</v>
      </c>
      <c r="E479">
        <v>36</v>
      </c>
      <c r="F479" s="6">
        <f>VLOOKUP($E479,Sheet3!$B$3:$D$54,2,0)</f>
        <v>9</v>
      </c>
      <c r="G479" s="6">
        <f>VLOOKUP($E479,Sheet3!$B$3:$G$54,3,0)</f>
        <v>0</v>
      </c>
      <c r="H479" s="5">
        <f>VLOOKUP($A479,Sheet3!$I$3:$J$38,2,0)</f>
        <v>21.63</v>
      </c>
      <c r="I479" s="6">
        <f>VLOOKUP($E479,Sheet3!$B$3:$G$54,5,0)</f>
        <v>121666</v>
      </c>
      <c r="J479" s="5">
        <f>VLOOKUP($E479,Sheet3!$B$3:$G$54,4,0)</f>
        <v>4.5</v>
      </c>
      <c r="K479" s="5">
        <f>VLOOKUP($E479,Sheet3!$B$3:$G$54,6,0)</f>
        <v>0.7</v>
      </c>
      <c r="L479">
        <v>452</v>
      </c>
      <c r="M479">
        <v>508</v>
      </c>
      <c r="N479">
        <v>17</v>
      </c>
      <c r="O479" s="14">
        <f t="shared" si="15"/>
        <v>1.1238938053097345</v>
      </c>
    </row>
    <row r="480" spans="1:15" x14ac:dyDescent="0.3">
      <c r="A480" s="16" t="s">
        <v>49</v>
      </c>
      <c r="B480" s="12" t="s">
        <v>29</v>
      </c>
      <c r="C480" s="12" t="s">
        <v>31</v>
      </c>
      <c r="D480" s="6">
        <f t="shared" si="17"/>
        <v>19</v>
      </c>
      <c r="E480">
        <v>37</v>
      </c>
      <c r="F480" s="6">
        <f>VLOOKUP($E480,Sheet3!$B$3:$D$54,2,0)</f>
        <v>9</v>
      </c>
      <c r="G480" s="6">
        <f>VLOOKUP($E480,Sheet3!$B$3:$G$54,3,0)</f>
        <v>0</v>
      </c>
      <c r="H480" s="5">
        <f>VLOOKUP($A480,Sheet3!$I$3:$J$38,2,0)</f>
        <v>21.63</v>
      </c>
      <c r="I480" s="6">
        <f>VLOOKUP($E480,Sheet3!$B$3:$G$54,5,0)</f>
        <v>121666</v>
      </c>
      <c r="J480" s="5">
        <f>VLOOKUP($E480,Sheet3!$B$3:$G$54,4,0)</f>
        <v>4.5</v>
      </c>
      <c r="K480" s="5">
        <f>VLOOKUP($E480,Sheet3!$B$3:$G$54,6,0)</f>
        <v>0.7</v>
      </c>
      <c r="L480">
        <v>562</v>
      </c>
      <c r="M480">
        <v>662</v>
      </c>
      <c r="N480">
        <v>18</v>
      </c>
      <c r="O480" s="14">
        <f t="shared" si="15"/>
        <v>1.1779359430604983</v>
      </c>
    </row>
    <row r="481" spans="1:15" x14ac:dyDescent="0.3">
      <c r="A481" s="16" t="s">
        <v>49</v>
      </c>
      <c r="B481" s="12" t="s">
        <v>29</v>
      </c>
      <c r="C481" s="12" t="s">
        <v>31</v>
      </c>
      <c r="D481" s="6">
        <f t="shared" si="17"/>
        <v>19</v>
      </c>
      <c r="E481">
        <v>38</v>
      </c>
      <c r="F481" s="6">
        <f>VLOOKUP($E481,Sheet3!$B$3:$D$54,2,0)</f>
        <v>9</v>
      </c>
      <c r="G481" s="6">
        <f>VLOOKUP($E481,Sheet3!$B$3:$G$54,3,0)</f>
        <v>0</v>
      </c>
      <c r="H481" s="5">
        <f>VLOOKUP($A481,Sheet3!$I$3:$J$38,2,0)</f>
        <v>21.63</v>
      </c>
      <c r="I481" s="6">
        <f>VLOOKUP($E481,Sheet3!$B$3:$G$54,5,0)</f>
        <v>121666</v>
      </c>
      <c r="J481" s="5">
        <f>VLOOKUP($E481,Sheet3!$B$3:$G$54,4,0)</f>
        <v>3.9</v>
      </c>
      <c r="K481" s="5">
        <f>VLOOKUP($E481,Sheet3!$B$3:$G$54,6,0)</f>
        <v>0.7</v>
      </c>
      <c r="L481">
        <v>1176</v>
      </c>
      <c r="M481">
        <v>1814</v>
      </c>
      <c r="N481">
        <v>19</v>
      </c>
      <c r="O481" s="14">
        <f t="shared" si="15"/>
        <v>1.5425170068027212</v>
      </c>
    </row>
    <row r="482" spans="1:15" x14ac:dyDescent="0.3">
      <c r="A482" s="16" t="s">
        <v>49</v>
      </c>
      <c r="B482" s="12" t="s">
        <v>29</v>
      </c>
      <c r="C482" s="12" t="s">
        <v>31</v>
      </c>
      <c r="D482" s="6">
        <f t="shared" si="17"/>
        <v>19</v>
      </c>
      <c r="E482">
        <v>39</v>
      </c>
      <c r="F482" s="6">
        <f>VLOOKUP($E482,Sheet3!$B$3:$D$54,2,0)</f>
        <v>9</v>
      </c>
      <c r="G482" s="6">
        <f>VLOOKUP($E482,Sheet3!$B$3:$G$54,3,0)</f>
        <v>0</v>
      </c>
      <c r="H482" s="5">
        <f>VLOOKUP($A482,Sheet3!$I$3:$J$38,2,0)</f>
        <v>21.63</v>
      </c>
      <c r="I482" s="6">
        <f>VLOOKUP($E482,Sheet3!$B$3:$G$54,5,0)</f>
        <v>121666</v>
      </c>
      <c r="J482" s="5">
        <f>VLOOKUP($E482,Sheet3!$B$3:$G$54,4,0)</f>
        <v>3.9</v>
      </c>
      <c r="K482" s="5">
        <f>VLOOKUP($E482,Sheet3!$B$3:$G$54,6,0)</f>
        <v>0.7</v>
      </c>
      <c r="L482">
        <v>1612</v>
      </c>
      <c r="M482">
        <v>2597</v>
      </c>
      <c r="N482">
        <v>20</v>
      </c>
      <c r="O482" s="14">
        <f t="shared" si="15"/>
        <v>1.6110421836228288</v>
      </c>
    </row>
    <row r="483" spans="1:15" x14ac:dyDescent="0.3">
      <c r="A483" s="16" t="s">
        <v>49</v>
      </c>
      <c r="B483" s="12" t="s">
        <v>29</v>
      </c>
      <c r="C483" s="12" t="s">
        <v>31</v>
      </c>
      <c r="D483" s="6">
        <f t="shared" si="17"/>
        <v>24</v>
      </c>
      <c r="E483">
        <v>40</v>
      </c>
      <c r="F483" s="6">
        <f>VLOOKUP($E483,Sheet3!$B$3:$D$54,2,0)</f>
        <v>9</v>
      </c>
      <c r="G483" s="6">
        <f>VLOOKUP($E483,Sheet3!$B$3:$G$54,3,0)</f>
        <v>0</v>
      </c>
      <c r="H483" s="5">
        <f>VLOOKUP($A483,Sheet3!$I$3:$J$38,2,0)</f>
        <v>21.63</v>
      </c>
      <c r="I483" s="6">
        <f>VLOOKUP($E483,Sheet3!$B$3:$G$54,5,0)</f>
        <v>121666</v>
      </c>
      <c r="J483" s="5">
        <f>VLOOKUP($E483,Sheet3!$B$3:$G$54,4,0)</f>
        <v>3.9</v>
      </c>
      <c r="K483" s="5">
        <f>VLOOKUP($E483,Sheet3!$B$3:$G$54,6,0)</f>
        <v>0.7</v>
      </c>
      <c r="L483">
        <v>2523</v>
      </c>
      <c r="M483">
        <v>2255</v>
      </c>
      <c r="N483">
        <v>16</v>
      </c>
      <c r="O483" s="14">
        <f t="shared" si="15"/>
        <v>0.89377724930638125</v>
      </c>
    </row>
    <row r="484" spans="1:15" x14ac:dyDescent="0.3">
      <c r="A484" s="16" t="s">
        <v>49</v>
      </c>
      <c r="B484" s="12" t="s">
        <v>29</v>
      </c>
      <c r="C484" s="12" t="s">
        <v>31</v>
      </c>
      <c r="D484" s="6">
        <f t="shared" si="17"/>
        <v>24</v>
      </c>
      <c r="E484">
        <v>41</v>
      </c>
      <c r="F484" s="6">
        <f>VLOOKUP($E484,Sheet3!$B$3:$D$54,2,0)</f>
        <v>10</v>
      </c>
      <c r="G484" s="6">
        <f>VLOOKUP($E484,Sheet3!$B$3:$G$54,3,0)</f>
        <v>0</v>
      </c>
      <c r="H484" s="5">
        <f>VLOOKUP($A484,Sheet3!$I$3:$J$38,2,0)</f>
        <v>21.63</v>
      </c>
      <c r="I484" s="6">
        <f>VLOOKUP($E484,Sheet3!$B$3:$G$54,5,0)</f>
        <v>126488</v>
      </c>
      <c r="J484" s="5">
        <f>VLOOKUP($E484,Sheet3!$B$3:$G$54,4,0)</f>
        <v>3.9</v>
      </c>
      <c r="K484" s="5">
        <f>VLOOKUP($E484,Sheet3!$B$3:$G$54,6,0)</f>
        <v>0.9</v>
      </c>
      <c r="L484">
        <v>2225</v>
      </c>
      <c r="M484">
        <v>2235</v>
      </c>
      <c r="N484">
        <v>17</v>
      </c>
      <c r="O484" s="14">
        <f t="shared" si="15"/>
        <v>1.0044943820224719</v>
      </c>
    </row>
    <row r="485" spans="1:15" x14ac:dyDescent="0.3">
      <c r="A485" s="16" t="s">
        <v>49</v>
      </c>
      <c r="B485" s="12" t="s">
        <v>29</v>
      </c>
      <c r="C485" s="12" t="s">
        <v>31</v>
      </c>
      <c r="D485" s="6">
        <f t="shared" si="17"/>
        <v>24</v>
      </c>
      <c r="E485">
        <v>42</v>
      </c>
      <c r="F485" s="6">
        <f>VLOOKUP($E485,Sheet3!$B$3:$D$54,2,0)</f>
        <v>10</v>
      </c>
      <c r="G485" s="6">
        <f>VLOOKUP($E485,Sheet3!$B$3:$G$54,3,0)</f>
        <v>0</v>
      </c>
      <c r="H485" s="5">
        <f>VLOOKUP($A485,Sheet3!$I$3:$J$38,2,0)</f>
        <v>21.63</v>
      </c>
      <c r="I485" s="6">
        <f>VLOOKUP($E485,Sheet3!$B$3:$G$54,5,0)</f>
        <v>126488</v>
      </c>
      <c r="J485" s="5">
        <f>VLOOKUP($E485,Sheet3!$B$3:$G$54,4,0)</f>
        <v>3.9</v>
      </c>
      <c r="K485" s="5">
        <f>VLOOKUP($E485,Sheet3!$B$3:$G$54,6,0)</f>
        <v>0.9</v>
      </c>
      <c r="L485">
        <v>2639</v>
      </c>
      <c r="M485">
        <v>2563</v>
      </c>
      <c r="N485">
        <v>18</v>
      </c>
      <c r="O485" s="14">
        <f t="shared" si="15"/>
        <v>0.97120121258052294</v>
      </c>
    </row>
    <row r="486" spans="1:15" x14ac:dyDescent="0.3">
      <c r="A486" s="16" t="s">
        <v>49</v>
      </c>
      <c r="B486" s="12" t="s">
        <v>29</v>
      </c>
      <c r="C486" s="12" t="s">
        <v>31</v>
      </c>
      <c r="D486" s="6">
        <f t="shared" si="17"/>
        <v>22</v>
      </c>
      <c r="E486">
        <v>43</v>
      </c>
      <c r="F486" s="6">
        <f>VLOOKUP($E486,Sheet3!$B$3:$D$54,2,0)</f>
        <v>10</v>
      </c>
      <c r="G486" s="6">
        <f>VLOOKUP($E486,Sheet3!$B$3:$G$54,3,0)</f>
        <v>0</v>
      </c>
      <c r="H486" s="5">
        <f>VLOOKUP($A486,Sheet3!$I$3:$J$38,2,0)</f>
        <v>21.63</v>
      </c>
      <c r="I486" s="6">
        <f>VLOOKUP($E486,Sheet3!$B$3:$G$54,5,0)</f>
        <v>126488</v>
      </c>
      <c r="J486" s="5">
        <f>VLOOKUP($E486,Sheet3!$B$3:$G$54,4,0)</f>
        <v>3.65</v>
      </c>
      <c r="K486" s="5">
        <f>VLOOKUP($E486,Sheet3!$B$3:$G$54,6,0)</f>
        <v>0.9</v>
      </c>
      <c r="L486">
        <v>2523</v>
      </c>
      <c r="M486">
        <v>1436</v>
      </c>
      <c r="N486">
        <v>21</v>
      </c>
      <c r="O486" s="14">
        <f t="shared" si="15"/>
        <v>0.56916369401506139</v>
      </c>
    </row>
    <row r="487" spans="1:15" x14ac:dyDescent="0.3">
      <c r="A487" s="16" t="s">
        <v>49</v>
      </c>
      <c r="B487" s="12" t="s">
        <v>29</v>
      </c>
      <c r="C487" s="12" t="s">
        <v>31</v>
      </c>
      <c r="D487" s="6">
        <f t="shared" si="17"/>
        <v>23</v>
      </c>
      <c r="E487">
        <v>44</v>
      </c>
      <c r="F487" s="6">
        <f>VLOOKUP($E487,Sheet3!$B$3:$D$54,2,0)</f>
        <v>10</v>
      </c>
      <c r="G487" s="6">
        <f>VLOOKUP($E487,Sheet3!$B$3:$G$54,3,0)</f>
        <v>1</v>
      </c>
      <c r="H487" s="5">
        <f>VLOOKUP($A487,Sheet3!$I$3:$J$38,2,0)</f>
        <v>21.63</v>
      </c>
      <c r="I487" s="6">
        <f>VLOOKUP($E487,Sheet3!$B$3:$G$54,5,0)</f>
        <v>126488</v>
      </c>
      <c r="J487" s="5">
        <f>VLOOKUP($E487,Sheet3!$B$3:$G$54,4,0)</f>
        <v>3.65</v>
      </c>
      <c r="K487" s="5">
        <f>VLOOKUP($E487,Sheet3!$B$3:$G$54,6,0)</f>
        <v>0.9</v>
      </c>
      <c r="L487">
        <v>1780</v>
      </c>
      <c r="M487">
        <v>1436</v>
      </c>
      <c r="N487">
        <v>21</v>
      </c>
      <c r="O487" s="14">
        <f t="shared" si="15"/>
        <v>0.80674157303370786</v>
      </c>
    </row>
    <row r="488" spans="1:15" x14ac:dyDescent="0.3">
      <c r="A488" s="16" t="s">
        <v>49</v>
      </c>
      <c r="B488" s="12" t="s">
        <v>29</v>
      </c>
      <c r="C488" s="12" t="s">
        <v>31</v>
      </c>
      <c r="D488" s="6">
        <f t="shared" si="17"/>
        <v>31</v>
      </c>
      <c r="E488">
        <v>45</v>
      </c>
      <c r="F488" s="6">
        <f>VLOOKUP($E488,Sheet3!$B$3:$D$54,2,0)</f>
        <v>11</v>
      </c>
      <c r="G488" s="6">
        <f>VLOOKUP($E488,Sheet3!$B$3:$G$54,3,0)</f>
        <v>0</v>
      </c>
      <c r="H488" s="5">
        <f>VLOOKUP($A488,Sheet3!$I$3:$J$38,2,0)</f>
        <v>21.63</v>
      </c>
      <c r="I488" s="6">
        <f>VLOOKUP($E488,Sheet3!$B$3:$G$54,5,0)</f>
        <v>124251</v>
      </c>
      <c r="J488" s="5">
        <f>VLOOKUP($E488,Sheet3!$B$3:$G$54,4,0)</f>
        <v>3.65</v>
      </c>
      <c r="K488" s="5">
        <f>VLOOKUP($E488,Sheet3!$B$3:$G$54,6,0)</f>
        <v>1.3</v>
      </c>
      <c r="L488">
        <v>2604</v>
      </c>
      <c r="M488">
        <v>2211</v>
      </c>
      <c r="N488">
        <v>14</v>
      </c>
      <c r="O488" s="14">
        <f t="shared" si="15"/>
        <v>0.84907834101382484</v>
      </c>
    </row>
    <row r="489" spans="1:15" x14ac:dyDescent="0.3">
      <c r="A489" s="16" t="s">
        <v>49</v>
      </c>
      <c r="B489" s="12" t="s">
        <v>29</v>
      </c>
      <c r="C489" s="12" t="s">
        <v>31</v>
      </c>
      <c r="D489" s="6">
        <f t="shared" si="17"/>
        <v>30</v>
      </c>
      <c r="E489">
        <v>46</v>
      </c>
      <c r="F489" s="6">
        <f>VLOOKUP($E489,Sheet3!$B$3:$D$54,2,0)</f>
        <v>11</v>
      </c>
      <c r="G489" s="6">
        <f>VLOOKUP($E489,Sheet3!$B$3:$G$54,3,0)</f>
        <v>0</v>
      </c>
      <c r="H489" s="5">
        <f>VLOOKUP($A489,Sheet3!$I$3:$J$38,2,0)</f>
        <v>21.63</v>
      </c>
      <c r="I489" s="6">
        <f>VLOOKUP($E489,Sheet3!$B$3:$G$54,5,0)</f>
        <v>124251</v>
      </c>
      <c r="J489" s="5">
        <f>VLOOKUP($E489,Sheet3!$B$3:$G$54,4,0)</f>
        <v>3.65</v>
      </c>
      <c r="K489" s="5">
        <f>VLOOKUP($E489,Sheet3!$B$3:$G$54,6,0)</f>
        <v>1.3</v>
      </c>
      <c r="L489">
        <v>2430</v>
      </c>
      <c r="M489">
        <v>1874</v>
      </c>
      <c r="N489">
        <v>16</v>
      </c>
      <c r="O489" s="14">
        <f t="shared" si="15"/>
        <v>0.77119341563786004</v>
      </c>
    </row>
    <row r="490" spans="1:15" x14ac:dyDescent="0.3">
      <c r="A490" s="16" t="s">
        <v>49</v>
      </c>
      <c r="B490" s="12" t="s">
        <v>29</v>
      </c>
      <c r="C490" s="12" t="s">
        <v>31</v>
      </c>
      <c r="D490" s="6">
        <f t="shared" si="17"/>
        <v>29</v>
      </c>
      <c r="E490">
        <v>47</v>
      </c>
      <c r="F490" s="6">
        <f>VLOOKUP($E490,Sheet3!$B$3:$D$54,2,0)</f>
        <v>11</v>
      </c>
      <c r="G490" s="6">
        <f>VLOOKUP($E490,Sheet3!$B$3:$G$54,3,0)</f>
        <v>0</v>
      </c>
      <c r="H490" s="5">
        <f>VLOOKUP($A490,Sheet3!$I$3:$J$38,2,0)</f>
        <v>21.63</v>
      </c>
      <c r="I490" s="6">
        <f>VLOOKUP($E490,Sheet3!$B$3:$G$54,5,0)</f>
        <v>124251</v>
      </c>
      <c r="J490" s="5">
        <f>VLOOKUP($E490,Sheet3!$B$3:$G$54,4,0)</f>
        <v>3.65</v>
      </c>
      <c r="K490" s="5">
        <f>VLOOKUP($E490,Sheet3!$B$3:$G$54,6,0)</f>
        <v>1.3</v>
      </c>
      <c r="L490">
        <v>2605</v>
      </c>
      <c r="M490">
        <v>2143</v>
      </c>
      <c r="N490">
        <v>18</v>
      </c>
      <c r="O490" s="14">
        <f t="shared" si="15"/>
        <v>0.8226487523992323</v>
      </c>
    </row>
    <row r="491" spans="1:15" x14ac:dyDescent="0.3">
      <c r="A491" s="16" t="s">
        <v>49</v>
      </c>
      <c r="B491" s="12" t="s">
        <v>29</v>
      </c>
      <c r="C491" s="12" t="s">
        <v>31</v>
      </c>
      <c r="D491" s="6">
        <f t="shared" si="17"/>
        <v>29</v>
      </c>
      <c r="E491">
        <v>48</v>
      </c>
      <c r="F491" s="6">
        <f>VLOOKUP($E491,Sheet3!$B$3:$D$54,2,0)</f>
        <v>11</v>
      </c>
      <c r="G491" s="6">
        <f>VLOOKUP($E491,Sheet3!$B$3:$G$54,3,0)</f>
        <v>0</v>
      </c>
      <c r="H491" s="5">
        <f>VLOOKUP($A491,Sheet3!$I$3:$J$38,2,0)</f>
        <v>21.63</v>
      </c>
      <c r="I491" s="6">
        <f>VLOOKUP($E491,Sheet3!$B$3:$G$54,5,0)</f>
        <v>124251</v>
      </c>
      <c r="J491" s="5">
        <f>VLOOKUP($E491,Sheet3!$B$3:$G$54,4,0)</f>
        <v>3.65</v>
      </c>
      <c r="K491" s="5">
        <f>VLOOKUP($E491,Sheet3!$B$3:$G$54,6,0)</f>
        <v>1.3</v>
      </c>
      <c r="L491">
        <v>2604</v>
      </c>
      <c r="M491">
        <v>2135</v>
      </c>
      <c r="N491">
        <v>19</v>
      </c>
      <c r="O491" s="14">
        <f t="shared" si="15"/>
        <v>0.81989247311827962</v>
      </c>
    </row>
    <row r="492" spans="1:15" x14ac:dyDescent="0.3">
      <c r="A492" s="16" t="s">
        <v>49</v>
      </c>
      <c r="B492" s="12" t="s">
        <v>29</v>
      </c>
      <c r="C492" s="12" t="s">
        <v>31</v>
      </c>
      <c r="D492" s="6">
        <f t="shared" si="17"/>
        <v>33</v>
      </c>
      <c r="E492">
        <v>49</v>
      </c>
      <c r="F492" s="6">
        <f>VLOOKUP($E492,Sheet3!$B$3:$D$54,2,0)</f>
        <v>12</v>
      </c>
      <c r="G492" s="6">
        <f>VLOOKUP($E492,Sheet3!$B$3:$G$54,3,0)</f>
        <v>1</v>
      </c>
      <c r="H492" s="5">
        <f>VLOOKUP($A492,Sheet3!$I$3:$J$38,2,0)</f>
        <v>21.63</v>
      </c>
      <c r="I492" s="6">
        <f>VLOOKUP($E492,Sheet3!$B$3:$G$54,5,0)</f>
        <v>105715</v>
      </c>
      <c r="J492" s="5">
        <f>VLOOKUP($E492,Sheet3!$B$3:$G$54,4,0)</f>
        <v>3.65</v>
      </c>
      <c r="K492" s="5">
        <f>VLOOKUP($E492,Sheet3!$B$3:$G$54,6,0)</f>
        <v>1.3</v>
      </c>
      <c r="L492">
        <v>1676</v>
      </c>
      <c r="M492">
        <v>1512</v>
      </c>
      <c r="N492">
        <v>16</v>
      </c>
      <c r="O492" s="14">
        <f t="shared" si="15"/>
        <v>0.90214797136038183</v>
      </c>
    </row>
    <row r="493" spans="1:15" x14ac:dyDescent="0.3">
      <c r="A493" s="16" t="s">
        <v>49</v>
      </c>
      <c r="B493" s="12" t="s">
        <v>29</v>
      </c>
      <c r="C493" s="12" t="s">
        <v>31</v>
      </c>
      <c r="D493" s="6">
        <f t="shared" si="17"/>
        <v>33</v>
      </c>
      <c r="E493">
        <v>50</v>
      </c>
      <c r="F493" s="6">
        <f>VLOOKUP($E493,Sheet3!$B$3:$D$54,2,0)</f>
        <v>12</v>
      </c>
      <c r="G493" s="6">
        <f>VLOOKUP($E493,Sheet3!$B$3:$G$54,3,0)</f>
        <v>0</v>
      </c>
      <c r="H493" s="5">
        <f>VLOOKUP($A493,Sheet3!$I$3:$J$38,2,0)</f>
        <v>21.63</v>
      </c>
      <c r="I493" s="6">
        <f>VLOOKUP($E493,Sheet3!$B$3:$G$54,5,0)</f>
        <v>105715</v>
      </c>
      <c r="J493" s="5">
        <f>VLOOKUP($E493,Sheet3!$B$3:$G$54,4,0)</f>
        <v>3.4</v>
      </c>
      <c r="K493" s="5">
        <f>VLOOKUP($E493,Sheet3!$B$3:$G$54,6,0)</f>
        <v>1.3</v>
      </c>
      <c r="L493">
        <v>2386</v>
      </c>
      <c r="M493">
        <v>2407</v>
      </c>
      <c r="N493">
        <v>17</v>
      </c>
      <c r="O493" s="14">
        <f t="shared" si="15"/>
        <v>1.0088013411567478</v>
      </c>
    </row>
    <row r="494" spans="1:15" x14ac:dyDescent="0.3">
      <c r="A494" s="16" t="s">
        <v>49</v>
      </c>
      <c r="B494" s="12" t="s">
        <v>29</v>
      </c>
      <c r="C494" s="12" t="s">
        <v>31</v>
      </c>
      <c r="D494" s="6">
        <f t="shared" si="17"/>
        <v>33</v>
      </c>
      <c r="E494">
        <v>51</v>
      </c>
      <c r="F494" s="6">
        <f>VLOOKUP($E494,Sheet3!$B$3:$D$54,2,0)</f>
        <v>12</v>
      </c>
      <c r="G494" s="6">
        <f>VLOOKUP($E494,Sheet3!$B$3:$G$54,3,0)</f>
        <v>0</v>
      </c>
      <c r="H494" s="5">
        <f>VLOOKUP($A494,Sheet3!$I$3:$J$38,2,0)</f>
        <v>21.63</v>
      </c>
      <c r="I494" s="6">
        <f>VLOOKUP($E494,Sheet3!$B$3:$G$54,5,0)</f>
        <v>105715</v>
      </c>
      <c r="J494" s="5">
        <f>VLOOKUP($E494,Sheet3!$B$3:$G$54,4,0)</f>
        <v>3.4</v>
      </c>
      <c r="K494" s="5">
        <f>VLOOKUP($E494,Sheet3!$B$3:$G$54,6,0)</f>
        <v>1.3</v>
      </c>
      <c r="L494">
        <v>1604</v>
      </c>
      <c r="M494">
        <v>1840</v>
      </c>
      <c r="N494">
        <v>18</v>
      </c>
      <c r="O494" s="14">
        <f t="shared" si="15"/>
        <v>1.1471321695760599</v>
      </c>
    </row>
    <row r="495" spans="1:15" x14ac:dyDescent="0.3">
      <c r="A495" s="16" t="s">
        <v>49</v>
      </c>
      <c r="B495" s="12" t="s">
        <v>29</v>
      </c>
      <c r="C495" s="12" t="s">
        <v>31</v>
      </c>
      <c r="D495" s="6">
        <f t="shared" si="17"/>
        <v>34</v>
      </c>
      <c r="E495">
        <v>52</v>
      </c>
      <c r="F495" s="6">
        <f>VLOOKUP($E495,Sheet3!$B$3:$D$54,2,0)</f>
        <v>12</v>
      </c>
      <c r="G495" s="6">
        <f>VLOOKUP($E495,Sheet3!$B$3:$G$54,3,0)</f>
        <v>1</v>
      </c>
      <c r="H495" s="5">
        <f>VLOOKUP($A495,Sheet3!$I$3:$J$38,2,0)</f>
        <v>21.63</v>
      </c>
      <c r="I495" s="6">
        <f>VLOOKUP($E495,Sheet3!$B$3:$G$54,5,0)</f>
        <v>105715</v>
      </c>
      <c r="J495" s="5">
        <f>VLOOKUP($E495,Sheet3!$B$3:$G$54,4,0)</f>
        <v>3.4</v>
      </c>
      <c r="K495" s="5">
        <f>VLOOKUP($E495,Sheet3!$B$3:$G$54,6,0)</f>
        <v>1.3</v>
      </c>
      <c r="L495">
        <v>0</v>
      </c>
      <c r="M495">
        <v>0</v>
      </c>
      <c r="N495">
        <v>18</v>
      </c>
      <c r="O495" s="14" t="e">
        <f t="shared" si="15"/>
        <v>#DIV/0!</v>
      </c>
    </row>
    <row r="496" spans="1:15" x14ac:dyDescent="0.3">
      <c r="A496" s="16" t="s">
        <v>49</v>
      </c>
      <c r="B496" s="12" t="s">
        <v>29</v>
      </c>
      <c r="C496" s="12" t="s">
        <v>31</v>
      </c>
      <c r="D496" s="6">
        <f t="shared" si="17"/>
        <v>37</v>
      </c>
      <c r="E496">
        <v>1</v>
      </c>
      <c r="F496" s="6">
        <f>VLOOKUP($E496,Sheet3!$B$3:$D$54,2,0)</f>
        <v>12</v>
      </c>
      <c r="G496" s="6">
        <f>VLOOKUP($E496,Sheet3!$B$3:$G$54,3,0)</f>
        <v>1</v>
      </c>
      <c r="H496" s="5">
        <f>VLOOKUP($A496,Sheet3!$I$3:$J$38,2,0)</f>
        <v>21.63</v>
      </c>
      <c r="I496" s="6">
        <f>VLOOKUP($E496,Sheet3!$B$3:$G$54,5,0)</f>
        <v>105715</v>
      </c>
      <c r="J496" s="5">
        <f>VLOOKUP($E496,Sheet3!$B$3:$G$54,4,0)</f>
        <v>3.4</v>
      </c>
      <c r="K496" s="5">
        <f>VLOOKUP($E496,Sheet3!$B$3:$G$54,6,0)</f>
        <v>1.3</v>
      </c>
      <c r="L496">
        <v>0</v>
      </c>
      <c r="M496">
        <v>0</v>
      </c>
      <c r="N496">
        <v>16</v>
      </c>
      <c r="O496" s="14" t="e">
        <f t="shared" si="15"/>
        <v>#DIV/0!</v>
      </c>
    </row>
    <row r="497" spans="1:15" x14ac:dyDescent="0.3">
      <c r="A497" s="16" t="s">
        <v>49</v>
      </c>
      <c r="B497" s="12" t="s">
        <v>29</v>
      </c>
      <c r="C497" s="12" t="s">
        <v>31</v>
      </c>
      <c r="D497" s="6">
        <f t="shared" si="17"/>
        <v>37</v>
      </c>
      <c r="E497">
        <v>2</v>
      </c>
      <c r="F497" s="6">
        <f>VLOOKUP($E497,Sheet3!$B$3:$D$54,2,0)</f>
        <v>1</v>
      </c>
      <c r="G497" s="6">
        <f>VLOOKUP($E497,Sheet3!$B$3:$G$54,3,0)</f>
        <v>1</v>
      </c>
      <c r="H497" s="5">
        <f>VLOOKUP($A497,Sheet3!$I$3:$J$38,2,0)</f>
        <v>21.63</v>
      </c>
      <c r="I497" s="6">
        <f>VLOOKUP($E497,Sheet3!$B$3:$G$54,5,0)</f>
        <v>133692</v>
      </c>
      <c r="J497" s="5">
        <f>VLOOKUP($E497,Sheet3!$B$3:$G$54,4,0)</f>
        <v>3.4</v>
      </c>
      <c r="K497" s="5">
        <f>VLOOKUP($E497,Sheet3!$B$3:$G$54,6,0)</f>
        <v>1.5</v>
      </c>
      <c r="L497">
        <v>1685</v>
      </c>
      <c r="M497">
        <v>1510</v>
      </c>
      <c r="N497">
        <v>17</v>
      </c>
      <c r="O497" s="14">
        <f t="shared" si="15"/>
        <v>0.89614243323442133</v>
      </c>
    </row>
    <row r="498" spans="1:15" x14ac:dyDescent="0.3">
      <c r="A498" s="16" t="s">
        <v>49</v>
      </c>
      <c r="B498" s="12" t="s">
        <v>29</v>
      </c>
      <c r="C498" s="12" t="s">
        <v>31</v>
      </c>
      <c r="D498" s="6">
        <f t="shared" si="17"/>
        <v>37</v>
      </c>
      <c r="E498">
        <v>3</v>
      </c>
      <c r="F498" s="6">
        <f>VLOOKUP($E498,Sheet3!$B$3:$D$54,2,0)</f>
        <v>1</v>
      </c>
      <c r="G498" s="6">
        <f>VLOOKUP($E498,Sheet3!$B$3:$G$54,3,0)</f>
        <v>0</v>
      </c>
      <c r="H498" s="5">
        <f>VLOOKUP($A498,Sheet3!$I$3:$J$38,2,0)</f>
        <v>21.63</v>
      </c>
      <c r="I498" s="6">
        <f>VLOOKUP($E498,Sheet3!$B$3:$G$54,5,0)</f>
        <v>133692</v>
      </c>
      <c r="J498" s="5">
        <f>VLOOKUP($E498,Sheet3!$B$3:$G$54,4,0)</f>
        <v>3.4</v>
      </c>
      <c r="K498" s="5">
        <f>VLOOKUP($E498,Sheet3!$B$3:$G$54,6,0)</f>
        <v>1.5</v>
      </c>
      <c r="L498">
        <v>1919</v>
      </c>
      <c r="M498">
        <v>1927</v>
      </c>
      <c r="N498">
        <v>18</v>
      </c>
      <c r="O498" s="14">
        <f t="shared" si="15"/>
        <v>1.0041688379364253</v>
      </c>
    </row>
    <row r="499" spans="1:15" x14ac:dyDescent="0.3">
      <c r="A499" s="16" t="s">
        <v>49</v>
      </c>
      <c r="B499" s="12" t="s">
        <v>29</v>
      </c>
      <c r="C499" s="12" t="s">
        <v>31</v>
      </c>
      <c r="D499" s="6">
        <f t="shared" si="17"/>
        <v>37</v>
      </c>
      <c r="E499">
        <v>4</v>
      </c>
      <c r="F499" s="6">
        <f>VLOOKUP($E499,Sheet3!$B$3:$D$54,2,0)</f>
        <v>1</v>
      </c>
      <c r="G499" s="6">
        <f>VLOOKUP($E499,Sheet3!$B$3:$G$54,3,0)</f>
        <v>0</v>
      </c>
      <c r="H499" s="5">
        <f>VLOOKUP($A499,Sheet3!$I$3:$J$38,2,0)</f>
        <v>21.63</v>
      </c>
      <c r="I499" s="6">
        <f>VLOOKUP($E499,Sheet3!$B$3:$G$54,5,0)</f>
        <v>133692</v>
      </c>
      <c r="J499" s="5">
        <f>VLOOKUP($E499,Sheet3!$B$3:$G$54,4,0)</f>
        <v>3.4</v>
      </c>
      <c r="K499" s="5">
        <f>VLOOKUP($E499,Sheet3!$B$3:$G$54,6,0)</f>
        <v>1.5</v>
      </c>
      <c r="L499">
        <v>2126</v>
      </c>
      <c r="M499">
        <v>2107</v>
      </c>
      <c r="N499">
        <v>19</v>
      </c>
      <c r="O499" s="14">
        <f t="shared" si="15"/>
        <v>0.99106302916274691</v>
      </c>
    </row>
    <row r="500" spans="1:15" x14ac:dyDescent="0.3">
      <c r="A500" s="16" t="s">
        <v>49</v>
      </c>
      <c r="B500" s="12" t="s">
        <v>29</v>
      </c>
      <c r="C500" s="12" t="s">
        <v>31</v>
      </c>
      <c r="D500" s="6">
        <f t="shared" si="17"/>
        <v>37</v>
      </c>
      <c r="E500">
        <v>5</v>
      </c>
      <c r="F500" s="6">
        <f>VLOOKUP($E500,Sheet3!$B$3:$D$54,2,0)</f>
        <v>1</v>
      </c>
      <c r="G500" s="6">
        <f>VLOOKUP($E500,Sheet3!$B$3:$G$54,3,0)</f>
        <v>0</v>
      </c>
      <c r="H500" s="5">
        <f>VLOOKUP($A500,Sheet3!$I$3:$J$38,2,0)</f>
        <v>21.63</v>
      </c>
      <c r="I500" s="6">
        <f>VLOOKUP($E500,Sheet3!$B$3:$G$54,5,0)</f>
        <v>133692</v>
      </c>
      <c r="J500" s="5">
        <f>VLOOKUP($E500,Sheet3!$B$3:$G$54,4,0)</f>
        <v>3.4</v>
      </c>
      <c r="K500" s="5">
        <f>VLOOKUP($E500,Sheet3!$B$3:$G$54,6,0)</f>
        <v>1.5</v>
      </c>
      <c r="L500">
        <v>2153</v>
      </c>
      <c r="M500">
        <v>2104</v>
      </c>
      <c r="N500">
        <v>20</v>
      </c>
      <c r="O500" s="14">
        <f t="shared" si="15"/>
        <v>0.97724105898745939</v>
      </c>
    </row>
    <row r="501" spans="1:15" x14ac:dyDescent="0.3">
      <c r="A501" s="16" t="s">
        <v>49</v>
      </c>
      <c r="B501" s="12" t="s">
        <v>29</v>
      </c>
      <c r="C501" s="12" t="s">
        <v>31</v>
      </c>
      <c r="D501" s="6">
        <f t="shared" si="17"/>
        <v>45</v>
      </c>
      <c r="E501">
        <v>6</v>
      </c>
      <c r="F501" s="6">
        <f>VLOOKUP($E501,Sheet3!$B$3:$D$54,2,0)</f>
        <v>2</v>
      </c>
      <c r="G501" s="6">
        <f>VLOOKUP($E501,Sheet3!$B$3:$G$54,3,0)</f>
        <v>0</v>
      </c>
      <c r="H501" s="5">
        <f>VLOOKUP($A501,Sheet3!$I$3:$J$38,2,0)</f>
        <v>21.63</v>
      </c>
      <c r="I501" s="6">
        <f>VLOOKUP($E501,Sheet3!$B$3:$G$54,5,0)</f>
        <v>137922</v>
      </c>
      <c r="J501" s="5">
        <f>VLOOKUP($E501,Sheet3!$B$3:$G$54,4,0)</f>
        <v>3.15</v>
      </c>
      <c r="K501" s="5">
        <f>VLOOKUP($E501,Sheet3!$B$3:$G$54,6,0)</f>
        <v>1.6</v>
      </c>
      <c r="L501">
        <v>2153</v>
      </c>
      <c r="M501">
        <v>1981</v>
      </c>
      <c r="N501">
        <v>13</v>
      </c>
      <c r="O501" s="14">
        <f t="shared" si="15"/>
        <v>0.92011147236414303</v>
      </c>
    </row>
    <row r="502" spans="1:15" x14ac:dyDescent="0.3">
      <c r="A502" s="16" t="s">
        <v>49</v>
      </c>
      <c r="B502" s="12" t="s">
        <v>29</v>
      </c>
      <c r="C502" s="12" t="s">
        <v>31</v>
      </c>
      <c r="D502" s="6">
        <f t="shared" si="17"/>
        <v>45</v>
      </c>
      <c r="E502">
        <v>7</v>
      </c>
      <c r="F502" s="6">
        <f>VLOOKUP($E502,Sheet3!$B$3:$D$54,2,0)</f>
        <v>2</v>
      </c>
      <c r="G502" s="6">
        <f>VLOOKUP($E502,Sheet3!$B$3:$G$54,3,0)</f>
        <v>0</v>
      </c>
      <c r="H502" s="5">
        <f>VLOOKUP($A502,Sheet3!$I$3:$J$38,2,0)</f>
        <v>21.63</v>
      </c>
      <c r="I502" s="6">
        <f>VLOOKUP($E502,Sheet3!$B$3:$G$54,5,0)</f>
        <v>137922</v>
      </c>
      <c r="J502" s="5">
        <f>VLOOKUP($E502,Sheet3!$B$3:$G$54,4,0)</f>
        <v>3.15</v>
      </c>
      <c r="K502" s="5">
        <f>VLOOKUP($E502,Sheet3!$B$3:$G$54,6,0)</f>
        <v>1.6</v>
      </c>
      <c r="L502">
        <v>2020</v>
      </c>
      <c r="M502">
        <v>2100</v>
      </c>
      <c r="N502">
        <v>14</v>
      </c>
      <c r="O502" s="14">
        <f t="shared" si="15"/>
        <v>1.0396039603960396</v>
      </c>
    </row>
    <row r="503" spans="1:15" x14ac:dyDescent="0.3">
      <c r="A503" s="16" t="s">
        <v>49</v>
      </c>
      <c r="B503" s="12" t="s">
        <v>29</v>
      </c>
      <c r="C503" s="12" t="s">
        <v>31</v>
      </c>
      <c r="D503" s="6">
        <f t="shared" si="17"/>
        <v>45</v>
      </c>
      <c r="E503">
        <v>8</v>
      </c>
      <c r="F503" s="6">
        <f>VLOOKUP($E503,Sheet3!$B$3:$D$54,2,0)</f>
        <v>2</v>
      </c>
      <c r="G503" s="6">
        <f>VLOOKUP($E503,Sheet3!$B$3:$G$54,3,0)</f>
        <v>0</v>
      </c>
      <c r="H503" s="5">
        <f>VLOOKUP($A503,Sheet3!$I$3:$J$38,2,0)</f>
        <v>21.63</v>
      </c>
      <c r="I503" s="6">
        <f>VLOOKUP($E503,Sheet3!$B$3:$G$54,5,0)</f>
        <v>137922</v>
      </c>
      <c r="J503" s="5">
        <f>VLOOKUP($E503,Sheet3!$B$3:$G$54,4,0)</f>
        <v>3.15</v>
      </c>
      <c r="K503" s="5">
        <f>VLOOKUP($E503,Sheet3!$B$3:$G$54,6,0)</f>
        <v>1.6</v>
      </c>
      <c r="L503">
        <v>2125</v>
      </c>
      <c r="M503">
        <v>2137</v>
      </c>
      <c r="N503">
        <v>15</v>
      </c>
      <c r="O503" s="14">
        <f t="shared" si="15"/>
        <v>1.0056470588235293</v>
      </c>
    </row>
    <row r="504" spans="1:15" x14ac:dyDescent="0.3">
      <c r="A504" s="16" t="s">
        <v>49</v>
      </c>
      <c r="B504" s="12" t="s">
        <v>29</v>
      </c>
      <c r="C504" s="12" t="s">
        <v>31</v>
      </c>
      <c r="D504" s="6">
        <f t="shared" si="17"/>
        <v>45</v>
      </c>
      <c r="E504">
        <v>9</v>
      </c>
      <c r="F504" s="6">
        <f>VLOOKUP($E504,Sheet3!$B$3:$D$54,2,0)</f>
        <v>2</v>
      </c>
      <c r="G504" s="6">
        <f>VLOOKUP($E504,Sheet3!$B$3:$G$54,3,0)</f>
        <v>0</v>
      </c>
      <c r="H504" s="5">
        <f>VLOOKUP($A504,Sheet3!$I$3:$J$38,2,0)</f>
        <v>21.63</v>
      </c>
      <c r="I504" s="6">
        <f>VLOOKUP($E504,Sheet3!$B$3:$G$54,5,0)</f>
        <v>137922</v>
      </c>
      <c r="J504" s="5">
        <f>VLOOKUP($E504,Sheet3!$B$3:$G$54,4,0)</f>
        <v>3.15</v>
      </c>
      <c r="K504" s="5">
        <f>VLOOKUP($E504,Sheet3!$B$3:$G$54,6,0)</f>
        <v>1.6</v>
      </c>
      <c r="L504">
        <v>2154</v>
      </c>
      <c r="M504">
        <v>1993</v>
      </c>
      <c r="N504">
        <v>16</v>
      </c>
      <c r="O504" s="14">
        <f t="shared" si="15"/>
        <v>0.92525533890436396</v>
      </c>
    </row>
    <row r="505" spans="1:15" x14ac:dyDescent="0.3">
      <c r="A505" s="16" t="s">
        <v>49</v>
      </c>
      <c r="B505" s="12" t="s">
        <v>29</v>
      </c>
      <c r="C505" s="12" t="s">
        <v>31</v>
      </c>
      <c r="D505" s="6">
        <f t="shared" si="17"/>
        <v>51</v>
      </c>
      <c r="E505">
        <v>10</v>
      </c>
      <c r="F505" s="6">
        <f>VLOOKUP($E505,Sheet3!$B$3:$D$54,2,0)</f>
        <v>3</v>
      </c>
      <c r="G505" s="6">
        <f>VLOOKUP($E505,Sheet3!$B$3:$G$54,3,0)</f>
        <v>0</v>
      </c>
      <c r="H505" s="5">
        <f>VLOOKUP($A505,Sheet3!$I$3:$J$38,2,0)</f>
        <v>21.63</v>
      </c>
      <c r="I505" s="6">
        <f>VLOOKUP($E505,Sheet3!$B$3:$G$54,5,0)</f>
        <v>172223</v>
      </c>
      <c r="J505" s="5">
        <f>VLOOKUP($E505,Sheet3!$B$3:$G$54,4,0)</f>
        <v>3.15</v>
      </c>
      <c r="K505" s="5">
        <f>VLOOKUP($E505,Sheet3!$B$3:$G$54,6,0)</f>
        <v>1.9</v>
      </c>
      <c r="L505">
        <v>2052</v>
      </c>
      <c r="M505">
        <v>2087</v>
      </c>
      <c r="N505">
        <v>11</v>
      </c>
      <c r="O505" s="14">
        <f t="shared" si="15"/>
        <v>1.017056530214425</v>
      </c>
    </row>
    <row r="506" spans="1:15" x14ac:dyDescent="0.3">
      <c r="A506" s="16" t="s">
        <v>49</v>
      </c>
      <c r="B506" s="12" t="s">
        <v>29</v>
      </c>
      <c r="C506" s="12" t="s">
        <v>31</v>
      </c>
      <c r="D506" s="6">
        <f t="shared" si="17"/>
        <v>51</v>
      </c>
      <c r="E506">
        <v>11</v>
      </c>
      <c r="F506" s="6">
        <f>VLOOKUP($E506,Sheet3!$B$3:$D$54,2,0)</f>
        <v>3</v>
      </c>
      <c r="G506" s="6">
        <f>VLOOKUP($E506,Sheet3!$B$3:$G$54,3,0)</f>
        <v>0</v>
      </c>
      <c r="H506" s="5">
        <f>VLOOKUP($A506,Sheet3!$I$3:$J$38,2,0)</f>
        <v>21.63</v>
      </c>
      <c r="I506" s="6">
        <f>VLOOKUP($E506,Sheet3!$B$3:$G$54,5,0)</f>
        <v>172223</v>
      </c>
      <c r="J506" s="5">
        <f>VLOOKUP($E506,Sheet3!$B$3:$G$54,4,0)</f>
        <v>2.9</v>
      </c>
      <c r="K506" s="5">
        <f>VLOOKUP($E506,Sheet3!$B$3:$G$54,6,0)</f>
        <v>1.9</v>
      </c>
      <c r="L506">
        <v>2025</v>
      </c>
      <c r="M506">
        <v>2127</v>
      </c>
      <c r="N506">
        <v>12</v>
      </c>
      <c r="O506" s="14">
        <f t="shared" ref="O506:O568" si="18">M506/L506</f>
        <v>1.0503703703703704</v>
      </c>
    </row>
    <row r="507" spans="1:15" x14ac:dyDescent="0.3">
      <c r="A507" s="16" t="s">
        <v>49</v>
      </c>
      <c r="B507" s="12" t="s">
        <v>29</v>
      </c>
      <c r="C507" s="12" t="s">
        <v>31</v>
      </c>
      <c r="D507" s="6">
        <f t="shared" si="17"/>
        <v>51</v>
      </c>
      <c r="E507">
        <v>12</v>
      </c>
      <c r="F507" s="6">
        <f>VLOOKUP($E507,Sheet3!$B$3:$D$54,2,0)</f>
        <v>3</v>
      </c>
      <c r="G507" s="6">
        <f>VLOOKUP($E507,Sheet3!$B$3:$G$54,3,0)</f>
        <v>0</v>
      </c>
      <c r="H507" s="5">
        <f>VLOOKUP($A507,Sheet3!$I$3:$J$38,2,0)</f>
        <v>21.63</v>
      </c>
      <c r="I507" s="6">
        <f>VLOOKUP($E507,Sheet3!$B$3:$G$54,5,0)</f>
        <v>172223</v>
      </c>
      <c r="J507" s="5">
        <f>VLOOKUP($E507,Sheet3!$B$3:$G$54,4,0)</f>
        <v>2.9</v>
      </c>
      <c r="K507" s="5">
        <f>VLOOKUP($E507,Sheet3!$B$3:$G$54,6,0)</f>
        <v>1.9</v>
      </c>
      <c r="L507">
        <v>1893</v>
      </c>
      <c r="M507">
        <v>2014</v>
      </c>
      <c r="N507">
        <v>13</v>
      </c>
      <c r="O507" s="14">
        <f t="shared" si="18"/>
        <v>1.06391970417327</v>
      </c>
    </row>
    <row r="508" spans="1:15" x14ac:dyDescent="0.3">
      <c r="A508" s="16" t="s">
        <v>49</v>
      </c>
      <c r="B508" s="12" t="s">
        <v>29</v>
      </c>
      <c r="C508" s="12" t="s">
        <v>31</v>
      </c>
      <c r="D508" s="6">
        <f t="shared" si="17"/>
        <v>51</v>
      </c>
      <c r="E508">
        <v>13</v>
      </c>
      <c r="F508" s="6">
        <f>VLOOKUP($E508,Sheet3!$B$3:$D$54,2,0)</f>
        <v>3</v>
      </c>
      <c r="G508" s="6">
        <f>VLOOKUP($E508,Sheet3!$B$3:$G$54,3,0)</f>
        <v>0</v>
      </c>
      <c r="H508" s="5">
        <f>VLOOKUP($A508,Sheet3!$I$3:$J$38,2,0)</f>
        <v>21.63</v>
      </c>
      <c r="I508" s="6">
        <f>VLOOKUP($E508,Sheet3!$B$3:$G$54,5,0)</f>
        <v>172223</v>
      </c>
      <c r="J508" s="5">
        <f>VLOOKUP($E508,Sheet3!$B$3:$G$54,4,0)</f>
        <v>2.9</v>
      </c>
      <c r="K508" s="5">
        <f>VLOOKUP($E508,Sheet3!$B$3:$G$54,6,0)</f>
        <v>1.9</v>
      </c>
      <c r="L508">
        <v>2047</v>
      </c>
      <c r="M508">
        <v>2114</v>
      </c>
      <c r="N508">
        <v>14</v>
      </c>
      <c r="O508" s="14">
        <f t="shared" si="18"/>
        <v>1.0327308255984367</v>
      </c>
    </row>
    <row r="509" spans="1:15" x14ac:dyDescent="0.3">
      <c r="A509" s="16" t="s">
        <v>49</v>
      </c>
      <c r="B509" s="12" t="s">
        <v>29</v>
      </c>
      <c r="C509" s="12" t="s">
        <v>31</v>
      </c>
      <c r="D509" s="6">
        <f t="shared" si="17"/>
        <v>3</v>
      </c>
      <c r="E509">
        <v>14</v>
      </c>
      <c r="F509" s="6">
        <f>VLOOKUP($E509,Sheet3!$B$3:$D$54,2,0)</f>
        <v>3</v>
      </c>
      <c r="G509" s="6">
        <f>VLOOKUP($E509,Sheet3!$B$3:$G$54,3,0)</f>
        <v>0</v>
      </c>
      <c r="H509" s="5">
        <f>VLOOKUP($A509,Sheet3!$I$3:$J$38,2,0)</f>
        <v>21.63</v>
      </c>
      <c r="I509" s="6">
        <f>VLOOKUP($E509,Sheet3!$B$3:$G$54,5,0)</f>
        <v>172223</v>
      </c>
      <c r="J509" s="5">
        <f>VLOOKUP($E509,Sheet3!$B$3:$G$54,4,0)</f>
        <v>2.9</v>
      </c>
      <c r="K509" s="5">
        <f>VLOOKUP($E509,Sheet3!$B$3:$G$54,6,0)</f>
        <v>1.9</v>
      </c>
      <c r="L509">
        <v>2050</v>
      </c>
      <c r="M509">
        <v>2106</v>
      </c>
      <c r="N509">
        <v>11</v>
      </c>
      <c r="O509" s="14">
        <f t="shared" si="18"/>
        <v>1.0273170731707317</v>
      </c>
    </row>
    <row r="510" spans="1:15" x14ac:dyDescent="0.3">
      <c r="A510" s="16" t="s">
        <v>49</v>
      </c>
      <c r="B510" s="12" t="s">
        <v>29</v>
      </c>
      <c r="C510" s="12" t="s">
        <v>31</v>
      </c>
      <c r="D510" s="6">
        <f t="shared" si="17"/>
        <v>3</v>
      </c>
      <c r="E510">
        <v>15</v>
      </c>
      <c r="F510" s="6">
        <f>VLOOKUP($E510,Sheet3!$B$3:$D$54,2,0)</f>
        <v>4</v>
      </c>
      <c r="G510" s="6">
        <f>VLOOKUP($E510,Sheet3!$B$3:$G$54,3,0)</f>
        <v>0</v>
      </c>
      <c r="H510" s="5">
        <f>VLOOKUP($A510,Sheet3!$I$3:$J$38,2,0)</f>
        <v>21.63</v>
      </c>
      <c r="I510" s="6">
        <f>VLOOKUP($E510,Sheet3!$B$3:$G$54,5,0)</f>
        <v>139084</v>
      </c>
      <c r="J510" s="5">
        <f>VLOOKUP($E510,Sheet3!$B$3:$G$54,4,0)</f>
        <v>2.9</v>
      </c>
      <c r="K510" s="5">
        <f>VLOOKUP($E510,Sheet3!$B$3:$G$54,6,0)</f>
        <v>1.9</v>
      </c>
      <c r="L510">
        <v>1868</v>
      </c>
      <c r="M510">
        <v>1951</v>
      </c>
      <c r="N510">
        <v>12</v>
      </c>
      <c r="O510" s="14">
        <f t="shared" si="18"/>
        <v>1.0444325481798715</v>
      </c>
    </row>
    <row r="511" spans="1:15" x14ac:dyDescent="0.3">
      <c r="A511" s="16" t="s">
        <v>49</v>
      </c>
      <c r="B511" s="12" t="s">
        <v>29</v>
      </c>
      <c r="C511" s="12" t="s">
        <v>31</v>
      </c>
      <c r="D511" s="6">
        <f t="shared" si="17"/>
        <v>3</v>
      </c>
      <c r="E511">
        <v>16</v>
      </c>
      <c r="F511" s="6">
        <f>VLOOKUP($E511,Sheet3!$B$3:$D$54,2,0)</f>
        <v>4</v>
      </c>
      <c r="G511" s="6">
        <f>VLOOKUP($E511,Sheet3!$B$3:$G$54,3,0)</f>
        <v>0</v>
      </c>
      <c r="H511" s="5">
        <f>VLOOKUP($A511,Sheet3!$I$3:$J$38,2,0)</f>
        <v>21.63</v>
      </c>
      <c r="I511" s="6">
        <f>VLOOKUP($E511,Sheet3!$B$3:$G$54,5,0)</f>
        <v>139084</v>
      </c>
      <c r="J511" s="5">
        <f>VLOOKUP($E511,Sheet3!$B$3:$G$54,4,0)</f>
        <v>2.9</v>
      </c>
      <c r="K511" s="5">
        <f>VLOOKUP($E511,Sheet3!$B$3:$G$54,6,0)</f>
        <v>1.9</v>
      </c>
      <c r="L511">
        <v>1388</v>
      </c>
      <c r="M511">
        <v>1465</v>
      </c>
      <c r="N511">
        <v>13</v>
      </c>
      <c r="O511" s="14">
        <f t="shared" si="18"/>
        <v>1.0554755043227666</v>
      </c>
    </row>
    <row r="512" spans="1:15" x14ac:dyDescent="0.3">
      <c r="A512" s="16" t="s">
        <v>49</v>
      </c>
      <c r="B512" s="12" t="s">
        <v>29</v>
      </c>
      <c r="C512" s="12" t="s">
        <v>31</v>
      </c>
      <c r="D512" s="6">
        <f t="shared" si="17"/>
        <v>3</v>
      </c>
      <c r="E512">
        <v>17</v>
      </c>
      <c r="F512" s="6">
        <f>VLOOKUP($E512,Sheet3!$B$3:$D$54,2,0)</f>
        <v>4</v>
      </c>
      <c r="G512" s="6">
        <f>VLOOKUP($E512,Sheet3!$B$3:$G$54,3,0)</f>
        <v>1</v>
      </c>
      <c r="H512" s="5">
        <f>VLOOKUP($A512,Sheet3!$I$3:$J$38,2,0)</f>
        <v>21.63</v>
      </c>
      <c r="I512" s="6">
        <f>VLOOKUP($E512,Sheet3!$B$3:$G$54,5,0)</f>
        <v>139084</v>
      </c>
      <c r="J512" s="5">
        <f>VLOOKUP($E512,Sheet3!$B$3:$G$54,4,0)</f>
        <v>2.65</v>
      </c>
      <c r="K512" s="5">
        <f>VLOOKUP($E512,Sheet3!$B$3:$G$54,6,0)</f>
        <v>1.9</v>
      </c>
      <c r="L512">
        <v>1698</v>
      </c>
      <c r="M512">
        <v>1793</v>
      </c>
      <c r="N512">
        <v>14</v>
      </c>
      <c r="O512" s="14">
        <f t="shared" si="18"/>
        <v>1.0559481743227326</v>
      </c>
    </row>
    <row r="513" spans="1:15" x14ac:dyDescent="0.3">
      <c r="A513" s="16" t="s">
        <v>49</v>
      </c>
      <c r="B513" s="12" t="s">
        <v>29</v>
      </c>
      <c r="C513" s="12" t="s">
        <v>31</v>
      </c>
      <c r="D513" s="6">
        <f t="shared" si="17"/>
        <v>3</v>
      </c>
      <c r="E513">
        <v>18</v>
      </c>
      <c r="F513" s="6">
        <f>VLOOKUP($E513,Sheet3!$B$3:$D$54,2,0)</f>
        <v>4</v>
      </c>
      <c r="G513" s="6">
        <f>VLOOKUP($E513,Sheet3!$B$3:$G$54,3,0)</f>
        <v>1</v>
      </c>
      <c r="H513" s="5">
        <f>VLOOKUP($A513,Sheet3!$I$3:$J$38,2,0)</f>
        <v>21.63</v>
      </c>
      <c r="I513" s="6">
        <f>VLOOKUP($E513,Sheet3!$B$3:$G$54,5,0)</f>
        <v>139084</v>
      </c>
      <c r="J513" s="5">
        <f>VLOOKUP($E513,Sheet3!$B$3:$G$54,4,0)</f>
        <v>2.65</v>
      </c>
      <c r="K513" s="5">
        <f>VLOOKUP($E513,Sheet3!$B$3:$G$54,6,0)</f>
        <v>1.9</v>
      </c>
      <c r="L513">
        <v>1546</v>
      </c>
      <c r="M513">
        <v>1667</v>
      </c>
      <c r="N513">
        <v>15</v>
      </c>
      <c r="O513" s="14">
        <f t="shared" si="18"/>
        <v>1.0782664941785252</v>
      </c>
    </row>
    <row r="514" spans="1:15" x14ac:dyDescent="0.3">
      <c r="A514" s="16" t="s">
        <v>49</v>
      </c>
      <c r="B514" s="12" t="s">
        <v>29</v>
      </c>
      <c r="C514" s="12" t="s">
        <v>31</v>
      </c>
      <c r="D514" s="6">
        <f t="shared" si="17"/>
        <v>6</v>
      </c>
      <c r="E514">
        <v>19</v>
      </c>
      <c r="F514" s="6">
        <f>VLOOKUP($E514,Sheet3!$B$3:$D$54,2,0)</f>
        <v>5</v>
      </c>
      <c r="G514" s="6">
        <f>VLOOKUP($E514,Sheet3!$B$3:$G$54,3,0)</f>
        <v>0</v>
      </c>
      <c r="H514" s="5">
        <f>VLOOKUP($A514,Sheet3!$I$3:$J$38,2,0)</f>
        <v>21.63</v>
      </c>
      <c r="I514" s="6">
        <f>VLOOKUP($E514,Sheet3!$B$3:$G$54,5,0)</f>
        <v>139390</v>
      </c>
      <c r="J514" s="5">
        <f>VLOOKUP($E514,Sheet3!$B$3:$G$54,4,0)</f>
        <v>2.65</v>
      </c>
      <c r="K514" s="5">
        <f>VLOOKUP($E514,Sheet3!$B$3:$G$54,6,0)</f>
        <v>1.6</v>
      </c>
      <c r="L514">
        <v>2049</v>
      </c>
      <c r="M514">
        <v>2248</v>
      </c>
      <c r="N514">
        <v>13</v>
      </c>
      <c r="O514" s="14">
        <f t="shared" si="18"/>
        <v>1.0971205466081015</v>
      </c>
    </row>
    <row r="515" spans="1:15" x14ac:dyDescent="0.3">
      <c r="A515" s="16" t="s">
        <v>49</v>
      </c>
      <c r="B515" s="12" t="s">
        <v>29</v>
      </c>
      <c r="C515" s="12" t="s">
        <v>31</v>
      </c>
      <c r="D515" s="6">
        <f t="shared" si="17"/>
        <v>6</v>
      </c>
      <c r="E515">
        <v>20</v>
      </c>
      <c r="F515" s="6">
        <f>VLOOKUP($E515,Sheet3!$B$3:$D$54,2,0)</f>
        <v>5</v>
      </c>
      <c r="G515" s="6">
        <f>VLOOKUP($E515,Sheet3!$B$3:$G$54,3,0)</f>
        <v>0</v>
      </c>
      <c r="H515" s="5">
        <f>VLOOKUP($A515,Sheet3!$I$3:$J$38,2,0)</f>
        <v>21.63</v>
      </c>
      <c r="I515" s="6">
        <f>VLOOKUP($E515,Sheet3!$B$3:$G$54,5,0)</f>
        <v>139390</v>
      </c>
      <c r="J515" s="5">
        <f>VLOOKUP($E515,Sheet3!$B$3:$G$54,4,0)</f>
        <v>2.65</v>
      </c>
      <c r="K515" s="5">
        <f>VLOOKUP($E515,Sheet3!$B$3:$G$54,6,0)</f>
        <v>1.6</v>
      </c>
      <c r="L515">
        <v>2024</v>
      </c>
      <c r="M515">
        <v>2252</v>
      </c>
      <c r="N515">
        <v>14</v>
      </c>
      <c r="O515" s="14">
        <f t="shared" si="18"/>
        <v>1.1126482213438735</v>
      </c>
    </row>
    <row r="516" spans="1:15" x14ac:dyDescent="0.3">
      <c r="A516" s="16" t="s">
        <v>49</v>
      </c>
      <c r="B516" s="12" t="s">
        <v>29</v>
      </c>
      <c r="C516" s="12" t="s">
        <v>31</v>
      </c>
      <c r="D516" s="6">
        <f t="shared" si="17"/>
        <v>6</v>
      </c>
      <c r="E516">
        <v>21</v>
      </c>
      <c r="F516" s="6">
        <f>VLOOKUP($E516,Sheet3!$B$3:$D$54,2,0)</f>
        <v>5</v>
      </c>
      <c r="G516" s="6">
        <f>VLOOKUP($E516,Sheet3!$B$3:$G$54,3,0)</f>
        <v>0</v>
      </c>
      <c r="H516" s="5">
        <f>VLOOKUP($A516,Sheet3!$I$3:$J$38,2,0)</f>
        <v>21.63</v>
      </c>
      <c r="I516" s="6">
        <f>VLOOKUP($E516,Sheet3!$B$3:$G$54,5,0)</f>
        <v>139390</v>
      </c>
      <c r="J516" s="5">
        <f>VLOOKUP($E516,Sheet3!$B$3:$G$54,4,0)</f>
        <v>2.65</v>
      </c>
      <c r="K516" s="5">
        <f>VLOOKUP($E516,Sheet3!$B$3:$G$54,6,0)</f>
        <v>1.6</v>
      </c>
      <c r="L516">
        <v>1895</v>
      </c>
      <c r="M516">
        <v>2136</v>
      </c>
      <c r="N516">
        <v>15</v>
      </c>
      <c r="O516" s="14">
        <f t="shared" si="18"/>
        <v>1.1271767810026385</v>
      </c>
    </row>
    <row r="517" spans="1:15" x14ac:dyDescent="0.3">
      <c r="A517" s="16" t="s">
        <v>49</v>
      </c>
      <c r="B517" s="12" t="s">
        <v>29</v>
      </c>
      <c r="C517" s="12" t="s">
        <v>31</v>
      </c>
      <c r="D517" s="6">
        <f t="shared" si="17"/>
        <v>6</v>
      </c>
      <c r="E517">
        <v>22</v>
      </c>
      <c r="F517" s="6">
        <f>VLOOKUP($E517,Sheet3!$B$3:$D$54,2,0)</f>
        <v>5</v>
      </c>
      <c r="G517" s="6">
        <f>VLOOKUP($E517,Sheet3!$B$3:$G$54,3,0)</f>
        <v>0</v>
      </c>
      <c r="H517" s="5">
        <f>VLOOKUP($A517,Sheet3!$I$3:$J$38,2,0)</f>
        <v>21.63</v>
      </c>
      <c r="I517" s="6">
        <f>VLOOKUP($E517,Sheet3!$B$3:$G$54,5,0)</f>
        <v>139390</v>
      </c>
      <c r="J517" s="5">
        <f>VLOOKUP($E517,Sheet3!$B$3:$G$54,4,0)</f>
        <v>2.65</v>
      </c>
      <c r="K517" s="5">
        <f>VLOOKUP($E517,Sheet3!$B$3:$G$54,6,0)</f>
        <v>1.6</v>
      </c>
      <c r="L517">
        <v>2047</v>
      </c>
      <c r="M517">
        <v>2311</v>
      </c>
      <c r="N517">
        <v>16</v>
      </c>
      <c r="O517" s="14">
        <f t="shared" si="18"/>
        <v>1.1289692232535418</v>
      </c>
    </row>
    <row r="518" spans="1:15" x14ac:dyDescent="0.3">
      <c r="A518" s="16" t="s">
        <v>49</v>
      </c>
      <c r="B518" s="12" t="s">
        <v>29</v>
      </c>
      <c r="C518" s="12" t="s">
        <v>31</v>
      </c>
      <c r="D518" s="6">
        <f t="shared" si="17"/>
        <v>10</v>
      </c>
      <c r="E518">
        <v>23</v>
      </c>
      <c r="F518" s="6">
        <f>VLOOKUP($E518,Sheet3!$B$3:$D$54,2,0)</f>
        <v>5</v>
      </c>
      <c r="G518" s="6">
        <f>VLOOKUP($E518,Sheet3!$B$3:$G$54,3,0)</f>
        <v>1</v>
      </c>
      <c r="H518" s="5">
        <f>VLOOKUP($A518,Sheet3!$I$3:$J$38,2,0)</f>
        <v>21.63</v>
      </c>
      <c r="I518" s="6">
        <f>VLOOKUP($E518,Sheet3!$B$3:$G$54,5,0)</f>
        <v>139390</v>
      </c>
      <c r="J518" s="5">
        <f>VLOOKUP($E518,Sheet3!$B$3:$G$54,4,0)</f>
        <v>2.4</v>
      </c>
      <c r="K518" s="5">
        <f>VLOOKUP($E518,Sheet3!$B$3:$G$54,6,0)</f>
        <v>1.6</v>
      </c>
      <c r="L518">
        <v>2049</v>
      </c>
      <c r="M518">
        <v>2401</v>
      </c>
      <c r="N518">
        <v>13</v>
      </c>
      <c r="O518" s="14">
        <f t="shared" si="18"/>
        <v>1.1717911176183504</v>
      </c>
    </row>
    <row r="519" spans="1:15" x14ac:dyDescent="0.3">
      <c r="A519" s="16" t="s">
        <v>49</v>
      </c>
      <c r="B519" s="12" t="s">
        <v>29</v>
      </c>
      <c r="C519" s="12" t="s">
        <v>31</v>
      </c>
      <c r="D519" s="6">
        <f t="shared" si="17"/>
        <v>10</v>
      </c>
      <c r="E519">
        <v>24</v>
      </c>
      <c r="F519" s="6">
        <f>VLOOKUP($E519,Sheet3!$B$3:$D$54,2,0)</f>
        <v>6</v>
      </c>
      <c r="G519" s="6">
        <f>VLOOKUP($E519,Sheet3!$B$3:$G$54,3,0)</f>
        <v>0</v>
      </c>
      <c r="H519" s="5">
        <f>VLOOKUP($A519,Sheet3!$I$3:$J$38,2,0)</f>
        <v>21.63</v>
      </c>
      <c r="I519" s="6">
        <f>VLOOKUP($E519,Sheet3!$B$3:$G$54,5,0)</f>
        <v>132191</v>
      </c>
      <c r="J519" s="5">
        <f>VLOOKUP($E519,Sheet3!$B$3:$G$54,4,0)</f>
        <v>2.4</v>
      </c>
      <c r="K519" s="5">
        <f>VLOOKUP($E519,Sheet3!$B$3:$G$54,6,0)</f>
        <v>1.7</v>
      </c>
      <c r="L519">
        <v>1870</v>
      </c>
      <c r="M519">
        <v>2289</v>
      </c>
      <c r="N519">
        <v>14</v>
      </c>
      <c r="O519" s="14">
        <f t="shared" si="18"/>
        <v>1.2240641711229947</v>
      </c>
    </row>
    <row r="520" spans="1:15" x14ac:dyDescent="0.3">
      <c r="A520" s="16" t="s">
        <v>49</v>
      </c>
      <c r="B520" s="12" t="s">
        <v>29</v>
      </c>
      <c r="C520" s="12" t="s">
        <v>31</v>
      </c>
      <c r="D520" s="6">
        <f t="shared" si="17"/>
        <v>10</v>
      </c>
      <c r="E520">
        <v>25</v>
      </c>
      <c r="F520" s="6">
        <f>VLOOKUP($E520,Sheet3!$B$3:$D$54,2,0)</f>
        <v>6</v>
      </c>
      <c r="G520" s="6">
        <f>VLOOKUP($E520,Sheet3!$B$3:$G$54,3,0)</f>
        <v>0</v>
      </c>
      <c r="H520" s="5">
        <f>VLOOKUP($A520,Sheet3!$I$3:$J$38,2,0)</f>
        <v>21.63</v>
      </c>
      <c r="I520" s="6">
        <f>VLOOKUP($E520,Sheet3!$B$3:$G$54,5,0)</f>
        <v>132191</v>
      </c>
      <c r="J520" s="5">
        <f>VLOOKUP($E520,Sheet3!$B$3:$G$54,4,0)</f>
        <v>2.4</v>
      </c>
      <c r="K520" s="5">
        <f>VLOOKUP($E520,Sheet3!$B$3:$G$54,6,0)</f>
        <v>1.7</v>
      </c>
      <c r="L520">
        <v>1893</v>
      </c>
      <c r="M520">
        <v>2141</v>
      </c>
      <c r="N520">
        <v>15</v>
      </c>
      <c r="O520" s="14">
        <f t="shared" si="18"/>
        <v>1.1310089804543053</v>
      </c>
    </row>
    <row r="521" spans="1:15" x14ac:dyDescent="0.3">
      <c r="A521" s="16" t="s">
        <v>49</v>
      </c>
      <c r="B521" s="12" t="s">
        <v>29</v>
      </c>
      <c r="C521" s="12" t="s">
        <v>31</v>
      </c>
      <c r="D521" s="6">
        <f t="shared" si="17"/>
        <v>10</v>
      </c>
      <c r="E521">
        <v>26</v>
      </c>
      <c r="F521" s="6">
        <f>VLOOKUP($E521,Sheet3!$B$3:$D$54,2,0)</f>
        <v>6</v>
      </c>
      <c r="G521" s="6">
        <f>VLOOKUP($E521,Sheet3!$B$3:$G$54,3,0)</f>
        <v>0</v>
      </c>
      <c r="H521" s="5">
        <f>VLOOKUP($A521,Sheet3!$I$3:$J$38,2,0)</f>
        <v>21.63</v>
      </c>
      <c r="I521" s="6">
        <f>VLOOKUP($E521,Sheet3!$B$3:$G$54,5,0)</f>
        <v>132191</v>
      </c>
      <c r="J521" s="5">
        <f>VLOOKUP($E521,Sheet3!$B$3:$G$54,4,0)</f>
        <v>2.4</v>
      </c>
      <c r="K521" s="5">
        <f>VLOOKUP($E521,Sheet3!$B$3:$G$54,6,0)</f>
        <v>1.7</v>
      </c>
      <c r="L521">
        <v>1341</v>
      </c>
      <c r="M521">
        <v>1621</v>
      </c>
      <c r="N521">
        <v>16</v>
      </c>
      <c r="O521" s="14">
        <f t="shared" si="18"/>
        <v>1.2087994034302758</v>
      </c>
    </row>
    <row r="522" spans="1:15" x14ac:dyDescent="0.3">
      <c r="A522" s="17" t="s">
        <v>46</v>
      </c>
      <c r="B522" s="12" t="s">
        <v>30</v>
      </c>
      <c r="C522" s="12" t="s">
        <v>32</v>
      </c>
      <c r="D522" s="6">
        <f t="shared" si="17"/>
        <v>13</v>
      </c>
      <c r="E522">
        <v>27</v>
      </c>
      <c r="F522" s="6">
        <f>VLOOKUP($E522,Sheet3!$B$3:$D$54,2,0)</f>
        <v>7</v>
      </c>
      <c r="G522" s="6">
        <f>VLOOKUP($E522,Sheet3!$B$3:$G$54,3,0)</f>
        <v>0</v>
      </c>
      <c r="H522" s="5">
        <f>VLOOKUP($A522,Sheet3!$I$3:$J$38,2,0)</f>
        <v>17.53</v>
      </c>
      <c r="I522" s="6">
        <f>VLOOKUP($E522,Sheet3!$B$3:$G$54,5,0)</f>
        <v>124806</v>
      </c>
      <c r="J522" s="5">
        <f>VLOOKUP($E522,Sheet3!$B$3:$G$54,4,0)</f>
        <v>4.5</v>
      </c>
      <c r="K522" s="5">
        <f>VLOOKUP($E522,Sheet3!$B$3:$G$54,6,0)</f>
        <v>1.3</v>
      </c>
      <c r="L522">
        <v>1600</v>
      </c>
      <c r="M522">
        <v>1200</v>
      </c>
      <c r="N522">
        <v>14</v>
      </c>
      <c r="O522" s="14">
        <f t="shared" si="18"/>
        <v>0.75</v>
      </c>
    </row>
    <row r="523" spans="1:15" x14ac:dyDescent="0.3">
      <c r="A523" s="17" t="s">
        <v>46</v>
      </c>
      <c r="B523" s="12" t="s">
        <v>30</v>
      </c>
      <c r="C523" s="12" t="s">
        <v>32</v>
      </c>
      <c r="D523" s="6">
        <f t="shared" ref="D523:D573" si="19">IF(E523-N523&lt;0,E523-N523+52,E523-N523)</f>
        <v>13</v>
      </c>
      <c r="E523">
        <v>28</v>
      </c>
      <c r="F523" s="6">
        <f>VLOOKUP($E523,Sheet3!$B$3:$D$54,2,0)</f>
        <v>7</v>
      </c>
      <c r="G523" s="6">
        <f>VLOOKUP($E523,Sheet3!$B$3:$G$54,3,0)</f>
        <v>0</v>
      </c>
      <c r="H523" s="5">
        <f>VLOOKUP($A523,Sheet3!$I$3:$J$38,2,0)</f>
        <v>17.53</v>
      </c>
      <c r="I523" s="6">
        <f>VLOOKUP($E523,Sheet3!$B$3:$G$54,5,0)</f>
        <v>124806</v>
      </c>
      <c r="J523" s="5">
        <f>VLOOKUP($E523,Sheet3!$B$3:$G$54,4,0)</f>
        <v>4.5</v>
      </c>
      <c r="K523" s="5">
        <f>VLOOKUP($E523,Sheet3!$B$3:$G$54,6,0)</f>
        <v>1.3</v>
      </c>
      <c r="L523">
        <v>1600</v>
      </c>
      <c r="M523">
        <v>1320</v>
      </c>
      <c r="N523">
        <v>15</v>
      </c>
      <c r="O523" s="14">
        <f t="shared" si="18"/>
        <v>0.82499999999999996</v>
      </c>
    </row>
    <row r="524" spans="1:15" x14ac:dyDescent="0.3">
      <c r="A524" s="17" t="s">
        <v>46</v>
      </c>
      <c r="B524" s="12" t="s">
        <v>30</v>
      </c>
      <c r="C524" s="12" t="s">
        <v>32</v>
      </c>
      <c r="D524" s="6">
        <f t="shared" si="19"/>
        <v>13</v>
      </c>
      <c r="E524">
        <v>29</v>
      </c>
      <c r="F524" s="6">
        <f>VLOOKUP($E524,Sheet3!$B$3:$D$54,2,0)</f>
        <v>7</v>
      </c>
      <c r="G524" s="6">
        <f>VLOOKUP($E524,Sheet3!$B$3:$G$54,3,0)</f>
        <v>0</v>
      </c>
      <c r="H524" s="5">
        <f>VLOOKUP($A524,Sheet3!$I$3:$J$38,2,0)</f>
        <v>17.53</v>
      </c>
      <c r="I524" s="6">
        <f>VLOOKUP($E524,Sheet3!$B$3:$G$54,5,0)</f>
        <v>124806</v>
      </c>
      <c r="J524" s="5">
        <f>VLOOKUP($E524,Sheet3!$B$3:$G$54,4,0)</f>
        <v>4.5</v>
      </c>
      <c r="K524" s="5">
        <f>VLOOKUP($E524,Sheet3!$B$3:$G$54,6,0)</f>
        <v>1.3</v>
      </c>
      <c r="L524">
        <v>1600</v>
      </c>
      <c r="M524">
        <v>1536</v>
      </c>
      <c r="N524">
        <v>16</v>
      </c>
      <c r="O524" s="14">
        <f t="shared" si="18"/>
        <v>0.96</v>
      </c>
    </row>
    <row r="525" spans="1:15" x14ac:dyDescent="0.3">
      <c r="A525" s="17" t="s">
        <v>46</v>
      </c>
      <c r="B525" s="12" t="s">
        <v>30</v>
      </c>
      <c r="C525" s="12" t="s">
        <v>32</v>
      </c>
      <c r="D525" s="6">
        <f t="shared" si="19"/>
        <v>13</v>
      </c>
      <c r="E525">
        <v>30</v>
      </c>
      <c r="F525" s="6">
        <f>VLOOKUP($E525,Sheet3!$B$3:$D$54,2,0)</f>
        <v>7</v>
      </c>
      <c r="G525" s="6">
        <f>VLOOKUP($E525,Sheet3!$B$3:$G$54,3,0)</f>
        <v>0</v>
      </c>
      <c r="H525" s="5">
        <f>VLOOKUP($A525,Sheet3!$I$3:$J$38,2,0)</f>
        <v>17.53</v>
      </c>
      <c r="I525" s="6">
        <f>VLOOKUP($E525,Sheet3!$B$3:$G$54,5,0)</f>
        <v>124806</v>
      </c>
      <c r="J525" s="5">
        <f>VLOOKUP($E525,Sheet3!$B$3:$G$54,4,0)</f>
        <v>4.5</v>
      </c>
      <c r="K525" s="5">
        <f>VLOOKUP($E525,Sheet3!$B$3:$G$54,6,0)</f>
        <v>1.3</v>
      </c>
      <c r="L525">
        <v>1600</v>
      </c>
      <c r="M525">
        <v>456</v>
      </c>
      <c r="N525">
        <v>17</v>
      </c>
      <c r="O525" s="14">
        <f t="shared" si="18"/>
        <v>0.28499999999999998</v>
      </c>
    </row>
    <row r="526" spans="1:15" x14ac:dyDescent="0.3">
      <c r="A526" s="17" t="s">
        <v>46</v>
      </c>
      <c r="B526" s="12" t="s">
        <v>30</v>
      </c>
      <c r="C526" s="12" t="s">
        <v>32</v>
      </c>
      <c r="D526" s="6">
        <f t="shared" si="19"/>
        <v>13</v>
      </c>
      <c r="E526">
        <v>31</v>
      </c>
      <c r="F526" s="6">
        <f>VLOOKUP($E526,Sheet3!$B$3:$D$54,2,0)</f>
        <v>7</v>
      </c>
      <c r="G526" s="6">
        <f>VLOOKUP($E526,Sheet3!$B$3:$G$54,3,0)</f>
        <v>0</v>
      </c>
      <c r="H526" s="5">
        <f>VLOOKUP($A526,Sheet3!$I$3:$J$38,2,0)</f>
        <v>17.53</v>
      </c>
      <c r="I526" s="6">
        <f>VLOOKUP($E526,Sheet3!$B$3:$G$54,5,0)</f>
        <v>124806</v>
      </c>
      <c r="J526" s="5">
        <f>VLOOKUP($E526,Sheet3!$B$3:$G$54,4,0)</f>
        <v>4.5</v>
      </c>
      <c r="K526" s="5">
        <f>VLOOKUP($E526,Sheet3!$B$3:$G$54,6,0)</f>
        <v>1.3</v>
      </c>
      <c r="L526">
        <v>100</v>
      </c>
      <c r="M526">
        <v>0</v>
      </c>
      <c r="N526">
        <v>18</v>
      </c>
      <c r="O526" s="14">
        <f t="shared" si="18"/>
        <v>0</v>
      </c>
    </row>
    <row r="527" spans="1:15" x14ac:dyDescent="0.3">
      <c r="A527" s="17" t="s">
        <v>46</v>
      </c>
      <c r="B527" s="12" t="s">
        <v>30</v>
      </c>
      <c r="C527" s="12" t="s">
        <v>32</v>
      </c>
      <c r="D527" s="6">
        <f t="shared" si="19"/>
        <v>14</v>
      </c>
      <c r="E527">
        <v>32</v>
      </c>
      <c r="F527" s="6">
        <f>VLOOKUP($E527,Sheet3!$B$3:$D$54,2,0)</f>
        <v>8</v>
      </c>
      <c r="G527" s="6">
        <f>VLOOKUP($E527,Sheet3!$B$3:$G$54,3,0)</f>
        <v>1</v>
      </c>
      <c r="H527" s="5">
        <f>VLOOKUP($A527,Sheet3!$I$3:$J$38,2,0)</f>
        <v>17.53</v>
      </c>
      <c r="I527" s="6">
        <f>VLOOKUP($E527,Sheet3!$B$3:$G$54,5,0)</f>
        <v>69121</v>
      </c>
      <c r="J527" s="5">
        <f>VLOOKUP($E527,Sheet3!$B$3:$G$54,4,0)</f>
        <v>4.5</v>
      </c>
      <c r="K527" s="5">
        <f>VLOOKUP($E527,Sheet3!$B$3:$G$54,6,0)</f>
        <v>1.1000000000000001</v>
      </c>
      <c r="L527">
        <v>0</v>
      </c>
      <c r="M527">
        <v>0</v>
      </c>
      <c r="N527">
        <v>18</v>
      </c>
      <c r="O527" s="14" t="e">
        <f t="shared" si="18"/>
        <v>#DIV/0!</v>
      </c>
    </row>
    <row r="528" spans="1:15" x14ac:dyDescent="0.3">
      <c r="A528" s="17" t="s">
        <v>46</v>
      </c>
      <c r="B528" s="12" t="s">
        <v>30</v>
      </c>
      <c r="C528" s="12" t="s">
        <v>32</v>
      </c>
      <c r="D528" s="6">
        <f t="shared" si="19"/>
        <v>15</v>
      </c>
      <c r="E528">
        <v>33</v>
      </c>
      <c r="F528" s="6">
        <f>VLOOKUP($E528,Sheet3!$B$3:$D$54,2,0)</f>
        <v>8</v>
      </c>
      <c r="G528" s="6">
        <f>VLOOKUP($E528,Sheet3!$B$3:$G$54,3,0)</f>
        <v>1</v>
      </c>
      <c r="H528" s="5">
        <f>VLOOKUP($A528,Sheet3!$I$3:$J$38,2,0)</f>
        <v>17.53</v>
      </c>
      <c r="I528" s="6">
        <f>VLOOKUP($E528,Sheet3!$B$3:$G$54,5,0)</f>
        <v>69121</v>
      </c>
      <c r="J528" s="5">
        <f>VLOOKUP($E528,Sheet3!$B$3:$G$54,4,0)</f>
        <v>4.5</v>
      </c>
      <c r="K528" s="5">
        <f>VLOOKUP($E528,Sheet3!$B$3:$G$54,6,0)</f>
        <v>1.1000000000000001</v>
      </c>
      <c r="L528">
        <v>1150</v>
      </c>
      <c r="M528">
        <v>696</v>
      </c>
      <c r="N528">
        <v>18</v>
      </c>
      <c r="O528" s="14">
        <f t="shared" si="18"/>
        <v>0.60521739130434782</v>
      </c>
    </row>
    <row r="529" spans="1:15" x14ac:dyDescent="0.3">
      <c r="A529" s="17" t="s">
        <v>46</v>
      </c>
      <c r="B529" s="12" t="s">
        <v>30</v>
      </c>
      <c r="C529" s="12" t="s">
        <v>32</v>
      </c>
      <c r="D529" s="6">
        <f t="shared" si="19"/>
        <v>16</v>
      </c>
      <c r="E529">
        <v>34</v>
      </c>
      <c r="F529" s="6">
        <f>VLOOKUP($E529,Sheet3!$B$3:$D$54,2,0)</f>
        <v>8</v>
      </c>
      <c r="G529" s="6">
        <f>VLOOKUP($E529,Sheet3!$B$3:$G$54,3,0)</f>
        <v>0</v>
      </c>
      <c r="H529" s="5">
        <f>VLOOKUP($A529,Sheet3!$I$3:$J$38,2,0)</f>
        <v>17.53</v>
      </c>
      <c r="I529" s="6">
        <f>VLOOKUP($E529,Sheet3!$B$3:$G$54,5,0)</f>
        <v>69121</v>
      </c>
      <c r="J529" s="5">
        <f>VLOOKUP($E529,Sheet3!$B$3:$G$54,4,0)</f>
        <v>4.5</v>
      </c>
      <c r="K529" s="5">
        <f>VLOOKUP($E529,Sheet3!$B$3:$G$54,6,0)</f>
        <v>1.1000000000000001</v>
      </c>
      <c r="L529">
        <v>1500</v>
      </c>
      <c r="M529">
        <v>1848</v>
      </c>
      <c r="N529">
        <v>18</v>
      </c>
      <c r="O529" s="14">
        <f t="shared" si="18"/>
        <v>1.232</v>
      </c>
    </row>
    <row r="530" spans="1:15" x14ac:dyDescent="0.3">
      <c r="A530" s="17" t="s">
        <v>46</v>
      </c>
      <c r="B530" s="12" t="s">
        <v>30</v>
      </c>
      <c r="C530" s="12" t="s">
        <v>32</v>
      </c>
      <c r="D530" s="6">
        <f t="shared" si="19"/>
        <v>14</v>
      </c>
      <c r="E530">
        <v>35</v>
      </c>
      <c r="F530" s="6">
        <f>VLOOKUP($E530,Sheet3!$B$3:$D$54,2,0)</f>
        <v>8</v>
      </c>
      <c r="G530" s="6">
        <f>VLOOKUP($E530,Sheet3!$B$3:$G$54,3,0)</f>
        <v>0</v>
      </c>
      <c r="H530" s="5">
        <f>VLOOKUP($A530,Sheet3!$I$3:$J$38,2,0)</f>
        <v>17.53</v>
      </c>
      <c r="I530" s="6">
        <f>VLOOKUP($E530,Sheet3!$B$3:$G$54,5,0)</f>
        <v>69121</v>
      </c>
      <c r="J530" s="5">
        <f>VLOOKUP($E530,Sheet3!$B$3:$G$54,4,0)</f>
        <v>4.5</v>
      </c>
      <c r="K530" s="5">
        <f>VLOOKUP($E530,Sheet3!$B$3:$G$54,6,0)</f>
        <v>1.1000000000000001</v>
      </c>
      <c r="L530">
        <v>1650</v>
      </c>
      <c r="M530">
        <v>1872</v>
      </c>
      <c r="N530">
        <v>21</v>
      </c>
      <c r="O530" s="14">
        <f t="shared" si="18"/>
        <v>1.1345454545454545</v>
      </c>
    </row>
    <row r="531" spans="1:15" x14ac:dyDescent="0.3">
      <c r="A531" s="17" t="s">
        <v>46</v>
      </c>
      <c r="B531" s="12" t="s">
        <v>30</v>
      </c>
      <c r="C531" s="12" t="s">
        <v>32</v>
      </c>
      <c r="D531" s="6">
        <f t="shared" si="19"/>
        <v>22</v>
      </c>
      <c r="E531">
        <v>36</v>
      </c>
      <c r="F531" s="6">
        <f>VLOOKUP($E531,Sheet3!$B$3:$D$54,2,0)</f>
        <v>9</v>
      </c>
      <c r="G531" s="6">
        <f>VLOOKUP($E531,Sheet3!$B$3:$G$54,3,0)</f>
        <v>0</v>
      </c>
      <c r="H531" s="5">
        <f>VLOOKUP($A531,Sheet3!$I$3:$J$38,2,0)</f>
        <v>17.53</v>
      </c>
      <c r="I531" s="6">
        <f>VLOOKUP($E531,Sheet3!$B$3:$G$54,5,0)</f>
        <v>121666</v>
      </c>
      <c r="J531" s="5">
        <f>VLOOKUP($E531,Sheet3!$B$3:$G$54,4,0)</f>
        <v>4.5</v>
      </c>
      <c r="K531" s="5">
        <f>VLOOKUP($E531,Sheet3!$B$3:$G$54,6,0)</f>
        <v>0.7</v>
      </c>
      <c r="L531">
        <v>1416</v>
      </c>
      <c r="M531">
        <v>1872</v>
      </c>
      <c r="N531">
        <v>14</v>
      </c>
      <c r="O531" s="14">
        <f t="shared" si="18"/>
        <v>1.3220338983050848</v>
      </c>
    </row>
    <row r="532" spans="1:15" x14ac:dyDescent="0.3">
      <c r="A532" s="17" t="s">
        <v>46</v>
      </c>
      <c r="B532" s="12" t="s">
        <v>30</v>
      </c>
      <c r="C532" s="12" t="s">
        <v>32</v>
      </c>
      <c r="D532" s="6">
        <f t="shared" si="19"/>
        <v>22</v>
      </c>
      <c r="E532">
        <v>37</v>
      </c>
      <c r="F532" s="6">
        <f>VLOOKUP($E532,Sheet3!$B$3:$D$54,2,0)</f>
        <v>9</v>
      </c>
      <c r="G532" s="6">
        <f>VLOOKUP($E532,Sheet3!$B$3:$G$54,3,0)</f>
        <v>0</v>
      </c>
      <c r="H532" s="5">
        <f>VLOOKUP($A532,Sheet3!$I$3:$J$38,2,0)</f>
        <v>17.53</v>
      </c>
      <c r="I532" s="6">
        <f>VLOOKUP($E532,Sheet3!$B$3:$G$54,5,0)</f>
        <v>121666</v>
      </c>
      <c r="J532" s="5">
        <f>VLOOKUP($E532,Sheet3!$B$3:$G$54,4,0)</f>
        <v>4.5</v>
      </c>
      <c r="K532" s="5">
        <f>VLOOKUP($E532,Sheet3!$B$3:$G$54,6,0)</f>
        <v>0.7</v>
      </c>
      <c r="L532">
        <v>1440</v>
      </c>
      <c r="M532">
        <v>1848</v>
      </c>
      <c r="N532">
        <v>15</v>
      </c>
      <c r="O532" s="14">
        <f t="shared" si="18"/>
        <v>1.2833333333333334</v>
      </c>
    </row>
    <row r="533" spans="1:15" x14ac:dyDescent="0.3">
      <c r="A533" s="17" t="s">
        <v>46</v>
      </c>
      <c r="B533" s="12" t="s">
        <v>30</v>
      </c>
      <c r="C533" s="12" t="s">
        <v>32</v>
      </c>
      <c r="D533" s="6">
        <f t="shared" si="19"/>
        <v>22</v>
      </c>
      <c r="E533">
        <v>38</v>
      </c>
      <c r="F533" s="6">
        <f>VLOOKUP($E533,Sheet3!$B$3:$D$54,2,0)</f>
        <v>9</v>
      </c>
      <c r="G533" s="6">
        <f>VLOOKUP($E533,Sheet3!$B$3:$G$54,3,0)</f>
        <v>0</v>
      </c>
      <c r="H533" s="5">
        <f>VLOOKUP($A533,Sheet3!$I$3:$J$38,2,0)</f>
        <v>17.53</v>
      </c>
      <c r="I533" s="6">
        <f>VLOOKUP($E533,Sheet3!$B$3:$G$54,5,0)</f>
        <v>121666</v>
      </c>
      <c r="J533" s="5">
        <f>VLOOKUP($E533,Sheet3!$B$3:$G$54,4,0)</f>
        <v>3.9</v>
      </c>
      <c r="K533" s="5">
        <f>VLOOKUP($E533,Sheet3!$B$3:$G$54,6,0)</f>
        <v>0.7</v>
      </c>
      <c r="L533">
        <v>1440</v>
      </c>
      <c r="M533">
        <v>2784</v>
      </c>
      <c r="N533">
        <v>16</v>
      </c>
      <c r="O533" s="14">
        <f t="shared" si="18"/>
        <v>1.9333333333333333</v>
      </c>
    </row>
    <row r="534" spans="1:15" x14ac:dyDescent="0.3">
      <c r="A534" s="17" t="s">
        <v>46</v>
      </c>
      <c r="B534" s="12" t="s">
        <v>30</v>
      </c>
      <c r="C534" s="12" t="s">
        <v>32</v>
      </c>
      <c r="D534" s="6">
        <f t="shared" si="19"/>
        <v>22</v>
      </c>
      <c r="E534">
        <v>39</v>
      </c>
      <c r="F534" s="6">
        <f>VLOOKUP($E534,Sheet3!$B$3:$D$54,2,0)</f>
        <v>9</v>
      </c>
      <c r="G534" s="6">
        <f>VLOOKUP($E534,Sheet3!$B$3:$G$54,3,0)</f>
        <v>0</v>
      </c>
      <c r="H534" s="5">
        <f>VLOOKUP($A534,Sheet3!$I$3:$J$38,2,0)</f>
        <v>17.53</v>
      </c>
      <c r="I534" s="6">
        <f>VLOOKUP($E534,Sheet3!$B$3:$G$54,5,0)</f>
        <v>121666</v>
      </c>
      <c r="J534" s="5">
        <f>VLOOKUP($E534,Sheet3!$B$3:$G$54,4,0)</f>
        <v>3.9</v>
      </c>
      <c r="K534" s="5">
        <f>VLOOKUP($E534,Sheet3!$B$3:$G$54,6,0)</f>
        <v>0.7</v>
      </c>
      <c r="L534">
        <v>1728</v>
      </c>
      <c r="M534">
        <v>1224</v>
      </c>
      <c r="N534">
        <v>17</v>
      </c>
      <c r="O534" s="14">
        <f t="shared" si="18"/>
        <v>0.70833333333333337</v>
      </c>
    </row>
    <row r="535" spans="1:15" x14ac:dyDescent="0.3">
      <c r="A535" s="17" t="s">
        <v>46</v>
      </c>
      <c r="B535" s="12" t="s">
        <v>30</v>
      </c>
      <c r="C535" s="12" t="s">
        <v>32</v>
      </c>
      <c r="D535" s="6">
        <f t="shared" si="19"/>
        <v>26</v>
      </c>
      <c r="E535">
        <v>40</v>
      </c>
      <c r="F535" s="6">
        <f>VLOOKUP($E535,Sheet3!$B$3:$D$54,2,0)</f>
        <v>9</v>
      </c>
      <c r="G535" s="6">
        <f>VLOOKUP($E535,Sheet3!$B$3:$G$54,3,0)</f>
        <v>0</v>
      </c>
      <c r="H535" s="5">
        <f>VLOOKUP($A535,Sheet3!$I$3:$J$38,2,0)</f>
        <v>17.53</v>
      </c>
      <c r="I535" s="6">
        <f>VLOOKUP($E535,Sheet3!$B$3:$G$54,5,0)</f>
        <v>121666</v>
      </c>
      <c r="J535" s="5">
        <f>VLOOKUP($E535,Sheet3!$B$3:$G$54,4,0)</f>
        <v>3.9</v>
      </c>
      <c r="K535" s="5">
        <f>VLOOKUP($E535,Sheet3!$B$3:$G$54,6,0)</f>
        <v>0.7</v>
      </c>
      <c r="L535">
        <v>1632</v>
      </c>
      <c r="M535">
        <v>792</v>
      </c>
      <c r="N535">
        <v>14</v>
      </c>
      <c r="O535" s="14">
        <f t="shared" si="18"/>
        <v>0.48529411764705882</v>
      </c>
    </row>
    <row r="536" spans="1:15" x14ac:dyDescent="0.3">
      <c r="A536" s="17" t="s">
        <v>46</v>
      </c>
      <c r="B536" s="12" t="s">
        <v>30</v>
      </c>
      <c r="C536" s="12" t="s">
        <v>32</v>
      </c>
      <c r="D536" s="6">
        <f t="shared" si="19"/>
        <v>26</v>
      </c>
      <c r="E536">
        <v>41</v>
      </c>
      <c r="F536" s="6">
        <f>VLOOKUP($E536,Sheet3!$B$3:$D$54,2,0)</f>
        <v>10</v>
      </c>
      <c r="G536" s="6">
        <f>VLOOKUP($E536,Sheet3!$B$3:$G$54,3,0)</f>
        <v>0</v>
      </c>
      <c r="H536" s="5">
        <f>VLOOKUP($A536,Sheet3!$I$3:$J$38,2,0)</f>
        <v>17.53</v>
      </c>
      <c r="I536" s="6">
        <f>VLOOKUP($E536,Sheet3!$B$3:$G$54,5,0)</f>
        <v>126488</v>
      </c>
      <c r="J536" s="5">
        <f>VLOOKUP($E536,Sheet3!$B$3:$G$54,4,0)</f>
        <v>3.9</v>
      </c>
      <c r="K536" s="5">
        <f>VLOOKUP($E536,Sheet3!$B$3:$G$54,6,0)</f>
        <v>0.9</v>
      </c>
      <c r="L536">
        <v>1776</v>
      </c>
      <c r="M536">
        <v>864</v>
      </c>
      <c r="N536">
        <v>15</v>
      </c>
      <c r="O536" s="14">
        <f t="shared" si="18"/>
        <v>0.48648648648648651</v>
      </c>
    </row>
    <row r="537" spans="1:15" x14ac:dyDescent="0.3">
      <c r="A537" s="17" t="s">
        <v>46</v>
      </c>
      <c r="B537" s="12" t="s">
        <v>30</v>
      </c>
      <c r="C537" s="12" t="s">
        <v>32</v>
      </c>
      <c r="D537" s="6">
        <f t="shared" si="19"/>
        <v>26</v>
      </c>
      <c r="E537">
        <v>42</v>
      </c>
      <c r="F537" s="6">
        <f>VLOOKUP($E537,Sheet3!$B$3:$D$54,2,0)</f>
        <v>10</v>
      </c>
      <c r="G537" s="6">
        <f>VLOOKUP($E537,Sheet3!$B$3:$G$54,3,0)</f>
        <v>0</v>
      </c>
      <c r="H537" s="5">
        <f>VLOOKUP($A537,Sheet3!$I$3:$J$38,2,0)</f>
        <v>17.53</v>
      </c>
      <c r="I537" s="6">
        <f>VLOOKUP($E537,Sheet3!$B$3:$G$54,5,0)</f>
        <v>126488</v>
      </c>
      <c r="J537" s="5">
        <f>VLOOKUP($E537,Sheet3!$B$3:$G$54,4,0)</f>
        <v>3.9</v>
      </c>
      <c r="K537" s="5">
        <f>VLOOKUP($E537,Sheet3!$B$3:$G$54,6,0)</f>
        <v>0.9</v>
      </c>
      <c r="L537">
        <v>1800</v>
      </c>
      <c r="M537">
        <v>984</v>
      </c>
      <c r="N537">
        <v>16</v>
      </c>
      <c r="O537" s="14">
        <f t="shared" si="18"/>
        <v>0.54666666666666663</v>
      </c>
    </row>
    <row r="538" spans="1:15" x14ac:dyDescent="0.3">
      <c r="A538" s="17" t="s">
        <v>46</v>
      </c>
      <c r="B538" s="12" t="s">
        <v>30</v>
      </c>
      <c r="C538" s="12" t="s">
        <v>32</v>
      </c>
      <c r="D538" s="6">
        <f t="shared" si="19"/>
        <v>26</v>
      </c>
      <c r="E538">
        <v>43</v>
      </c>
      <c r="F538" s="6">
        <f>VLOOKUP($E538,Sheet3!$B$3:$D$54,2,0)</f>
        <v>10</v>
      </c>
      <c r="G538" s="6">
        <f>VLOOKUP($E538,Sheet3!$B$3:$G$54,3,0)</f>
        <v>0</v>
      </c>
      <c r="H538" s="5">
        <f>VLOOKUP($A538,Sheet3!$I$3:$J$38,2,0)</f>
        <v>17.53</v>
      </c>
      <c r="I538" s="6">
        <f>VLOOKUP($E538,Sheet3!$B$3:$G$54,5,0)</f>
        <v>126488</v>
      </c>
      <c r="J538" s="5">
        <f>VLOOKUP($E538,Sheet3!$B$3:$G$54,4,0)</f>
        <v>3.65</v>
      </c>
      <c r="K538" s="5">
        <f>VLOOKUP($E538,Sheet3!$B$3:$G$54,6,0)</f>
        <v>0.9</v>
      </c>
      <c r="L538">
        <v>1368</v>
      </c>
      <c r="M538">
        <v>1512</v>
      </c>
      <c r="N538">
        <v>17</v>
      </c>
      <c r="O538" s="14">
        <f t="shared" si="18"/>
        <v>1.1052631578947369</v>
      </c>
    </row>
    <row r="539" spans="1:15" x14ac:dyDescent="0.3">
      <c r="A539" s="17" t="s">
        <v>46</v>
      </c>
      <c r="B539" s="12" t="s">
        <v>30</v>
      </c>
      <c r="C539" s="12" t="s">
        <v>32</v>
      </c>
      <c r="D539" s="6">
        <f t="shared" si="19"/>
        <v>26</v>
      </c>
      <c r="E539">
        <v>44</v>
      </c>
      <c r="F539" s="6">
        <f>VLOOKUP($E539,Sheet3!$B$3:$D$54,2,0)</f>
        <v>10</v>
      </c>
      <c r="G539" s="6">
        <f>VLOOKUP($E539,Sheet3!$B$3:$G$54,3,0)</f>
        <v>1</v>
      </c>
      <c r="H539" s="5">
        <f>VLOOKUP($A539,Sheet3!$I$3:$J$38,2,0)</f>
        <v>17.53</v>
      </c>
      <c r="I539" s="6">
        <f>VLOOKUP($E539,Sheet3!$B$3:$G$54,5,0)</f>
        <v>126488</v>
      </c>
      <c r="J539" s="5">
        <f>VLOOKUP($E539,Sheet3!$B$3:$G$54,4,0)</f>
        <v>3.65</v>
      </c>
      <c r="K539" s="5">
        <f>VLOOKUP($E539,Sheet3!$B$3:$G$54,6,0)</f>
        <v>0.9</v>
      </c>
      <c r="L539">
        <v>1008</v>
      </c>
      <c r="M539">
        <v>696</v>
      </c>
      <c r="N539">
        <v>18</v>
      </c>
      <c r="O539" s="14">
        <f t="shared" si="18"/>
        <v>0.69047619047619047</v>
      </c>
    </row>
    <row r="540" spans="1:15" x14ac:dyDescent="0.3">
      <c r="A540" s="17" t="s">
        <v>46</v>
      </c>
      <c r="B540" s="12" t="s">
        <v>30</v>
      </c>
      <c r="C540" s="12" t="s">
        <v>32</v>
      </c>
      <c r="D540" s="6">
        <f t="shared" si="19"/>
        <v>32</v>
      </c>
      <c r="E540">
        <v>45</v>
      </c>
      <c r="F540" s="6">
        <f>VLOOKUP($E540,Sheet3!$B$3:$D$54,2,0)</f>
        <v>11</v>
      </c>
      <c r="G540" s="6">
        <f>VLOOKUP($E540,Sheet3!$B$3:$G$54,3,0)</f>
        <v>0</v>
      </c>
      <c r="H540" s="5">
        <f>VLOOKUP($A540,Sheet3!$I$3:$J$38,2,0)</f>
        <v>17.53</v>
      </c>
      <c r="I540" s="6">
        <f>VLOOKUP($E540,Sheet3!$B$3:$G$54,5,0)</f>
        <v>124251</v>
      </c>
      <c r="J540" s="5">
        <f>VLOOKUP($E540,Sheet3!$B$3:$G$54,4,0)</f>
        <v>3.65</v>
      </c>
      <c r="K540" s="5">
        <f>VLOOKUP($E540,Sheet3!$B$3:$G$54,6,0)</f>
        <v>1.3</v>
      </c>
      <c r="L540">
        <v>1056</v>
      </c>
      <c r="M540">
        <v>840</v>
      </c>
      <c r="N540">
        <v>13</v>
      </c>
      <c r="O540" s="14">
        <f t="shared" si="18"/>
        <v>0.79545454545454541</v>
      </c>
    </row>
    <row r="541" spans="1:15" x14ac:dyDescent="0.3">
      <c r="A541" s="17" t="s">
        <v>46</v>
      </c>
      <c r="B541" s="12" t="s">
        <v>30</v>
      </c>
      <c r="C541" s="12" t="s">
        <v>32</v>
      </c>
      <c r="D541" s="6">
        <f t="shared" si="19"/>
        <v>32</v>
      </c>
      <c r="E541">
        <v>46</v>
      </c>
      <c r="F541" s="6">
        <f>VLOOKUP($E541,Sheet3!$B$3:$D$54,2,0)</f>
        <v>11</v>
      </c>
      <c r="G541" s="6">
        <f>VLOOKUP($E541,Sheet3!$B$3:$G$54,3,0)</f>
        <v>0</v>
      </c>
      <c r="H541" s="5">
        <f>VLOOKUP($A541,Sheet3!$I$3:$J$38,2,0)</f>
        <v>17.53</v>
      </c>
      <c r="I541" s="6">
        <f>VLOOKUP($E541,Sheet3!$B$3:$G$54,5,0)</f>
        <v>124251</v>
      </c>
      <c r="J541" s="5">
        <f>VLOOKUP($E541,Sheet3!$B$3:$G$54,4,0)</f>
        <v>3.65</v>
      </c>
      <c r="K541" s="5">
        <f>VLOOKUP($E541,Sheet3!$B$3:$G$54,6,0)</f>
        <v>1.3</v>
      </c>
      <c r="L541">
        <v>1488</v>
      </c>
      <c r="M541">
        <v>1344</v>
      </c>
      <c r="N541">
        <v>14</v>
      </c>
      <c r="O541" s="14">
        <f t="shared" si="18"/>
        <v>0.90322580645161288</v>
      </c>
    </row>
    <row r="542" spans="1:15" x14ac:dyDescent="0.3">
      <c r="A542" s="17" t="s">
        <v>46</v>
      </c>
      <c r="B542" s="12" t="s">
        <v>30</v>
      </c>
      <c r="C542" s="12" t="s">
        <v>32</v>
      </c>
      <c r="D542" s="6">
        <f t="shared" si="19"/>
        <v>32</v>
      </c>
      <c r="E542">
        <v>47</v>
      </c>
      <c r="F542" s="6">
        <f>VLOOKUP($E542,Sheet3!$B$3:$D$54,2,0)</f>
        <v>11</v>
      </c>
      <c r="G542" s="6">
        <f>VLOOKUP($E542,Sheet3!$B$3:$G$54,3,0)</f>
        <v>0</v>
      </c>
      <c r="H542" s="5">
        <f>VLOOKUP($A542,Sheet3!$I$3:$J$38,2,0)</f>
        <v>17.53</v>
      </c>
      <c r="I542" s="6">
        <f>VLOOKUP($E542,Sheet3!$B$3:$G$54,5,0)</f>
        <v>124251</v>
      </c>
      <c r="J542" s="5">
        <f>VLOOKUP($E542,Sheet3!$B$3:$G$54,4,0)</f>
        <v>3.65</v>
      </c>
      <c r="K542" s="5">
        <f>VLOOKUP($E542,Sheet3!$B$3:$G$54,6,0)</f>
        <v>1.3</v>
      </c>
      <c r="L542">
        <v>1512</v>
      </c>
      <c r="M542">
        <v>864</v>
      </c>
      <c r="N542">
        <v>15</v>
      </c>
      <c r="O542" s="14">
        <f t="shared" si="18"/>
        <v>0.5714285714285714</v>
      </c>
    </row>
    <row r="543" spans="1:15" x14ac:dyDescent="0.3">
      <c r="A543" s="17" t="s">
        <v>46</v>
      </c>
      <c r="B543" s="12" t="s">
        <v>30</v>
      </c>
      <c r="C543" s="12" t="s">
        <v>32</v>
      </c>
      <c r="D543" s="6">
        <f t="shared" si="19"/>
        <v>33</v>
      </c>
      <c r="E543">
        <v>48</v>
      </c>
      <c r="F543" s="6">
        <f>VLOOKUP($E543,Sheet3!$B$3:$D$54,2,0)</f>
        <v>11</v>
      </c>
      <c r="G543" s="6">
        <f>VLOOKUP($E543,Sheet3!$B$3:$G$54,3,0)</f>
        <v>0</v>
      </c>
      <c r="H543" s="5">
        <f>VLOOKUP($A543,Sheet3!$I$3:$J$38,2,0)</f>
        <v>17.53</v>
      </c>
      <c r="I543" s="6">
        <f>VLOOKUP($E543,Sheet3!$B$3:$G$54,5,0)</f>
        <v>124251</v>
      </c>
      <c r="J543" s="5">
        <f>VLOOKUP($E543,Sheet3!$B$3:$G$54,4,0)</f>
        <v>3.65</v>
      </c>
      <c r="K543" s="5">
        <f>VLOOKUP($E543,Sheet3!$B$3:$G$54,6,0)</f>
        <v>1.3</v>
      </c>
      <c r="L543">
        <v>1464</v>
      </c>
      <c r="M543">
        <v>1128</v>
      </c>
      <c r="N543">
        <v>15</v>
      </c>
      <c r="O543" s="14">
        <f t="shared" si="18"/>
        <v>0.77049180327868849</v>
      </c>
    </row>
    <row r="544" spans="1:15" x14ac:dyDescent="0.3">
      <c r="A544" s="17" t="s">
        <v>46</v>
      </c>
      <c r="B544" s="12" t="s">
        <v>30</v>
      </c>
      <c r="C544" s="12" t="s">
        <v>32</v>
      </c>
      <c r="D544" s="6">
        <f t="shared" si="19"/>
        <v>36</v>
      </c>
      <c r="E544">
        <v>49</v>
      </c>
      <c r="F544" s="6">
        <f>VLOOKUP($E544,Sheet3!$B$3:$D$54,2,0)</f>
        <v>12</v>
      </c>
      <c r="G544" s="6">
        <f>VLOOKUP($E544,Sheet3!$B$3:$G$54,3,0)</f>
        <v>1</v>
      </c>
      <c r="H544" s="5">
        <f>VLOOKUP($A544,Sheet3!$I$3:$J$38,2,0)</f>
        <v>17.53</v>
      </c>
      <c r="I544" s="6">
        <f>VLOOKUP($E544,Sheet3!$B$3:$G$54,5,0)</f>
        <v>105715</v>
      </c>
      <c r="J544" s="5">
        <f>VLOOKUP($E544,Sheet3!$B$3:$G$54,4,0)</f>
        <v>3.65</v>
      </c>
      <c r="K544" s="5">
        <f>VLOOKUP($E544,Sheet3!$B$3:$G$54,6,0)</f>
        <v>1.3</v>
      </c>
      <c r="L544">
        <v>1344</v>
      </c>
      <c r="M544">
        <v>1320</v>
      </c>
      <c r="N544">
        <v>13</v>
      </c>
      <c r="O544" s="14">
        <f t="shared" si="18"/>
        <v>0.9821428571428571</v>
      </c>
    </row>
    <row r="545" spans="1:15" x14ac:dyDescent="0.3">
      <c r="A545" s="17" t="s">
        <v>46</v>
      </c>
      <c r="B545" s="12" t="s">
        <v>30</v>
      </c>
      <c r="C545" s="12" t="s">
        <v>32</v>
      </c>
      <c r="D545" s="6">
        <f t="shared" si="19"/>
        <v>36</v>
      </c>
      <c r="E545">
        <v>50</v>
      </c>
      <c r="F545" s="6">
        <f>VLOOKUP($E545,Sheet3!$B$3:$D$54,2,0)</f>
        <v>12</v>
      </c>
      <c r="G545" s="6">
        <f>VLOOKUP($E545,Sheet3!$B$3:$G$54,3,0)</f>
        <v>0</v>
      </c>
      <c r="H545" s="5">
        <f>VLOOKUP($A545,Sheet3!$I$3:$J$38,2,0)</f>
        <v>17.53</v>
      </c>
      <c r="I545" s="6">
        <f>VLOOKUP($E545,Sheet3!$B$3:$G$54,5,0)</f>
        <v>105715</v>
      </c>
      <c r="J545" s="5">
        <f>VLOOKUP($E545,Sheet3!$B$3:$G$54,4,0)</f>
        <v>3.4</v>
      </c>
      <c r="K545" s="5">
        <f>VLOOKUP($E545,Sheet3!$B$3:$G$54,6,0)</f>
        <v>1.3</v>
      </c>
      <c r="L545">
        <v>1488</v>
      </c>
      <c r="M545">
        <v>1752</v>
      </c>
      <c r="N545">
        <v>14</v>
      </c>
      <c r="O545" s="14">
        <f t="shared" si="18"/>
        <v>1.1774193548387097</v>
      </c>
    </row>
    <row r="546" spans="1:15" x14ac:dyDescent="0.3">
      <c r="A546" s="17" t="s">
        <v>46</v>
      </c>
      <c r="B546" s="12" t="s">
        <v>30</v>
      </c>
      <c r="C546" s="12" t="s">
        <v>32</v>
      </c>
      <c r="D546" s="6">
        <f t="shared" si="19"/>
        <v>36</v>
      </c>
      <c r="E546">
        <v>51</v>
      </c>
      <c r="F546" s="6">
        <f>VLOOKUP($E546,Sheet3!$B$3:$D$54,2,0)</f>
        <v>12</v>
      </c>
      <c r="G546" s="6">
        <f>VLOOKUP($E546,Sheet3!$B$3:$G$54,3,0)</f>
        <v>0</v>
      </c>
      <c r="H546" s="5">
        <f>VLOOKUP($A546,Sheet3!$I$3:$J$38,2,0)</f>
        <v>17.53</v>
      </c>
      <c r="I546" s="6">
        <f>VLOOKUP($E546,Sheet3!$B$3:$G$54,5,0)</f>
        <v>105715</v>
      </c>
      <c r="J546" s="5">
        <f>VLOOKUP($E546,Sheet3!$B$3:$G$54,4,0)</f>
        <v>3.4</v>
      </c>
      <c r="K546" s="5">
        <f>VLOOKUP($E546,Sheet3!$B$3:$G$54,6,0)</f>
        <v>1.3</v>
      </c>
      <c r="L546">
        <v>1440</v>
      </c>
      <c r="M546">
        <v>216</v>
      </c>
      <c r="N546">
        <v>15</v>
      </c>
      <c r="O546" s="14">
        <f t="shared" si="18"/>
        <v>0.15</v>
      </c>
    </row>
    <row r="547" spans="1:15" x14ac:dyDescent="0.3">
      <c r="A547" s="17" t="s">
        <v>46</v>
      </c>
      <c r="B547" s="12" t="s">
        <v>30</v>
      </c>
      <c r="C547" s="12" t="s">
        <v>32</v>
      </c>
      <c r="D547" s="6">
        <f t="shared" si="19"/>
        <v>37</v>
      </c>
      <c r="E547">
        <v>52</v>
      </c>
      <c r="F547" s="6">
        <f>VLOOKUP($E547,Sheet3!$B$3:$D$54,2,0)</f>
        <v>12</v>
      </c>
      <c r="G547" s="6">
        <f>VLOOKUP($E547,Sheet3!$B$3:$G$54,3,0)</f>
        <v>1</v>
      </c>
      <c r="H547" s="5">
        <f>VLOOKUP($A547,Sheet3!$I$3:$J$38,2,0)</f>
        <v>17.53</v>
      </c>
      <c r="I547" s="6">
        <f>VLOOKUP($E547,Sheet3!$B$3:$G$54,5,0)</f>
        <v>105715</v>
      </c>
      <c r="J547" s="5">
        <f>VLOOKUP($E547,Sheet3!$B$3:$G$54,4,0)</f>
        <v>3.4</v>
      </c>
      <c r="K547" s="5">
        <f>VLOOKUP($E547,Sheet3!$B$3:$G$54,6,0)</f>
        <v>1.3</v>
      </c>
      <c r="L547">
        <v>0</v>
      </c>
      <c r="M547">
        <v>0</v>
      </c>
      <c r="N547">
        <v>15</v>
      </c>
      <c r="O547" s="14" t="e">
        <f t="shared" si="18"/>
        <v>#DIV/0!</v>
      </c>
    </row>
    <row r="548" spans="1:15" x14ac:dyDescent="0.3">
      <c r="A548" s="17" t="s">
        <v>46</v>
      </c>
      <c r="B548" s="12" t="s">
        <v>30</v>
      </c>
      <c r="C548" s="12" t="s">
        <v>32</v>
      </c>
      <c r="D548" s="6">
        <f t="shared" si="19"/>
        <v>41</v>
      </c>
      <c r="E548">
        <v>1</v>
      </c>
      <c r="F548" s="6">
        <f>VLOOKUP($E548,Sheet3!$B$3:$D$54,2,0)</f>
        <v>12</v>
      </c>
      <c r="G548" s="6">
        <f>VLOOKUP($E548,Sheet3!$B$3:$G$54,3,0)</f>
        <v>1</v>
      </c>
      <c r="H548" s="5">
        <f>VLOOKUP($A548,Sheet3!$I$3:$J$38,2,0)</f>
        <v>17.53</v>
      </c>
      <c r="I548" s="6">
        <f>VLOOKUP($E548,Sheet3!$B$3:$G$54,5,0)</f>
        <v>105715</v>
      </c>
      <c r="J548" s="5">
        <f>VLOOKUP($E548,Sheet3!$B$3:$G$54,4,0)</f>
        <v>3.4</v>
      </c>
      <c r="K548" s="5">
        <f>VLOOKUP($E548,Sheet3!$B$3:$G$54,6,0)</f>
        <v>1.3</v>
      </c>
      <c r="L548">
        <v>288</v>
      </c>
      <c r="M548">
        <v>0</v>
      </c>
      <c r="N548">
        <v>12</v>
      </c>
      <c r="O548" s="14">
        <f t="shared" si="18"/>
        <v>0</v>
      </c>
    </row>
    <row r="549" spans="1:15" x14ac:dyDescent="0.3">
      <c r="A549" s="17" t="s">
        <v>46</v>
      </c>
      <c r="B549" s="12" t="s">
        <v>30</v>
      </c>
      <c r="C549" s="12" t="s">
        <v>32</v>
      </c>
      <c r="D549" s="6">
        <f t="shared" si="19"/>
        <v>41</v>
      </c>
      <c r="E549">
        <v>2</v>
      </c>
      <c r="F549" s="6">
        <f>VLOOKUP($E549,Sheet3!$B$3:$D$54,2,0)</f>
        <v>1</v>
      </c>
      <c r="G549" s="6">
        <f>VLOOKUP($E549,Sheet3!$B$3:$G$54,3,0)</f>
        <v>1</v>
      </c>
      <c r="H549" s="5">
        <f>VLOOKUP($A549,Sheet3!$I$3:$J$38,2,0)</f>
        <v>17.53</v>
      </c>
      <c r="I549" s="6">
        <f>VLOOKUP($E549,Sheet3!$B$3:$G$54,5,0)</f>
        <v>133692</v>
      </c>
      <c r="J549" s="5">
        <f>VLOOKUP($E549,Sheet3!$B$3:$G$54,4,0)</f>
        <v>3.4</v>
      </c>
      <c r="K549" s="5">
        <f>VLOOKUP($E549,Sheet3!$B$3:$G$54,6,0)</f>
        <v>1.5</v>
      </c>
      <c r="L549">
        <v>672</v>
      </c>
      <c r="M549">
        <v>456</v>
      </c>
      <c r="N549">
        <v>13</v>
      </c>
      <c r="O549" s="14">
        <f t="shared" si="18"/>
        <v>0.6785714285714286</v>
      </c>
    </row>
    <row r="550" spans="1:15" x14ac:dyDescent="0.3">
      <c r="A550" s="17" t="s">
        <v>46</v>
      </c>
      <c r="B550" s="12" t="s">
        <v>30</v>
      </c>
      <c r="C550" s="12" t="s">
        <v>32</v>
      </c>
      <c r="D550" s="6">
        <f t="shared" si="19"/>
        <v>41</v>
      </c>
      <c r="E550">
        <v>3</v>
      </c>
      <c r="F550" s="6">
        <f>VLOOKUP($E550,Sheet3!$B$3:$D$54,2,0)</f>
        <v>1</v>
      </c>
      <c r="G550" s="6">
        <f>VLOOKUP($E550,Sheet3!$B$3:$G$54,3,0)</f>
        <v>0</v>
      </c>
      <c r="H550" s="5">
        <f>VLOOKUP($A550,Sheet3!$I$3:$J$38,2,0)</f>
        <v>17.53</v>
      </c>
      <c r="I550" s="6">
        <f>VLOOKUP($E550,Sheet3!$B$3:$G$54,5,0)</f>
        <v>133692</v>
      </c>
      <c r="J550" s="5">
        <f>VLOOKUP($E550,Sheet3!$B$3:$G$54,4,0)</f>
        <v>3.4</v>
      </c>
      <c r="K550" s="5">
        <f>VLOOKUP($E550,Sheet3!$B$3:$G$54,6,0)</f>
        <v>1.5</v>
      </c>
      <c r="L550">
        <v>696</v>
      </c>
      <c r="M550">
        <v>1224</v>
      </c>
      <c r="N550">
        <v>14</v>
      </c>
      <c r="O550" s="14">
        <f t="shared" si="18"/>
        <v>1.7586206896551724</v>
      </c>
    </row>
    <row r="551" spans="1:15" x14ac:dyDescent="0.3">
      <c r="A551" s="17" t="s">
        <v>46</v>
      </c>
      <c r="B551" s="12" t="s">
        <v>30</v>
      </c>
      <c r="C551" s="12" t="s">
        <v>32</v>
      </c>
      <c r="D551" s="6">
        <f t="shared" si="19"/>
        <v>41</v>
      </c>
      <c r="E551">
        <v>4</v>
      </c>
      <c r="F551" s="6">
        <f>VLOOKUP($E551,Sheet3!$B$3:$D$54,2,0)</f>
        <v>1</v>
      </c>
      <c r="G551" s="6">
        <f>VLOOKUP($E551,Sheet3!$B$3:$G$54,3,0)</f>
        <v>0</v>
      </c>
      <c r="H551" s="5">
        <f>VLOOKUP($A551,Sheet3!$I$3:$J$38,2,0)</f>
        <v>17.53</v>
      </c>
      <c r="I551" s="6">
        <f>VLOOKUP($E551,Sheet3!$B$3:$G$54,5,0)</f>
        <v>133692</v>
      </c>
      <c r="J551" s="5">
        <f>VLOOKUP($E551,Sheet3!$B$3:$G$54,4,0)</f>
        <v>3.4</v>
      </c>
      <c r="K551" s="5">
        <f>VLOOKUP($E551,Sheet3!$B$3:$G$54,6,0)</f>
        <v>1.5</v>
      </c>
      <c r="L551">
        <v>744</v>
      </c>
      <c r="M551">
        <v>1344</v>
      </c>
      <c r="N551">
        <v>15</v>
      </c>
      <c r="O551" s="14">
        <f t="shared" si="18"/>
        <v>1.8064516129032258</v>
      </c>
    </row>
    <row r="552" spans="1:15" x14ac:dyDescent="0.3">
      <c r="A552" s="17" t="s">
        <v>46</v>
      </c>
      <c r="B552" s="12" t="s">
        <v>30</v>
      </c>
      <c r="C552" s="12" t="s">
        <v>32</v>
      </c>
      <c r="D552" s="6">
        <f t="shared" si="19"/>
        <v>41</v>
      </c>
      <c r="E552">
        <v>5</v>
      </c>
      <c r="F552" s="6">
        <f>VLOOKUP($E552,Sheet3!$B$3:$D$54,2,0)</f>
        <v>1</v>
      </c>
      <c r="G552" s="6">
        <f>VLOOKUP($E552,Sheet3!$B$3:$G$54,3,0)</f>
        <v>0</v>
      </c>
      <c r="H552" s="5">
        <f>VLOOKUP($A552,Sheet3!$I$3:$J$38,2,0)</f>
        <v>17.53</v>
      </c>
      <c r="I552" s="6">
        <f>VLOOKUP($E552,Sheet3!$B$3:$G$54,5,0)</f>
        <v>133692</v>
      </c>
      <c r="J552" s="5">
        <f>VLOOKUP($E552,Sheet3!$B$3:$G$54,4,0)</f>
        <v>3.4</v>
      </c>
      <c r="K552" s="5">
        <f>VLOOKUP($E552,Sheet3!$B$3:$G$54,6,0)</f>
        <v>1.5</v>
      </c>
      <c r="L552">
        <v>816</v>
      </c>
      <c r="M552">
        <v>1392</v>
      </c>
      <c r="N552">
        <v>16</v>
      </c>
      <c r="O552" s="14">
        <f t="shared" si="18"/>
        <v>1.7058823529411764</v>
      </c>
    </row>
    <row r="553" spans="1:15" x14ac:dyDescent="0.3">
      <c r="A553" s="17" t="s">
        <v>46</v>
      </c>
      <c r="B553" s="12" t="s">
        <v>30</v>
      </c>
      <c r="C553" s="12" t="s">
        <v>32</v>
      </c>
      <c r="D553" s="6">
        <f t="shared" si="19"/>
        <v>45</v>
      </c>
      <c r="E553">
        <v>6</v>
      </c>
      <c r="F553" s="6">
        <f>VLOOKUP($E553,Sheet3!$B$3:$D$54,2,0)</f>
        <v>2</v>
      </c>
      <c r="G553" s="6">
        <f>VLOOKUP($E553,Sheet3!$B$3:$G$54,3,0)</f>
        <v>0</v>
      </c>
      <c r="H553" s="5">
        <f>VLOOKUP($A553,Sheet3!$I$3:$J$38,2,0)</f>
        <v>17.53</v>
      </c>
      <c r="I553" s="6">
        <f>VLOOKUP($E553,Sheet3!$B$3:$G$54,5,0)</f>
        <v>137922</v>
      </c>
      <c r="J553" s="5">
        <f>VLOOKUP($E553,Sheet3!$B$3:$G$54,4,0)</f>
        <v>3.15</v>
      </c>
      <c r="K553" s="5">
        <f>VLOOKUP($E553,Sheet3!$B$3:$G$54,6,0)</f>
        <v>1.6</v>
      </c>
      <c r="L553">
        <v>1080</v>
      </c>
      <c r="M553">
        <v>1464</v>
      </c>
      <c r="N553">
        <v>13</v>
      </c>
      <c r="O553" s="14">
        <f t="shared" si="18"/>
        <v>1.3555555555555556</v>
      </c>
    </row>
    <row r="554" spans="1:15" x14ac:dyDescent="0.3">
      <c r="A554" s="17" t="s">
        <v>46</v>
      </c>
      <c r="B554" s="12" t="s">
        <v>30</v>
      </c>
      <c r="C554" s="12" t="s">
        <v>32</v>
      </c>
      <c r="D554" s="6">
        <f t="shared" si="19"/>
        <v>45</v>
      </c>
      <c r="E554">
        <v>7</v>
      </c>
      <c r="F554" s="6">
        <f>VLOOKUP($E554,Sheet3!$B$3:$D$54,2,0)</f>
        <v>2</v>
      </c>
      <c r="G554" s="6">
        <f>VLOOKUP($E554,Sheet3!$B$3:$G$54,3,0)</f>
        <v>0</v>
      </c>
      <c r="H554" s="5">
        <f>VLOOKUP($A554,Sheet3!$I$3:$J$38,2,0)</f>
        <v>17.53</v>
      </c>
      <c r="I554" s="6">
        <f>VLOOKUP($E554,Sheet3!$B$3:$G$54,5,0)</f>
        <v>137922</v>
      </c>
      <c r="J554" s="5">
        <f>VLOOKUP($E554,Sheet3!$B$3:$G$54,4,0)</f>
        <v>3.15</v>
      </c>
      <c r="K554" s="5">
        <f>VLOOKUP($E554,Sheet3!$B$3:$G$54,6,0)</f>
        <v>1.6</v>
      </c>
      <c r="L554">
        <v>960</v>
      </c>
      <c r="M554">
        <v>1416</v>
      </c>
      <c r="N554">
        <v>14</v>
      </c>
      <c r="O554" s="14">
        <f t="shared" si="18"/>
        <v>1.4750000000000001</v>
      </c>
    </row>
    <row r="555" spans="1:15" x14ac:dyDescent="0.3">
      <c r="A555" s="17" t="s">
        <v>46</v>
      </c>
      <c r="B555" s="12" t="s">
        <v>30</v>
      </c>
      <c r="C555" s="12" t="s">
        <v>32</v>
      </c>
      <c r="D555" s="6">
        <f t="shared" si="19"/>
        <v>45</v>
      </c>
      <c r="E555">
        <v>8</v>
      </c>
      <c r="F555" s="6">
        <f>VLOOKUP($E555,Sheet3!$B$3:$D$54,2,0)</f>
        <v>2</v>
      </c>
      <c r="G555" s="6">
        <f>VLOOKUP($E555,Sheet3!$B$3:$G$54,3,0)</f>
        <v>0</v>
      </c>
      <c r="H555" s="5">
        <f>VLOOKUP($A555,Sheet3!$I$3:$J$38,2,0)</f>
        <v>17.53</v>
      </c>
      <c r="I555" s="6">
        <f>VLOOKUP($E555,Sheet3!$B$3:$G$54,5,0)</f>
        <v>137922</v>
      </c>
      <c r="J555" s="5">
        <f>VLOOKUP($E555,Sheet3!$B$3:$G$54,4,0)</f>
        <v>3.15</v>
      </c>
      <c r="K555" s="5">
        <f>VLOOKUP($E555,Sheet3!$B$3:$G$54,6,0)</f>
        <v>1.6</v>
      </c>
      <c r="L555">
        <v>1008</v>
      </c>
      <c r="M555">
        <v>1080</v>
      </c>
      <c r="N555">
        <v>15</v>
      </c>
      <c r="O555" s="14">
        <f t="shared" si="18"/>
        <v>1.0714285714285714</v>
      </c>
    </row>
    <row r="556" spans="1:15" x14ac:dyDescent="0.3">
      <c r="A556" s="17" t="s">
        <v>46</v>
      </c>
      <c r="B556" s="12" t="s">
        <v>30</v>
      </c>
      <c r="C556" s="12" t="s">
        <v>32</v>
      </c>
      <c r="D556" s="6">
        <f t="shared" si="19"/>
        <v>45</v>
      </c>
      <c r="E556">
        <v>9</v>
      </c>
      <c r="F556" s="6">
        <f>VLOOKUP($E556,Sheet3!$B$3:$D$54,2,0)</f>
        <v>2</v>
      </c>
      <c r="G556" s="6">
        <f>VLOOKUP($E556,Sheet3!$B$3:$G$54,3,0)</f>
        <v>0</v>
      </c>
      <c r="H556" s="5">
        <f>VLOOKUP($A556,Sheet3!$I$3:$J$38,2,0)</f>
        <v>17.53</v>
      </c>
      <c r="I556" s="6">
        <f>VLOOKUP($E556,Sheet3!$B$3:$G$54,5,0)</f>
        <v>137922</v>
      </c>
      <c r="J556" s="5">
        <f>VLOOKUP($E556,Sheet3!$B$3:$G$54,4,0)</f>
        <v>3.15</v>
      </c>
      <c r="K556" s="5">
        <f>VLOOKUP($E556,Sheet3!$B$3:$G$54,6,0)</f>
        <v>1.6</v>
      </c>
      <c r="L556">
        <v>1104</v>
      </c>
      <c r="M556">
        <v>1392</v>
      </c>
      <c r="N556">
        <v>16</v>
      </c>
      <c r="O556" s="14">
        <f t="shared" si="18"/>
        <v>1.2608695652173914</v>
      </c>
    </row>
    <row r="557" spans="1:15" x14ac:dyDescent="0.3">
      <c r="A557" s="17" t="s">
        <v>46</v>
      </c>
      <c r="B557" s="12" t="s">
        <v>30</v>
      </c>
      <c r="C557" s="12" t="s">
        <v>32</v>
      </c>
      <c r="D557" s="6">
        <f t="shared" si="19"/>
        <v>50</v>
      </c>
      <c r="E557">
        <v>10</v>
      </c>
      <c r="F557" s="6">
        <f>VLOOKUP($E557,Sheet3!$B$3:$D$54,2,0)</f>
        <v>3</v>
      </c>
      <c r="G557" s="6">
        <f>VLOOKUP($E557,Sheet3!$B$3:$G$54,3,0)</f>
        <v>0</v>
      </c>
      <c r="H557" s="5">
        <f>VLOOKUP($A557,Sheet3!$I$3:$J$38,2,0)</f>
        <v>17.53</v>
      </c>
      <c r="I557" s="6">
        <f>VLOOKUP($E557,Sheet3!$B$3:$G$54,5,0)</f>
        <v>172223</v>
      </c>
      <c r="J557" s="5">
        <f>VLOOKUP($E557,Sheet3!$B$3:$G$54,4,0)</f>
        <v>3.15</v>
      </c>
      <c r="K557" s="5">
        <f>VLOOKUP($E557,Sheet3!$B$3:$G$54,6,0)</f>
        <v>1.9</v>
      </c>
      <c r="L557">
        <v>888</v>
      </c>
      <c r="M557">
        <v>744</v>
      </c>
      <c r="N557">
        <v>12</v>
      </c>
      <c r="O557" s="14">
        <f t="shared" si="18"/>
        <v>0.83783783783783783</v>
      </c>
    </row>
    <row r="558" spans="1:15" x14ac:dyDescent="0.3">
      <c r="A558" s="17" t="s">
        <v>46</v>
      </c>
      <c r="B558" s="12" t="s">
        <v>30</v>
      </c>
      <c r="C558" s="12" t="s">
        <v>32</v>
      </c>
      <c r="D558" s="6">
        <f t="shared" si="19"/>
        <v>50</v>
      </c>
      <c r="E558">
        <v>11</v>
      </c>
      <c r="F558" s="6">
        <f>VLOOKUP($E558,Sheet3!$B$3:$D$54,2,0)</f>
        <v>3</v>
      </c>
      <c r="G558" s="6">
        <f>VLOOKUP($E558,Sheet3!$B$3:$G$54,3,0)</f>
        <v>0</v>
      </c>
      <c r="H558" s="5">
        <f>VLOOKUP($A558,Sheet3!$I$3:$J$38,2,0)</f>
        <v>17.53</v>
      </c>
      <c r="I558" s="6">
        <f>VLOOKUP($E558,Sheet3!$B$3:$G$54,5,0)</f>
        <v>172223</v>
      </c>
      <c r="J558" s="5">
        <f>VLOOKUP($E558,Sheet3!$B$3:$G$54,4,0)</f>
        <v>2.9</v>
      </c>
      <c r="K558" s="5">
        <f>VLOOKUP($E558,Sheet3!$B$3:$G$54,6,0)</f>
        <v>1.9</v>
      </c>
      <c r="L558">
        <v>888</v>
      </c>
      <c r="M558">
        <v>1464</v>
      </c>
      <c r="N558">
        <v>13</v>
      </c>
      <c r="O558" s="14">
        <f t="shared" si="18"/>
        <v>1.6486486486486487</v>
      </c>
    </row>
    <row r="559" spans="1:15" x14ac:dyDescent="0.3">
      <c r="A559" s="17" t="s">
        <v>46</v>
      </c>
      <c r="B559" s="12" t="s">
        <v>30</v>
      </c>
      <c r="C559" s="12" t="s">
        <v>32</v>
      </c>
      <c r="D559" s="6">
        <f t="shared" si="19"/>
        <v>50</v>
      </c>
      <c r="E559">
        <v>12</v>
      </c>
      <c r="F559" s="6">
        <f>VLOOKUP($E559,Sheet3!$B$3:$D$54,2,0)</f>
        <v>3</v>
      </c>
      <c r="G559" s="6">
        <f>VLOOKUP($E559,Sheet3!$B$3:$G$54,3,0)</f>
        <v>0</v>
      </c>
      <c r="H559" s="5">
        <f>VLOOKUP($A559,Sheet3!$I$3:$J$38,2,0)</f>
        <v>17.53</v>
      </c>
      <c r="I559" s="6">
        <f>VLOOKUP($E559,Sheet3!$B$3:$G$54,5,0)</f>
        <v>172223</v>
      </c>
      <c r="J559" s="5">
        <f>VLOOKUP($E559,Sheet3!$B$3:$G$54,4,0)</f>
        <v>2.9</v>
      </c>
      <c r="K559" s="5">
        <f>VLOOKUP($E559,Sheet3!$B$3:$G$54,6,0)</f>
        <v>1.9</v>
      </c>
      <c r="L559">
        <v>1032</v>
      </c>
      <c r="M559">
        <v>1008</v>
      </c>
      <c r="N559">
        <v>14</v>
      </c>
      <c r="O559" s="14">
        <f t="shared" si="18"/>
        <v>0.97674418604651159</v>
      </c>
    </row>
    <row r="560" spans="1:15" x14ac:dyDescent="0.3">
      <c r="A560" s="17" t="s">
        <v>46</v>
      </c>
      <c r="B560" s="12" t="s">
        <v>30</v>
      </c>
      <c r="C560" s="12" t="s">
        <v>32</v>
      </c>
      <c r="D560" s="6">
        <f t="shared" si="19"/>
        <v>50</v>
      </c>
      <c r="E560">
        <v>13</v>
      </c>
      <c r="F560" s="6">
        <f>VLOOKUP($E560,Sheet3!$B$3:$D$54,2,0)</f>
        <v>3</v>
      </c>
      <c r="G560" s="6">
        <f>VLOOKUP($E560,Sheet3!$B$3:$G$54,3,0)</f>
        <v>0</v>
      </c>
      <c r="H560" s="5">
        <f>VLOOKUP($A560,Sheet3!$I$3:$J$38,2,0)</f>
        <v>17.53</v>
      </c>
      <c r="I560" s="6">
        <f>VLOOKUP($E560,Sheet3!$B$3:$G$54,5,0)</f>
        <v>172223</v>
      </c>
      <c r="J560" s="5">
        <f>VLOOKUP($E560,Sheet3!$B$3:$G$54,4,0)</f>
        <v>2.9</v>
      </c>
      <c r="K560" s="5">
        <f>VLOOKUP($E560,Sheet3!$B$3:$G$54,6,0)</f>
        <v>1.9</v>
      </c>
      <c r="L560">
        <v>936</v>
      </c>
      <c r="M560">
        <v>888</v>
      </c>
      <c r="N560">
        <v>15</v>
      </c>
      <c r="O560" s="14">
        <f t="shared" si="18"/>
        <v>0.94871794871794868</v>
      </c>
    </row>
    <row r="561" spans="1:15" x14ac:dyDescent="0.3">
      <c r="A561" s="17" t="s">
        <v>46</v>
      </c>
      <c r="B561" s="12" t="s">
        <v>30</v>
      </c>
      <c r="C561" s="12" t="s">
        <v>32</v>
      </c>
      <c r="D561" s="6">
        <f t="shared" si="19"/>
        <v>50</v>
      </c>
      <c r="E561">
        <v>14</v>
      </c>
      <c r="F561" s="6">
        <f>VLOOKUP($E561,Sheet3!$B$3:$D$54,2,0)</f>
        <v>3</v>
      </c>
      <c r="G561" s="6">
        <f>VLOOKUP($E561,Sheet3!$B$3:$G$54,3,0)</f>
        <v>0</v>
      </c>
      <c r="H561" s="5">
        <f>VLOOKUP($A561,Sheet3!$I$3:$J$38,2,0)</f>
        <v>17.53</v>
      </c>
      <c r="I561" s="6">
        <f>VLOOKUP($E561,Sheet3!$B$3:$G$54,5,0)</f>
        <v>172223</v>
      </c>
      <c r="J561" s="5">
        <f>VLOOKUP($E561,Sheet3!$B$3:$G$54,4,0)</f>
        <v>2.9</v>
      </c>
      <c r="K561" s="5">
        <f>VLOOKUP($E561,Sheet3!$B$3:$G$54,6,0)</f>
        <v>1.9</v>
      </c>
      <c r="L561">
        <v>912</v>
      </c>
      <c r="M561">
        <v>816</v>
      </c>
      <c r="N561">
        <v>16</v>
      </c>
      <c r="O561" s="14">
        <f t="shared" si="18"/>
        <v>0.89473684210526316</v>
      </c>
    </row>
    <row r="562" spans="1:15" x14ac:dyDescent="0.3">
      <c r="A562" s="17" t="s">
        <v>46</v>
      </c>
      <c r="B562" s="12" t="s">
        <v>30</v>
      </c>
      <c r="C562" s="12" t="s">
        <v>32</v>
      </c>
      <c r="D562" s="6">
        <f t="shared" si="19"/>
        <v>3</v>
      </c>
      <c r="E562">
        <v>15</v>
      </c>
      <c r="F562" s="6">
        <f>VLOOKUP($E562,Sheet3!$B$3:$D$54,2,0)</f>
        <v>4</v>
      </c>
      <c r="G562" s="6">
        <f>VLOOKUP($E562,Sheet3!$B$3:$G$54,3,0)</f>
        <v>0</v>
      </c>
      <c r="H562" s="5">
        <f>VLOOKUP($A562,Sheet3!$I$3:$J$38,2,0)</f>
        <v>17.53</v>
      </c>
      <c r="I562" s="6">
        <f>VLOOKUP($E562,Sheet3!$B$3:$G$54,5,0)</f>
        <v>139084</v>
      </c>
      <c r="J562" s="5">
        <f>VLOOKUP($E562,Sheet3!$B$3:$G$54,4,0)</f>
        <v>2.9</v>
      </c>
      <c r="K562" s="5">
        <f>VLOOKUP($E562,Sheet3!$B$3:$G$54,6,0)</f>
        <v>1.9</v>
      </c>
      <c r="L562">
        <v>1248</v>
      </c>
      <c r="M562">
        <v>1080</v>
      </c>
      <c r="N562">
        <v>12</v>
      </c>
      <c r="O562" s="14">
        <f t="shared" si="18"/>
        <v>0.86538461538461542</v>
      </c>
    </row>
    <row r="563" spans="1:15" x14ac:dyDescent="0.3">
      <c r="A563" s="17" t="s">
        <v>46</v>
      </c>
      <c r="B563" s="12" t="s">
        <v>30</v>
      </c>
      <c r="C563" s="12" t="s">
        <v>32</v>
      </c>
      <c r="D563" s="6">
        <f t="shared" si="19"/>
        <v>3</v>
      </c>
      <c r="E563">
        <v>16</v>
      </c>
      <c r="F563" s="6">
        <f>VLOOKUP($E563,Sheet3!$B$3:$D$54,2,0)</f>
        <v>4</v>
      </c>
      <c r="G563" s="6">
        <f>VLOOKUP($E563,Sheet3!$B$3:$G$54,3,0)</f>
        <v>0</v>
      </c>
      <c r="H563" s="5">
        <f>VLOOKUP($A563,Sheet3!$I$3:$J$38,2,0)</f>
        <v>17.53</v>
      </c>
      <c r="I563" s="6">
        <f>VLOOKUP($E563,Sheet3!$B$3:$G$54,5,0)</f>
        <v>139084</v>
      </c>
      <c r="J563" s="5">
        <f>VLOOKUP($E563,Sheet3!$B$3:$G$54,4,0)</f>
        <v>2.9</v>
      </c>
      <c r="K563" s="5">
        <f>VLOOKUP($E563,Sheet3!$B$3:$G$54,6,0)</f>
        <v>1.9</v>
      </c>
      <c r="L563">
        <v>648</v>
      </c>
      <c r="M563">
        <v>1104</v>
      </c>
      <c r="N563">
        <v>13</v>
      </c>
      <c r="O563" s="14">
        <f t="shared" si="18"/>
        <v>1.7037037037037037</v>
      </c>
    </row>
    <row r="564" spans="1:15" x14ac:dyDescent="0.3">
      <c r="A564" s="17" t="s">
        <v>46</v>
      </c>
      <c r="B564" s="12" t="s">
        <v>30</v>
      </c>
      <c r="C564" s="12" t="s">
        <v>32</v>
      </c>
      <c r="D564" s="6">
        <f t="shared" si="19"/>
        <v>3</v>
      </c>
      <c r="E564">
        <v>17</v>
      </c>
      <c r="F564" s="6">
        <f>VLOOKUP($E564,Sheet3!$B$3:$D$54,2,0)</f>
        <v>4</v>
      </c>
      <c r="G564" s="6">
        <f>VLOOKUP($E564,Sheet3!$B$3:$G$54,3,0)</f>
        <v>1</v>
      </c>
      <c r="H564" s="5">
        <f>VLOOKUP($A564,Sheet3!$I$3:$J$38,2,0)</f>
        <v>17.53</v>
      </c>
      <c r="I564" s="6">
        <f>VLOOKUP($E564,Sheet3!$B$3:$G$54,5,0)</f>
        <v>139084</v>
      </c>
      <c r="J564" s="5">
        <f>VLOOKUP($E564,Sheet3!$B$3:$G$54,4,0)</f>
        <v>2.65</v>
      </c>
      <c r="K564" s="5">
        <f>VLOOKUP($E564,Sheet3!$B$3:$G$54,6,0)</f>
        <v>1.9</v>
      </c>
      <c r="L564">
        <v>1104</v>
      </c>
      <c r="M564">
        <v>504</v>
      </c>
      <c r="N564">
        <v>14</v>
      </c>
      <c r="O564" s="14">
        <f t="shared" si="18"/>
        <v>0.45652173913043476</v>
      </c>
    </row>
    <row r="565" spans="1:15" x14ac:dyDescent="0.3">
      <c r="A565" s="17" t="s">
        <v>46</v>
      </c>
      <c r="B565" s="12" t="s">
        <v>30</v>
      </c>
      <c r="C565" s="12" t="s">
        <v>32</v>
      </c>
      <c r="D565" s="6">
        <f t="shared" si="19"/>
        <v>3</v>
      </c>
      <c r="E565">
        <v>18</v>
      </c>
      <c r="F565" s="6">
        <f>VLOOKUP($E565,Sheet3!$B$3:$D$54,2,0)</f>
        <v>4</v>
      </c>
      <c r="G565" s="6">
        <f>VLOOKUP($E565,Sheet3!$B$3:$G$54,3,0)</f>
        <v>1</v>
      </c>
      <c r="H565" s="5">
        <f>VLOOKUP($A565,Sheet3!$I$3:$J$38,2,0)</f>
        <v>17.53</v>
      </c>
      <c r="I565" s="6">
        <f>VLOOKUP($E565,Sheet3!$B$3:$G$54,5,0)</f>
        <v>139084</v>
      </c>
      <c r="J565" s="5">
        <f>VLOOKUP($E565,Sheet3!$B$3:$G$54,4,0)</f>
        <v>2.65</v>
      </c>
      <c r="K565" s="5">
        <f>VLOOKUP($E565,Sheet3!$B$3:$G$54,6,0)</f>
        <v>1.9</v>
      </c>
      <c r="L565">
        <v>672</v>
      </c>
      <c r="M565">
        <v>1032</v>
      </c>
      <c r="N565">
        <v>15</v>
      </c>
      <c r="O565" s="14">
        <f t="shared" si="18"/>
        <v>1.5357142857142858</v>
      </c>
    </row>
    <row r="566" spans="1:15" x14ac:dyDescent="0.3">
      <c r="A566" s="17" t="s">
        <v>46</v>
      </c>
      <c r="B566" s="12" t="s">
        <v>30</v>
      </c>
      <c r="C566" s="12" t="s">
        <v>32</v>
      </c>
      <c r="D566" s="6">
        <f t="shared" si="19"/>
        <v>6</v>
      </c>
      <c r="E566">
        <v>19</v>
      </c>
      <c r="F566" s="6">
        <f>VLOOKUP($E566,Sheet3!$B$3:$D$54,2,0)</f>
        <v>5</v>
      </c>
      <c r="G566" s="6">
        <f>VLOOKUP($E566,Sheet3!$B$3:$G$54,3,0)</f>
        <v>0</v>
      </c>
      <c r="H566" s="5">
        <f>VLOOKUP($A566,Sheet3!$I$3:$J$38,2,0)</f>
        <v>17.53</v>
      </c>
      <c r="I566" s="6">
        <f>VLOOKUP($E566,Sheet3!$B$3:$G$54,5,0)</f>
        <v>139390</v>
      </c>
      <c r="J566" s="5">
        <f>VLOOKUP($E566,Sheet3!$B$3:$G$54,4,0)</f>
        <v>2.65</v>
      </c>
      <c r="K566" s="5">
        <f>VLOOKUP($E566,Sheet3!$B$3:$G$54,6,0)</f>
        <v>1.6</v>
      </c>
      <c r="L566">
        <v>1464</v>
      </c>
      <c r="M566">
        <v>1056</v>
      </c>
      <c r="N566">
        <v>13</v>
      </c>
      <c r="O566" s="14">
        <f t="shared" si="18"/>
        <v>0.72131147540983609</v>
      </c>
    </row>
    <row r="567" spans="1:15" x14ac:dyDescent="0.3">
      <c r="A567" s="17" t="s">
        <v>46</v>
      </c>
      <c r="B567" s="12" t="s">
        <v>30</v>
      </c>
      <c r="C567" s="12" t="s">
        <v>32</v>
      </c>
      <c r="D567" s="6">
        <f t="shared" si="19"/>
        <v>6</v>
      </c>
      <c r="E567">
        <v>20</v>
      </c>
      <c r="F567" s="6">
        <f>VLOOKUP($E567,Sheet3!$B$3:$D$54,2,0)</f>
        <v>5</v>
      </c>
      <c r="G567" s="6">
        <f>VLOOKUP($E567,Sheet3!$B$3:$G$54,3,0)</f>
        <v>0</v>
      </c>
      <c r="H567" s="5">
        <f>VLOOKUP($A567,Sheet3!$I$3:$J$38,2,0)</f>
        <v>17.53</v>
      </c>
      <c r="I567" s="6">
        <f>VLOOKUP($E567,Sheet3!$B$3:$G$54,5,0)</f>
        <v>139390</v>
      </c>
      <c r="J567" s="5">
        <f>VLOOKUP($E567,Sheet3!$B$3:$G$54,4,0)</f>
        <v>2.65</v>
      </c>
      <c r="K567" s="5">
        <f>VLOOKUP($E567,Sheet3!$B$3:$G$54,6,0)</f>
        <v>1.6</v>
      </c>
      <c r="L567">
        <v>1392</v>
      </c>
      <c r="M567">
        <v>936</v>
      </c>
      <c r="N567">
        <v>14</v>
      </c>
      <c r="O567" s="14">
        <f t="shared" si="18"/>
        <v>0.67241379310344829</v>
      </c>
    </row>
    <row r="568" spans="1:15" x14ac:dyDescent="0.3">
      <c r="A568" s="17" t="s">
        <v>46</v>
      </c>
      <c r="B568" s="12" t="s">
        <v>30</v>
      </c>
      <c r="C568" s="12" t="s">
        <v>32</v>
      </c>
      <c r="D568" s="6">
        <f t="shared" si="19"/>
        <v>6</v>
      </c>
      <c r="E568">
        <v>21</v>
      </c>
      <c r="F568" s="6">
        <f>VLOOKUP($E568,Sheet3!$B$3:$D$54,2,0)</f>
        <v>5</v>
      </c>
      <c r="G568" s="6">
        <f>VLOOKUP($E568,Sheet3!$B$3:$G$54,3,0)</f>
        <v>0</v>
      </c>
      <c r="H568" s="5">
        <f>VLOOKUP($A568,Sheet3!$I$3:$J$38,2,0)</f>
        <v>17.53</v>
      </c>
      <c r="I568" s="6">
        <f>VLOOKUP($E568,Sheet3!$B$3:$G$54,5,0)</f>
        <v>139390</v>
      </c>
      <c r="J568" s="5">
        <f>VLOOKUP($E568,Sheet3!$B$3:$G$54,4,0)</f>
        <v>2.65</v>
      </c>
      <c r="K568" s="5">
        <f>VLOOKUP($E568,Sheet3!$B$3:$G$54,6,0)</f>
        <v>1.6</v>
      </c>
      <c r="L568">
        <v>1224</v>
      </c>
      <c r="M568">
        <v>1200</v>
      </c>
      <c r="N568">
        <v>15</v>
      </c>
      <c r="O568" s="14">
        <f t="shared" si="18"/>
        <v>0.98039215686274506</v>
      </c>
    </row>
    <row r="569" spans="1:15" x14ac:dyDescent="0.3">
      <c r="A569" s="17" t="s">
        <v>46</v>
      </c>
      <c r="B569" s="12" t="s">
        <v>30</v>
      </c>
      <c r="C569" s="12" t="s">
        <v>32</v>
      </c>
      <c r="D569" s="6">
        <f t="shared" si="19"/>
        <v>6</v>
      </c>
      <c r="E569">
        <v>22</v>
      </c>
      <c r="F569" s="6">
        <f>VLOOKUP($E569,Sheet3!$B$3:$D$54,2,0)</f>
        <v>5</v>
      </c>
      <c r="G569" s="6">
        <f>VLOOKUP($E569,Sheet3!$B$3:$G$54,3,0)</f>
        <v>0</v>
      </c>
      <c r="H569" s="5">
        <f>VLOOKUP($A569,Sheet3!$I$3:$J$38,2,0)</f>
        <v>17.53</v>
      </c>
      <c r="I569" s="6">
        <f>VLOOKUP($E569,Sheet3!$B$3:$G$54,5,0)</f>
        <v>139390</v>
      </c>
      <c r="J569" s="5">
        <f>VLOOKUP($E569,Sheet3!$B$3:$G$54,4,0)</f>
        <v>2.65</v>
      </c>
      <c r="K569" s="5">
        <f>VLOOKUP($E569,Sheet3!$B$3:$G$54,6,0)</f>
        <v>1.6</v>
      </c>
      <c r="L569">
        <v>1704</v>
      </c>
      <c r="M569">
        <v>1560</v>
      </c>
      <c r="N569">
        <v>16</v>
      </c>
      <c r="O569" s="14">
        <f t="shared" ref="O569:O629" si="20">M569/L569</f>
        <v>0.91549295774647887</v>
      </c>
    </row>
    <row r="570" spans="1:15" x14ac:dyDescent="0.3">
      <c r="A570" s="17" t="s">
        <v>46</v>
      </c>
      <c r="B570" s="12" t="s">
        <v>30</v>
      </c>
      <c r="C570" s="12" t="s">
        <v>32</v>
      </c>
      <c r="D570" s="6">
        <f t="shared" si="19"/>
        <v>10</v>
      </c>
      <c r="E570">
        <v>23</v>
      </c>
      <c r="F570" s="6">
        <f>VLOOKUP($E570,Sheet3!$B$3:$D$54,2,0)</f>
        <v>5</v>
      </c>
      <c r="G570" s="6">
        <f>VLOOKUP($E570,Sheet3!$B$3:$G$54,3,0)</f>
        <v>1</v>
      </c>
      <c r="H570" s="5">
        <f>VLOOKUP($A570,Sheet3!$I$3:$J$38,2,0)</f>
        <v>17.53</v>
      </c>
      <c r="I570" s="6">
        <f>VLOOKUP($E570,Sheet3!$B$3:$G$54,5,0)</f>
        <v>139390</v>
      </c>
      <c r="J570" s="5">
        <f>VLOOKUP($E570,Sheet3!$B$3:$G$54,4,0)</f>
        <v>2.4</v>
      </c>
      <c r="K570" s="5">
        <f>VLOOKUP($E570,Sheet3!$B$3:$G$54,6,0)</f>
        <v>1.6</v>
      </c>
      <c r="L570">
        <v>1440</v>
      </c>
      <c r="M570">
        <v>1152</v>
      </c>
      <c r="N570">
        <v>13</v>
      </c>
      <c r="O570" s="14">
        <f t="shared" si="20"/>
        <v>0.8</v>
      </c>
    </row>
    <row r="571" spans="1:15" x14ac:dyDescent="0.3">
      <c r="A571" s="17" t="s">
        <v>46</v>
      </c>
      <c r="B571" s="12" t="s">
        <v>30</v>
      </c>
      <c r="C571" s="12" t="s">
        <v>32</v>
      </c>
      <c r="D571" s="6">
        <f t="shared" si="19"/>
        <v>10</v>
      </c>
      <c r="E571">
        <v>24</v>
      </c>
      <c r="F571" s="6">
        <f>VLOOKUP($E571,Sheet3!$B$3:$D$54,2,0)</f>
        <v>6</v>
      </c>
      <c r="G571" s="6">
        <f>VLOOKUP($E571,Sheet3!$B$3:$G$54,3,0)</f>
        <v>0</v>
      </c>
      <c r="H571" s="5">
        <f>VLOOKUP($A571,Sheet3!$I$3:$J$38,2,0)</f>
        <v>17.53</v>
      </c>
      <c r="I571" s="6">
        <f>VLOOKUP($E571,Sheet3!$B$3:$G$54,5,0)</f>
        <v>132191</v>
      </c>
      <c r="J571" s="5">
        <f>VLOOKUP($E571,Sheet3!$B$3:$G$54,4,0)</f>
        <v>2.4</v>
      </c>
      <c r="K571" s="5">
        <f>VLOOKUP($E571,Sheet3!$B$3:$G$54,6,0)</f>
        <v>1.7</v>
      </c>
      <c r="L571">
        <v>1848</v>
      </c>
      <c r="M571">
        <v>1344</v>
      </c>
      <c r="N571">
        <v>14</v>
      </c>
      <c r="O571" s="14">
        <f t="shared" si="20"/>
        <v>0.72727272727272729</v>
      </c>
    </row>
    <row r="572" spans="1:15" x14ac:dyDescent="0.3">
      <c r="A572" s="17" t="s">
        <v>46</v>
      </c>
      <c r="B572" s="12" t="s">
        <v>30</v>
      </c>
      <c r="C572" s="12" t="s">
        <v>32</v>
      </c>
      <c r="D572" s="6">
        <f t="shared" si="19"/>
        <v>10</v>
      </c>
      <c r="E572">
        <v>25</v>
      </c>
      <c r="F572" s="6">
        <f>VLOOKUP($E572,Sheet3!$B$3:$D$54,2,0)</f>
        <v>6</v>
      </c>
      <c r="G572" s="6">
        <f>VLOOKUP($E572,Sheet3!$B$3:$G$54,3,0)</f>
        <v>0</v>
      </c>
      <c r="H572" s="5">
        <f>VLOOKUP($A572,Sheet3!$I$3:$J$38,2,0)</f>
        <v>17.53</v>
      </c>
      <c r="I572" s="6">
        <f>VLOOKUP($E572,Sheet3!$B$3:$G$54,5,0)</f>
        <v>132191</v>
      </c>
      <c r="J572" s="5">
        <f>VLOOKUP($E572,Sheet3!$B$3:$G$54,4,0)</f>
        <v>2.4</v>
      </c>
      <c r="K572" s="5">
        <f>VLOOKUP($E572,Sheet3!$B$3:$G$54,6,0)</f>
        <v>1.7</v>
      </c>
      <c r="L572">
        <v>1080</v>
      </c>
      <c r="M572">
        <v>480</v>
      </c>
      <c r="N572">
        <v>15</v>
      </c>
      <c r="O572" s="14">
        <f t="shared" si="20"/>
        <v>0.44444444444444442</v>
      </c>
    </row>
    <row r="573" spans="1:15" x14ac:dyDescent="0.3">
      <c r="A573" s="17" t="s">
        <v>46</v>
      </c>
      <c r="B573" s="12" t="s">
        <v>30</v>
      </c>
      <c r="C573" s="12" t="s">
        <v>32</v>
      </c>
      <c r="D573" s="6">
        <f t="shared" si="19"/>
        <v>10</v>
      </c>
      <c r="E573">
        <v>26</v>
      </c>
      <c r="F573" s="6">
        <f>VLOOKUP($E573,Sheet3!$B$3:$D$54,2,0)</f>
        <v>6</v>
      </c>
      <c r="G573" s="6">
        <f>VLOOKUP($E573,Sheet3!$B$3:$G$54,3,0)</f>
        <v>0</v>
      </c>
      <c r="H573" s="5">
        <f>VLOOKUP($A573,Sheet3!$I$3:$J$38,2,0)</f>
        <v>17.53</v>
      </c>
      <c r="I573" s="6">
        <f>VLOOKUP($E573,Sheet3!$B$3:$G$54,5,0)</f>
        <v>132191</v>
      </c>
      <c r="J573" s="5">
        <f>VLOOKUP($E573,Sheet3!$B$3:$G$54,4,0)</f>
        <v>2.4</v>
      </c>
      <c r="K573" s="5">
        <f>VLOOKUP($E573,Sheet3!$B$3:$G$54,6,0)</f>
        <v>1.7</v>
      </c>
      <c r="L573">
        <v>1872</v>
      </c>
      <c r="M573">
        <v>1416</v>
      </c>
      <c r="N573">
        <v>16</v>
      </c>
      <c r="O573" s="14">
        <f t="shared" si="20"/>
        <v>0.75641025641025639</v>
      </c>
    </row>
    <row r="574" spans="1:15" x14ac:dyDescent="0.3">
      <c r="A574" s="17" t="s">
        <v>45</v>
      </c>
      <c r="B574" s="12" t="s">
        <v>30</v>
      </c>
      <c r="C574" s="12" t="s">
        <v>32</v>
      </c>
      <c r="D574" s="6">
        <f t="shared" ref="D574" si="21">IF(E574-N574&lt;0,E574-N574+52,E574-N574)</f>
        <v>12</v>
      </c>
      <c r="E574">
        <v>27</v>
      </c>
      <c r="F574" s="6">
        <f>VLOOKUP($E574,Sheet3!$B$3:$D$54,2,0)</f>
        <v>7</v>
      </c>
      <c r="G574" s="6">
        <f>VLOOKUP($E574,Sheet3!$B$3:$G$54,3,0)</f>
        <v>0</v>
      </c>
      <c r="H574" s="5">
        <f>VLOOKUP($A574,Sheet3!$I$3:$J$38,2,0)</f>
        <v>17.2</v>
      </c>
      <c r="I574" s="6">
        <f>VLOOKUP($E574,Sheet3!$B$3:$G$54,5,0)</f>
        <v>124806</v>
      </c>
      <c r="J574" s="5">
        <f>VLOOKUP($E574,Sheet3!$B$3:$G$54,4,0)</f>
        <v>4.5</v>
      </c>
      <c r="K574" s="5">
        <f>VLOOKUP($E574,Sheet3!$B$3:$G$54,6,0)</f>
        <v>1.3</v>
      </c>
      <c r="L574">
        <v>350</v>
      </c>
      <c r="M574">
        <v>288</v>
      </c>
      <c r="N574">
        <v>15</v>
      </c>
      <c r="O574" s="14">
        <f t="shared" si="20"/>
        <v>0.82285714285714284</v>
      </c>
    </row>
    <row r="575" spans="1:15" x14ac:dyDescent="0.3">
      <c r="A575" s="17" t="s">
        <v>45</v>
      </c>
      <c r="B575" s="12" t="s">
        <v>30</v>
      </c>
      <c r="C575" s="12" t="s">
        <v>32</v>
      </c>
      <c r="D575" s="6">
        <f t="shared" ref="D575:D626" si="22">IF(E575-N575&lt;0,E575-N575+52,E575-N575)</f>
        <v>12</v>
      </c>
      <c r="E575">
        <v>28</v>
      </c>
      <c r="F575" s="6">
        <f>VLOOKUP($E575,Sheet3!$B$3:$D$54,2,0)</f>
        <v>7</v>
      </c>
      <c r="G575" s="6">
        <f>VLOOKUP($E575,Sheet3!$B$3:$G$54,3,0)</f>
        <v>0</v>
      </c>
      <c r="H575" s="5">
        <f>VLOOKUP($A575,Sheet3!$I$3:$J$38,2,0)</f>
        <v>17.2</v>
      </c>
      <c r="I575" s="6">
        <f>VLOOKUP($E575,Sheet3!$B$3:$G$54,5,0)</f>
        <v>124806</v>
      </c>
      <c r="J575" s="5">
        <f>VLOOKUP($E575,Sheet3!$B$3:$G$54,4,0)</f>
        <v>4.5</v>
      </c>
      <c r="K575" s="5">
        <f>VLOOKUP($E575,Sheet3!$B$3:$G$54,6,0)</f>
        <v>1.3</v>
      </c>
      <c r="L575">
        <v>400</v>
      </c>
      <c r="M575">
        <v>288</v>
      </c>
      <c r="N575">
        <v>16</v>
      </c>
      <c r="O575" s="14">
        <f t="shared" si="20"/>
        <v>0.72</v>
      </c>
    </row>
    <row r="576" spans="1:15" x14ac:dyDescent="0.3">
      <c r="A576" s="17" t="s">
        <v>45</v>
      </c>
      <c r="B576" s="12" t="s">
        <v>30</v>
      </c>
      <c r="C576" s="12" t="s">
        <v>32</v>
      </c>
      <c r="D576" s="6">
        <f t="shared" si="22"/>
        <v>12</v>
      </c>
      <c r="E576">
        <v>29</v>
      </c>
      <c r="F576" s="6">
        <f>VLOOKUP($E576,Sheet3!$B$3:$D$54,2,0)</f>
        <v>7</v>
      </c>
      <c r="G576" s="6">
        <f>VLOOKUP($E576,Sheet3!$B$3:$G$54,3,0)</f>
        <v>0</v>
      </c>
      <c r="H576" s="5">
        <f>VLOOKUP($A576,Sheet3!$I$3:$J$38,2,0)</f>
        <v>17.2</v>
      </c>
      <c r="I576" s="6">
        <f>VLOOKUP($E576,Sheet3!$B$3:$G$54,5,0)</f>
        <v>124806</v>
      </c>
      <c r="J576" s="5">
        <f>VLOOKUP($E576,Sheet3!$B$3:$G$54,4,0)</f>
        <v>4.5</v>
      </c>
      <c r="K576" s="5">
        <f>VLOOKUP($E576,Sheet3!$B$3:$G$54,6,0)</f>
        <v>1.3</v>
      </c>
      <c r="L576">
        <v>350</v>
      </c>
      <c r="M576">
        <v>120</v>
      </c>
      <c r="N576">
        <v>17</v>
      </c>
      <c r="O576" s="14">
        <f t="shared" si="20"/>
        <v>0.34285714285714286</v>
      </c>
    </row>
    <row r="577" spans="1:15" x14ac:dyDescent="0.3">
      <c r="A577" s="17" t="s">
        <v>45</v>
      </c>
      <c r="B577" s="12" t="s">
        <v>30</v>
      </c>
      <c r="C577" s="12" t="s">
        <v>32</v>
      </c>
      <c r="D577" s="6">
        <f t="shared" si="22"/>
        <v>13</v>
      </c>
      <c r="E577">
        <v>30</v>
      </c>
      <c r="F577" s="6">
        <f>VLOOKUP($E577,Sheet3!$B$3:$D$54,2,0)</f>
        <v>7</v>
      </c>
      <c r="G577" s="6">
        <f>VLOOKUP($E577,Sheet3!$B$3:$G$54,3,0)</f>
        <v>0</v>
      </c>
      <c r="H577" s="5">
        <f>VLOOKUP($A577,Sheet3!$I$3:$J$38,2,0)</f>
        <v>17.2</v>
      </c>
      <c r="I577" s="6">
        <f>VLOOKUP($E577,Sheet3!$B$3:$G$54,5,0)</f>
        <v>124806</v>
      </c>
      <c r="J577" s="5">
        <f>VLOOKUP($E577,Sheet3!$B$3:$G$54,4,0)</f>
        <v>4.5</v>
      </c>
      <c r="K577" s="5">
        <f>VLOOKUP($E577,Sheet3!$B$3:$G$54,6,0)</f>
        <v>1.3</v>
      </c>
      <c r="L577">
        <v>0</v>
      </c>
      <c r="M577">
        <v>0</v>
      </c>
      <c r="N577">
        <v>17</v>
      </c>
      <c r="O577" s="14" t="e">
        <f t="shared" si="20"/>
        <v>#DIV/0!</v>
      </c>
    </row>
    <row r="578" spans="1:15" x14ac:dyDescent="0.3">
      <c r="A578" s="17" t="s">
        <v>45</v>
      </c>
      <c r="B578" s="12" t="s">
        <v>30</v>
      </c>
      <c r="C578" s="12" t="s">
        <v>32</v>
      </c>
      <c r="D578" s="6">
        <f t="shared" si="22"/>
        <v>14</v>
      </c>
      <c r="E578">
        <v>31</v>
      </c>
      <c r="F578" s="6">
        <f>VLOOKUP($E578,Sheet3!$B$3:$D$54,2,0)</f>
        <v>7</v>
      </c>
      <c r="G578" s="6">
        <f>VLOOKUP($E578,Sheet3!$B$3:$G$54,3,0)</f>
        <v>0</v>
      </c>
      <c r="H578" s="5">
        <f>VLOOKUP($A578,Sheet3!$I$3:$J$38,2,0)</f>
        <v>17.2</v>
      </c>
      <c r="I578" s="6">
        <f>VLOOKUP($E578,Sheet3!$B$3:$G$54,5,0)</f>
        <v>124806</v>
      </c>
      <c r="J578" s="5">
        <f>VLOOKUP($E578,Sheet3!$B$3:$G$54,4,0)</f>
        <v>4.5</v>
      </c>
      <c r="K578" s="5">
        <f>VLOOKUP($E578,Sheet3!$B$3:$G$54,6,0)</f>
        <v>1.3</v>
      </c>
      <c r="L578">
        <v>0</v>
      </c>
      <c r="M578">
        <v>0</v>
      </c>
      <c r="N578">
        <v>17</v>
      </c>
      <c r="O578" s="14" t="e">
        <f t="shared" si="20"/>
        <v>#DIV/0!</v>
      </c>
    </row>
    <row r="579" spans="1:15" x14ac:dyDescent="0.3">
      <c r="A579" s="17" t="s">
        <v>45</v>
      </c>
      <c r="B579" s="12" t="s">
        <v>30</v>
      </c>
      <c r="C579" s="12" t="s">
        <v>32</v>
      </c>
      <c r="D579" s="6">
        <f t="shared" si="22"/>
        <v>15</v>
      </c>
      <c r="E579">
        <v>32</v>
      </c>
      <c r="F579" s="6">
        <f>VLOOKUP($E579,Sheet3!$B$3:$D$54,2,0)</f>
        <v>8</v>
      </c>
      <c r="G579" s="6">
        <f>VLOOKUP($E579,Sheet3!$B$3:$G$54,3,0)</f>
        <v>1</v>
      </c>
      <c r="H579" s="5">
        <f>VLOOKUP($A579,Sheet3!$I$3:$J$38,2,0)</f>
        <v>17.2</v>
      </c>
      <c r="I579" s="6">
        <f>VLOOKUP($E579,Sheet3!$B$3:$G$54,5,0)</f>
        <v>69121</v>
      </c>
      <c r="J579" s="5">
        <f>VLOOKUP($E579,Sheet3!$B$3:$G$54,4,0)</f>
        <v>4.5</v>
      </c>
      <c r="K579" s="5">
        <f>VLOOKUP($E579,Sheet3!$B$3:$G$54,6,0)</f>
        <v>1.1000000000000001</v>
      </c>
      <c r="L579">
        <v>300</v>
      </c>
      <c r="M579">
        <v>0</v>
      </c>
      <c r="N579">
        <v>17</v>
      </c>
      <c r="O579" s="14">
        <f t="shared" si="20"/>
        <v>0</v>
      </c>
    </row>
    <row r="580" spans="1:15" x14ac:dyDescent="0.3">
      <c r="A580" s="17" t="s">
        <v>45</v>
      </c>
      <c r="B580" s="12" t="s">
        <v>30</v>
      </c>
      <c r="C580" s="12" t="s">
        <v>32</v>
      </c>
      <c r="D580" s="6">
        <f t="shared" si="22"/>
        <v>15</v>
      </c>
      <c r="E580">
        <v>33</v>
      </c>
      <c r="F580" s="6">
        <f>VLOOKUP($E580,Sheet3!$B$3:$D$54,2,0)</f>
        <v>8</v>
      </c>
      <c r="G580" s="6">
        <f>VLOOKUP($E580,Sheet3!$B$3:$G$54,3,0)</f>
        <v>1</v>
      </c>
      <c r="H580" s="5">
        <f>VLOOKUP($A580,Sheet3!$I$3:$J$38,2,0)</f>
        <v>17.2</v>
      </c>
      <c r="I580" s="6">
        <f>VLOOKUP($E580,Sheet3!$B$3:$G$54,5,0)</f>
        <v>69121</v>
      </c>
      <c r="J580" s="5">
        <f>VLOOKUP($E580,Sheet3!$B$3:$G$54,4,0)</f>
        <v>4.5</v>
      </c>
      <c r="K580" s="5">
        <f>VLOOKUP($E580,Sheet3!$B$3:$G$54,6,0)</f>
        <v>1.1000000000000001</v>
      </c>
      <c r="L580">
        <v>350</v>
      </c>
      <c r="M580">
        <v>264</v>
      </c>
      <c r="N580">
        <v>18</v>
      </c>
      <c r="O580" s="14">
        <f t="shared" si="20"/>
        <v>0.75428571428571434</v>
      </c>
    </row>
    <row r="581" spans="1:15" x14ac:dyDescent="0.3">
      <c r="A581" s="17" t="s">
        <v>45</v>
      </c>
      <c r="B581" s="12" t="s">
        <v>30</v>
      </c>
      <c r="C581" s="12" t="s">
        <v>32</v>
      </c>
      <c r="D581" s="6">
        <f t="shared" si="22"/>
        <v>14</v>
      </c>
      <c r="E581">
        <v>34</v>
      </c>
      <c r="F581" s="6">
        <f>VLOOKUP($E581,Sheet3!$B$3:$D$54,2,0)</f>
        <v>8</v>
      </c>
      <c r="G581" s="6">
        <f>VLOOKUP($E581,Sheet3!$B$3:$G$54,3,0)</f>
        <v>0</v>
      </c>
      <c r="H581" s="5">
        <f>VLOOKUP($A581,Sheet3!$I$3:$J$38,2,0)</f>
        <v>17.2</v>
      </c>
      <c r="I581" s="6">
        <f>VLOOKUP($E581,Sheet3!$B$3:$G$54,5,0)</f>
        <v>69121</v>
      </c>
      <c r="J581" s="5">
        <f>VLOOKUP($E581,Sheet3!$B$3:$G$54,4,0)</f>
        <v>4.5</v>
      </c>
      <c r="K581" s="5">
        <f>VLOOKUP($E581,Sheet3!$B$3:$G$54,6,0)</f>
        <v>1.1000000000000001</v>
      </c>
      <c r="L581">
        <v>250</v>
      </c>
      <c r="M581">
        <v>504</v>
      </c>
      <c r="N581">
        <v>20</v>
      </c>
      <c r="O581" s="14">
        <f t="shared" si="20"/>
        <v>2.016</v>
      </c>
    </row>
    <row r="582" spans="1:15" x14ac:dyDescent="0.3">
      <c r="A582" s="17" t="s">
        <v>45</v>
      </c>
      <c r="B582" s="12" t="s">
        <v>30</v>
      </c>
      <c r="C582" s="12" t="s">
        <v>32</v>
      </c>
      <c r="D582" s="6">
        <f t="shared" si="22"/>
        <v>21</v>
      </c>
      <c r="E582">
        <v>35</v>
      </c>
      <c r="F582" s="6">
        <f>VLOOKUP($E582,Sheet3!$B$3:$D$54,2,0)</f>
        <v>8</v>
      </c>
      <c r="G582" s="6">
        <f>VLOOKUP($E582,Sheet3!$B$3:$G$54,3,0)</f>
        <v>0</v>
      </c>
      <c r="H582" s="5">
        <f>VLOOKUP($A582,Sheet3!$I$3:$J$38,2,0)</f>
        <v>17.2</v>
      </c>
      <c r="I582" s="6">
        <f>VLOOKUP($E582,Sheet3!$B$3:$G$54,5,0)</f>
        <v>69121</v>
      </c>
      <c r="J582" s="5">
        <f>VLOOKUP($E582,Sheet3!$B$3:$G$54,4,0)</f>
        <v>4.5</v>
      </c>
      <c r="K582" s="5">
        <f>VLOOKUP($E582,Sheet3!$B$3:$G$54,6,0)</f>
        <v>1.1000000000000001</v>
      </c>
      <c r="L582">
        <v>168</v>
      </c>
      <c r="M582">
        <v>144</v>
      </c>
      <c r="N582">
        <v>14</v>
      </c>
      <c r="O582" s="14">
        <f t="shared" si="20"/>
        <v>0.8571428571428571</v>
      </c>
    </row>
    <row r="583" spans="1:15" x14ac:dyDescent="0.3">
      <c r="A583" s="17" t="s">
        <v>45</v>
      </c>
      <c r="B583" s="12" t="s">
        <v>30</v>
      </c>
      <c r="C583" s="12" t="s">
        <v>32</v>
      </c>
      <c r="D583" s="6">
        <f t="shared" si="22"/>
        <v>21</v>
      </c>
      <c r="E583">
        <v>36</v>
      </c>
      <c r="F583" s="6">
        <f>VLOOKUP($E583,Sheet3!$B$3:$D$54,2,0)</f>
        <v>9</v>
      </c>
      <c r="G583" s="6">
        <f>VLOOKUP($E583,Sheet3!$B$3:$G$54,3,0)</f>
        <v>0</v>
      </c>
      <c r="H583" s="5">
        <f>VLOOKUP($A583,Sheet3!$I$3:$J$38,2,0)</f>
        <v>17.2</v>
      </c>
      <c r="I583" s="6">
        <f>VLOOKUP($E583,Sheet3!$B$3:$G$54,5,0)</f>
        <v>121666</v>
      </c>
      <c r="J583" s="5">
        <f>VLOOKUP($E583,Sheet3!$B$3:$G$54,4,0)</f>
        <v>4.5</v>
      </c>
      <c r="K583" s="5">
        <f>VLOOKUP($E583,Sheet3!$B$3:$G$54,6,0)</f>
        <v>0.7</v>
      </c>
      <c r="L583">
        <v>168</v>
      </c>
      <c r="M583">
        <v>168</v>
      </c>
      <c r="N583">
        <v>15</v>
      </c>
      <c r="O583" s="14">
        <f t="shared" si="20"/>
        <v>1</v>
      </c>
    </row>
    <row r="584" spans="1:15" x14ac:dyDescent="0.3">
      <c r="A584" s="17" t="s">
        <v>45</v>
      </c>
      <c r="B584" s="12" t="s">
        <v>30</v>
      </c>
      <c r="C584" s="12" t="s">
        <v>32</v>
      </c>
      <c r="D584" s="6">
        <f t="shared" si="22"/>
        <v>21</v>
      </c>
      <c r="E584">
        <v>37</v>
      </c>
      <c r="F584" s="6">
        <f>VLOOKUP($E584,Sheet3!$B$3:$D$54,2,0)</f>
        <v>9</v>
      </c>
      <c r="G584" s="6">
        <f>VLOOKUP($E584,Sheet3!$B$3:$G$54,3,0)</f>
        <v>0</v>
      </c>
      <c r="H584" s="5">
        <f>VLOOKUP($A584,Sheet3!$I$3:$J$38,2,0)</f>
        <v>17.2</v>
      </c>
      <c r="I584" s="6">
        <f>VLOOKUP($E584,Sheet3!$B$3:$G$54,5,0)</f>
        <v>121666</v>
      </c>
      <c r="J584" s="5">
        <f>VLOOKUP($E584,Sheet3!$B$3:$G$54,4,0)</f>
        <v>4.5</v>
      </c>
      <c r="K584" s="5">
        <f>VLOOKUP($E584,Sheet3!$B$3:$G$54,6,0)</f>
        <v>0.7</v>
      </c>
      <c r="L584">
        <v>96</v>
      </c>
      <c r="M584">
        <v>96</v>
      </c>
      <c r="N584">
        <v>16</v>
      </c>
      <c r="O584" s="14">
        <f t="shared" si="20"/>
        <v>1</v>
      </c>
    </row>
    <row r="585" spans="1:15" x14ac:dyDescent="0.3">
      <c r="A585" s="17" t="s">
        <v>45</v>
      </c>
      <c r="B585" s="12" t="s">
        <v>30</v>
      </c>
      <c r="C585" s="12" t="s">
        <v>32</v>
      </c>
      <c r="D585" s="6">
        <f t="shared" si="22"/>
        <v>21</v>
      </c>
      <c r="E585">
        <v>38</v>
      </c>
      <c r="F585" s="6">
        <f>VLOOKUP($E585,Sheet3!$B$3:$D$54,2,0)</f>
        <v>9</v>
      </c>
      <c r="G585" s="6">
        <f>VLOOKUP($E585,Sheet3!$B$3:$G$54,3,0)</f>
        <v>0</v>
      </c>
      <c r="H585" s="5">
        <f>VLOOKUP($A585,Sheet3!$I$3:$J$38,2,0)</f>
        <v>17.2</v>
      </c>
      <c r="I585" s="6">
        <f>VLOOKUP($E585,Sheet3!$B$3:$G$54,5,0)</f>
        <v>121666</v>
      </c>
      <c r="J585" s="5">
        <f>VLOOKUP($E585,Sheet3!$B$3:$G$54,4,0)</f>
        <v>3.9</v>
      </c>
      <c r="K585" s="5">
        <f>VLOOKUP($E585,Sheet3!$B$3:$G$54,6,0)</f>
        <v>0.7</v>
      </c>
      <c r="L585">
        <v>216</v>
      </c>
      <c r="M585">
        <v>264</v>
      </c>
      <c r="N585">
        <v>17</v>
      </c>
      <c r="O585" s="14">
        <f t="shared" si="20"/>
        <v>1.2222222222222223</v>
      </c>
    </row>
    <row r="586" spans="1:15" x14ac:dyDescent="0.3">
      <c r="A586" s="17" t="s">
        <v>45</v>
      </c>
      <c r="B586" s="12" t="s">
        <v>30</v>
      </c>
      <c r="C586" s="12" t="s">
        <v>32</v>
      </c>
      <c r="D586" s="6">
        <f t="shared" si="22"/>
        <v>25</v>
      </c>
      <c r="E586">
        <v>39</v>
      </c>
      <c r="F586" s="6">
        <f>VLOOKUP($E586,Sheet3!$B$3:$D$54,2,0)</f>
        <v>9</v>
      </c>
      <c r="G586" s="6">
        <f>VLOOKUP($E586,Sheet3!$B$3:$G$54,3,0)</f>
        <v>0</v>
      </c>
      <c r="H586" s="5">
        <f>VLOOKUP($A586,Sheet3!$I$3:$J$38,2,0)</f>
        <v>17.2</v>
      </c>
      <c r="I586" s="6">
        <f>VLOOKUP($E586,Sheet3!$B$3:$G$54,5,0)</f>
        <v>121666</v>
      </c>
      <c r="J586" s="5">
        <f>VLOOKUP($E586,Sheet3!$B$3:$G$54,4,0)</f>
        <v>3.9</v>
      </c>
      <c r="K586" s="5">
        <f>VLOOKUP($E586,Sheet3!$B$3:$G$54,6,0)</f>
        <v>0.7</v>
      </c>
      <c r="L586">
        <v>552</v>
      </c>
      <c r="M586">
        <v>264</v>
      </c>
      <c r="N586">
        <v>14</v>
      </c>
      <c r="O586" s="14">
        <f t="shared" si="20"/>
        <v>0.47826086956521741</v>
      </c>
    </row>
    <row r="587" spans="1:15" x14ac:dyDescent="0.3">
      <c r="A587" s="17" t="s">
        <v>45</v>
      </c>
      <c r="B587" s="12" t="s">
        <v>30</v>
      </c>
      <c r="C587" s="12" t="s">
        <v>32</v>
      </c>
      <c r="D587" s="6">
        <f t="shared" si="22"/>
        <v>25</v>
      </c>
      <c r="E587">
        <v>40</v>
      </c>
      <c r="F587" s="6">
        <f>VLOOKUP($E587,Sheet3!$B$3:$D$54,2,0)</f>
        <v>9</v>
      </c>
      <c r="G587" s="6">
        <f>VLOOKUP($E587,Sheet3!$B$3:$G$54,3,0)</f>
        <v>0</v>
      </c>
      <c r="H587" s="5">
        <f>VLOOKUP($A587,Sheet3!$I$3:$J$38,2,0)</f>
        <v>17.2</v>
      </c>
      <c r="I587" s="6">
        <f>VLOOKUP($E587,Sheet3!$B$3:$G$54,5,0)</f>
        <v>121666</v>
      </c>
      <c r="J587" s="5">
        <f>VLOOKUP($E587,Sheet3!$B$3:$G$54,4,0)</f>
        <v>3.9</v>
      </c>
      <c r="K587" s="5">
        <f>VLOOKUP($E587,Sheet3!$B$3:$G$54,6,0)</f>
        <v>0.7</v>
      </c>
      <c r="L587">
        <v>360</v>
      </c>
      <c r="M587">
        <v>240</v>
      </c>
      <c r="N587">
        <v>15</v>
      </c>
      <c r="O587" s="14">
        <f t="shared" si="20"/>
        <v>0.66666666666666663</v>
      </c>
    </row>
    <row r="588" spans="1:15" x14ac:dyDescent="0.3">
      <c r="A588" s="17" t="s">
        <v>45</v>
      </c>
      <c r="B588" s="12" t="s">
        <v>30</v>
      </c>
      <c r="C588" s="12" t="s">
        <v>32</v>
      </c>
      <c r="D588" s="6">
        <f t="shared" si="22"/>
        <v>25</v>
      </c>
      <c r="E588">
        <v>41</v>
      </c>
      <c r="F588" s="6">
        <f>VLOOKUP($E588,Sheet3!$B$3:$D$54,2,0)</f>
        <v>10</v>
      </c>
      <c r="G588" s="6">
        <f>VLOOKUP($E588,Sheet3!$B$3:$G$54,3,0)</f>
        <v>0</v>
      </c>
      <c r="H588" s="5">
        <f>VLOOKUP($A588,Sheet3!$I$3:$J$38,2,0)</f>
        <v>17.2</v>
      </c>
      <c r="I588" s="6">
        <f>VLOOKUP($E588,Sheet3!$B$3:$G$54,5,0)</f>
        <v>126488</v>
      </c>
      <c r="J588" s="5">
        <f>VLOOKUP($E588,Sheet3!$B$3:$G$54,4,0)</f>
        <v>3.9</v>
      </c>
      <c r="K588" s="5">
        <f>VLOOKUP($E588,Sheet3!$B$3:$G$54,6,0)</f>
        <v>0.9</v>
      </c>
      <c r="L588">
        <v>408</v>
      </c>
      <c r="M588">
        <v>168</v>
      </c>
      <c r="N588">
        <v>16</v>
      </c>
      <c r="O588" s="14">
        <f t="shared" si="20"/>
        <v>0.41176470588235292</v>
      </c>
    </row>
    <row r="589" spans="1:15" x14ac:dyDescent="0.3">
      <c r="A589" s="17" t="s">
        <v>45</v>
      </c>
      <c r="B589" s="12" t="s">
        <v>30</v>
      </c>
      <c r="C589" s="12" t="s">
        <v>32</v>
      </c>
      <c r="D589" s="6">
        <f t="shared" si="22"/>
        <v>25</v>
      </c>
      <c r="E589">
        <v>42</v>
      </c>
      <c r="F589" s="6">
        <f>VLOOKUP($E589,Sheet3!$B$3:$D$54,2,0)</f>
        <v>10</v>
      </c>
      <c r="G589" s="6">
        <f>VLOOKUP($E589,Sheet3!$B$3:$G$54,3,0)</f>
        <v>0</v>
      </c>
      <c r="H589" s="5">
        <f>VLOOKUP($A589,Sheet3!$I$3:$J$38,2,0)</f>
        <v>17.2</v>
      </c>
      <c r="I589" s="6">
        <f>VLOOKUP($E589,Sheet3!$B$3:$G$54,5,0)</f>
        <v>126488</v>
      </c>
      <c r="J589" s="5">
        <f>VLOOKUP($E589,Sheet3!$B$3:$G$54,4,0)</f>
        <v>3.9</v>
      </c>
      <c r="K589" s="5">
        <f>VLOOKUP($E589,Sheet3!$B$3:$G$54,6,0)</f>
        <v>0.9</v>
      </c>
      <c r="L589">
        <v>456</v>
      </c>
      <c r="M589">
        <v>240</v>
      </c>
      <c r="N589">
        <v>17</v>
      </c>
      <c r="O589" s="14">
        <f t="shared" si="20"/>
        <v>0.52631578947368418</v>
      </c>
    </row>
    <row r="590" spans="1:15" x14ac:dyDescent="0.3">
      <c r="A590" s="17" t="s">
        <v>45</v>
      </c>
      <c r="B590" s="12" t="s">
        <v>30</v>
      </c>
      <c r="C590" s="12" t="s">
        <v>32</v>
      </c>
      <c r="D590" s="6">
        <f t="shared" si="22"/>
        <v>25</v>
      </c>
      <c r="E590">
        <v>43</v>
      </c>
      <c r="F590" s="6">
        <f>VLOOKUP($E590,Sheet3!$B$3:$D$54,2,0)</f>
        <v>10</v>
      </c>
      <c r="G590" s="6">
        <f>VLOOKUP($E590,Sheet3!$B$3:$G$54,3,0)</f>
        <v>0</v>
      </c>
      <c r="H590" s="5">
        <f>VLOOKUP($A590,Sheet3!$I$3:$J$38,2,0)</f>
        <v>17.2</v>
      </c>
      <c r="I590" s="6">
        <f>VLOOKUP($E590,Sheet3!$B$3:$G$54,5,0)</f>
        <v>126488</v>
      </c>
      <c r="J590" s="5">
        <f>VLOOKUP($E590,Sheet3!$B$3:$G$54,4,0)</f>
        <v>3.65</v>
      </c>
      <c r="K590" s="5">
        <f>VLOOKUP($E590,Sheet3!$B$3:$G$54,6,0)</f>
        <v>0.9</v>
      </c>
      <c r="L590">
        <v>168</v>
      </c>
      <c r="M590">
        <v>48</v>
      </c>
      <c r="N590">
        <v>18</v>
      </c>
      <c r="O590" s="14">
        <f t="shared" si="20"/>
        <v>0.2857142857142857</v>
      </c>
    </row>
    <row r="591" spans="1:15" x14ac:dyDescent="0.3">
      <c r="A591" s="17" t="s">
        <v>45</v>
      </c>
      <c r="B591" s="12" t="s">
        <v>30</v>
      </c>
      <c r="C591" s="12" t="s">
        <v>32</v>
      </c>
      <c r="D591" s="6">
        <f t="shared" si="22"/>
        <v>31</v>
      </c>
      <c r="E591">
        <v>44</v>
      </c>
      <c r="F591" s="6">
        <f>VLOOKUP($E591,Sheet3!$B$3:$D$54,2,0)</f>
        <v>10</v>
      </c>
      <c r="G591" s="6">
        <f>VLOOKUP($E591,Sheet3!$B$3:$G$54,3,0)</f>
        <v>1</v>
      </c>
      <c r="H591" s="5">
        <f>VLOOKUP($A591,Sheet3!$I$3:$J$38,2,0)</f>
        <v>17.2</v>
      </c>
      <c r="I591" s="6">
        <f>VLOOKUP($E591,Sheet3!$B$3:$G$54,5,0)</f>
        <v>126488</v>
      </c>
      <c r="J591" s="5">
        <f>VLOOKUP($E591,Sheet3!$B$3:$G$54,4,0)</f>
        <v>3.65</v>
      </c>
      <c r="K591" s="5">
        <f>VLOOKUP($E591,Sheet3!$B$3:$G$54,6,0)</f>
        <v>0.9</v>
      </c>
      <c r="L591">
        <v>216</v>
      </c>
      <c r="M591">
        <v>144</v>
      </c>
      <c r="N591">
        <v>13</v>
      </c>
      <c r="O591" s="14">
        <f t="shared" si="20"/>
        <v>0.66666666666666663</v>
      </c>
    </row>
    <row r="592" spans="1:15" x14ac:dyDescent="0.3">
      <c r="A592" s="17" t="s">
        <v>45</v>
      </c>
      <c r="B592" s="12" t="s">
        <v>30</v>
      </c>
      <c r="C592" s="12" t="s">
        <v>32</v>
      </c>
      <c r="D592" s="6">
        <f t="shared" si="22"/>
        <v>31</v>
      </c>
      <c r="E592">
        <v>45</v>
      </c>
      <c r="F592" s="6">
        <f>VLOOKUP($E592,Sheet3!$B$3:$D$54,2,0)</f>
        <v>11</v>
      </c>
      <c r="G592" s="6">
        <f>VLOOKUP($E592,Sheet3!$B$3:$G$54,3,0)</f>
        <v>0</v>
      </c>
      <c r="H592" s="5">
        <f>VLOOKUP($A592,Sheet3!$I$3:$J$38,2,0)</f>
        <v>17.2</v>
      </c>
      <c r="I592" s="6">
        <f>VLOOKUP($E592,Sheet3!$B$3:$G$54,5,0)</f>
        <v>124251</v>
      </c>
      <c r="J592" s="5">
        <f>VLOOKUP($E592,Sheet3!$B$3:$G$54,4,0)</f>
        <v>3.65</v>
      </c>
      <c r="K592" s="5">
        <f>VLOOKUP($E592,Sheet3!$B$3:$G$54,6,0)</f>
        <v>1.3</v>
      </c>
      <c r="L592">
        <v>360</v>
      </c>
      <c r="M592">
        <v>0</v>
      </c>
      <c r="N592">
        <v>14</v>
      </c>
      <c r="O592" s="14">
        <f t="shared" si="20"/>
        <v>0</v>
      </c>
    </row>
    <row r="593" spans="1:15" x14ac:dyDescent="0.3">
      <c r="A593" s="17" t="s">
        <v>45</v>
      </c>
      <c r="B593" s="12" t="s">
        <v>30</v>
      </c>
      <c r="C593" s="12" t="s">
        <v>32</v>
      </c>
      <c r="D593" s="6">
        <f t="shared" si="22"/>
        <v>31</v>
      </c>
      <c r="E593">
        <v>46</v>
      </c>
      <c r="F593" s="6">
        <f>VLOOKUP($E593,Sheet3!$B$3:$D$54,2,0)</f>
        <v>11</v>
      </c>
      <c r="G593" s="6">
        <f>VLOOKUP($E593,Sheet3!$B$3:$G$54,3,0)</f>
        <v>0</v>
      </c>
      <c r="H593" s="5">
        <f>VLOOKUP($A593,Sheet3!$I$3:$J$38,2,0)</f>
        <v>17.2</v>
      </c>
      <c r="I593" s="6">
        <f>VLOOKUP($E593,Sheet3!$B$3:$G$54,5,0)</f>
        <v>124251</v>
      </c>
      <c r="J593" s="5">
        <f>VLOOKUP($E593,Sheet3!$B$3:$G$54,4,0)</f>
        <v>3.65</v>
      </c>
      <c r="K593" s="5">
        <f>VLOOKUP($E593,Sheet3!$B$3:$G$54,6,0)</f>
        <v>1.3</v>
      </c>
      <c r="L593">
        <v>360</v>
      </c>
      <c r="M593">
        <v>264</v>
      </c>
      <c r="N593">
        <v>15</v>
      </c>
      <c r="O593" s="14">
        <f t="shared" si="20"/>
        <v>0.73333333333333328</v>
      </c>
    </row>
    <row r="594" spans="1:15" x14ac:dyDescent="0.3">
      <c r="A594" s="17" t="s">
        <v>45</v>
      </c>
      <c r="B594" s="12" t="s">
        <v>30</v>
      </c>
      <c r="C594" s="12" t="s">
        <v>32</v>
      </c>
      <c r="D594" s="6">
        <f t="shared" si="22"/>
        <v>31</v>
      </c>
      <c r="E594">
        <v>47</v>
      </c>
      <c r="F594" s="6">
        <f>VLOOKUP($E594,Sheet3!$B$3:$D$54,2,0)</f>
        <v>11</v>
      </c>
      <c r="G594" s="6">
        <f>VLOOKUP($E594,Sheet3!$B$3:$G$54,3,0)</f>
        <v>0</v>
      </c>
      <c r="H594" s="5">
        <f>VLOOKUP($A594,Sheet3!$I$3:$J$38,2,0)</f>
        <v>17.2</v>
      </c>
      <c r="I594" s="6">
        <f>VLOOKUP($E594,Sheet3!$B$3:$G$54,5,0)</f>
        <v>124251</v>
      </c>
      <c r="J594" s="5">
        <f>VLOOKUP($E594,Sheet3!$B$3:$G$54,4,0)</f>
        <v>3.65</v>
      </c>
      <c r="K594" s="5">
        <f>VLOOKUP($E594,Sheet3!$B$3:$G$54,6,0)</f>
        <v>1.3</v>
      </c>
      <c r="L594">
        <v>264</v>
      </c>
      <c r="M594">
        <v>216</v>
      </c>
      <c r="N594">
        <v>16</v>
      </c>
      <c r="O594" s="14">
        <f t="shared" si="20"/>
        <v>0.81818181818181823</v>
      </c>
    </row>
    <row r="595" spans="1:15" x14ac:dyDescent="0.3">
      <c r="A595" s="17" t="s">
        <v>45</v>
      </c>
      <c r="B595" s="12" t="s">
        <v>30</v>
      </c>
      <c r="C595" s="12" t="s">
        <v>32</v>
      </c>
      <c r="D595" s="6">
        <f t="shared" si="22"/>
        <v>35</v>
      </c>
      <c r="E595">
        <v>48</v>
      </c>
      <c r="F595" s="6">
        <f>VLOOKUP($E595,Sheet3!$B$3:$D$54,2,0)</f>
        <v>11</v>
      </c>
      <c r="G595" s="6">
        <f>VLOOKUP($E595,Sheet3!$B$3:$G$54,3,0)</f>
        <v>0</v>
      </c>
      <c r="H595" s="5">
        <f>VLOOKUP($A595,Sheet3!$I$3:$J$38,2,0)</f>
        <v>17.2</v>
      </c>
      <c r="I595" s="6">
        <f>VLOOKUP($E595,Sheet3!$B$3:$G$54,5,0)</f>
        <v>124251</v>
      </c>
      <c r="J595" s="5">
        <f>VLOOKUP($E595,Sheet3!$B$3:$G$54,4,0)</f>
        <v>3.65</v>
      </c>
      <c r="K595" s="5">
        <f>VLOOKUP($E595,Sheet3!$B$3:$G$54,6,0)</f>
        <v>1.3</v>
      </c>
      <c r="L595">
        <v>384</v>
      </c>
      <c r="M595">
        <v>120</v>
      </c>
      <c r="N595">
        <v>13</v>
      </c>
      <c r="O595" s="14">
        <f t="shared" si="20"/>
        <v>0.3125</v>
      </c>
    </row>
    <row r="596" spans="1:15" x14ac:dyDescent="0.3">
      <c r="A596" s="17" t="s">
        <v>45</v>
      </c>
      <c r="B596" s="12" t="s">
        <v>30</v>
      </c>
      <c r="C596" s="12" t="s">
        <v>32</v>
      </c>
      <c r="D596" s="6">
        <f t="shared" si="22"/>
        <v>35</v>
      </c>
      <c r="E596">
        <v>49</v>
      </c>
      <c r="F596" s="6">
        <f>VLOOKUP($E596,Sheet3!$B$3:$D$54,2,0)</f>
        <v>12</v>
      </c>
      <c r="G596" s="6">
        <f>VLOOKUP($E596,Sheet3!$B$3:$G$54,3,0)</f>
        <v>1</v>
      </c>
      <c r="H596" s="5">
        <f>VLOOKUP($A596,Sheet3!$I$3:$J$38,2,0)</f>
        <v>17.2</v>
      </c>
      <c r="I596" s="6">
        <f>VLOOKUP($E596,Sheet3!$B$3:$G$54,5,0)</f>
        <v>105715</v>
      </c>
      <c r="J596" s="5">
        <f>VLOOKUP($E596,Sheet3!$B$3:$G$54,4,0)</f>
        <v>3.65</v>
      </c>
      <c r="K596" s="5">
        <f>VLOOKUP($E596,Sheet3!$B$3:$G$54,6,0)</f>
        <v>1.3</v>
      </c>
      <c r="L596">
        <v>360</v>
      </c>
      <c r="M596">
        <v>120</v>
      </c>
      <c r="N596">
        <v>14</v>
      </c>
      <c r="O596" s="14">
        <f t="shared" si="20"/>
        <v>0.33333333333333331</v>
      </c>
    </row>
    <row r="597" spans="1:15" x14ac:dyDescent="0.3">
      <c r="A597" s="17" t="s">
        <v>45</v>
      </c>
      <c r="B597" s="12" t="s">
        <v>30</v>
      </c>
      <c r="C597" s="12" t="s">
        <v>32</v>
      </c>
      <c r="D597" s="6">
        <f t="shared" si="22"/>
        <v>35</v>
      </c>
      <c r="E597">
        <v>50</v>
      </c>
      <c r="F597" s="6">
        <f>VLOOKUP($E597,Sheet3!$B$3:$D$54,2,0)</f>
        <v>12</v>
      </c>
      <c r="G597" s="6">
        <f>VLOOKUP($E597,Sheet3!$B$3:$G$54,3,0)</f>
        <v>0</v>
      </c>
      <c r="H597" s="5">
        <f>VLOOKUP($A597,Sheet3!$I$3:$J$38,2,0)</f>
        <v>17.2</v>
      </c>
      <c r="I597" s="6">
        <f>VLOOKUP($E597,Sheet3!$B$3:$G$54,5,0)</f>
        <v>105715</v>
      </c>
      <c r="J597" s="5">
        <f>VLOOKUP($E597,Sheet3!$B$3:$G$54,4,0)</f>
        <v>3.4</v>
      </c>
      <c r="K597" s="5">
        <f>VLOOKUP($E597,Sheet3!$B$3:$G$54,6,0)</f>
        <v>1.3</v>
      </c>
      <c r="L597">
        <v>288</v>
      </c>
      <c r="M597">
        <v>288</v>
      </c>
      <c r="N597">
        <v>15</v>
      </c>
      <c r="O597" s="14">
        <f t="shared" si="20"/>
        <v>1</v>
      </c>
    </row>
    <row r="598" spans="1:15" x14ac:dyDescent="0.3">
      <c r="A598" s="17" t="s">
        <v>45</v>
      </c>
      <c r="B598" s="12" t="s">
        <v>30</v>
      </c>
      <c r="C598" s="12" t="s">
        <v>32</v>
      </c>
      <c r="D598" s="6">
        <f t="shared" si="22"/>
        <v>36</v>
      </c>
      <c r="E598">
        <v>51</v>
      </c>
      <c r="F598" s="6">
        <f>VLOOKUP($E598,Sheet3!$B$3:$D$54,2,0)</f>
        <v>12</v>
      </c>
      <c r="G598" s="6">
        <f>VLOOKUP($E598,Sheet3!$B$3:$G$54,3,0)</f>
        <v>0</v>
      </c>
      <c r="H598" s="5">
        <f>VLOOKUP($A598,Sheet3!$I$3:$J$38,2,0)</f>
        <v>17.2</v>
      </c>
      <c r="I598" s="6">
        <f>VLOOKUP($E598,Sheet3!$B$3:$G$54,5,0)</f>
        <v>105715</v>
      </c>
      <c r="J598" s="5">
        <f>VLOOKUP($E598,Sheet3!$B$3:$G$54,4,0)</f>
        <v>3.4</v>
      </c>
      <c r="K598" s="5">
        <f>VLOOKUP($E598,Sheet3!$B$3:$G$54,6,0)</f>
        <v>1.3</v>
      </c>
      <c r="L598">
        <v>0</v>
      </c>
      <c r="M598">
        <v>0</v>
      </c>
      <c r="N598">
        <v>15</v>
      </c>
      <c r="O598" s="14" t="e">
        <f t="shared" si="20"/>
        <v>#DIV/0!</v>
      </c>
    </row>
    <row r="599" spans="1:15" x14ac:dyDescent="0.3">
      <c r="A599" s="17" t="s">
        <v>45</v>
      </c>
      <c r="B599" s="12" t="s">
        <v>30</v>
      </c>
      <c r="C599" s="12" t="s">
        <v>32</v>
      </c>
      <c r="D599" s="6">
        <f t="shared" si="22"/>
        <v>40</v>
      </c>
      <c r="E599">
        <v>52</v>
      </c>
      <c r="F599" s="6">
        <f>VLOOKUP($E599,Sheet3!$B$3:$D$54,2,0)</f>
        <v>12</v>
      </c>
      <c r="G599" s="6">
        <f>VLOOKUP($E599,Sheet3!$B$3:$G$54,3,0)</f>
        <v>1</v>
      </c>
      <c r="H599" s="5">
        <f>VLOOKUP($A599,Sheet3!$I$3:$J$38,2,0)</f>
        <v>17.2</v>
      </c>
      <c r="I599" s="6">
        <f>VLOOKUP($E599,Sheet3!$B$3:$G$54,5,0)</f>
        <v>105715</v>
      </c>
      <c r="J599" s="5">
        <f>VLOOKUP($E599,Sheet3!$B$3:$G$54,4,0)</f>
        <v>3.4</v>
      </c>
      <c r="K599" s="5">
        <f>VLOOKUP($E599,Sheet3!$B$3:$G$54,6,0)</f>
        <v>1.3</v>
      </c>
      <c r="L599">
        <v>168</v>
      </c>
      <c r="M599">
        <v>0</v>
      </c>
      <c r="N599">
        <v>12</v>
      </c>
      <c r="O599" s="14">
        <f t="shared" si="20"/>
        <v>0</v>
      </c>
    </row>
    <row r="600" spans="1:15" x14ac:dyDescent="0.3">
      <c r="A600" s="17" t="s">
        <v>45</v>
      </c>
      <c r="B600" s="12" t="s">
        <v>30</v>
      </c>
      <c r="C600" s="12" t="s">
        <v>32</v>
      </c>
      <c r="D600" s="6">
        <f t="shared" si="22"/>
        <v>40</v>
      </c>
      <c r="E600">
        <v>1</v>
      </c>
      <c r="F600" s="6">
        <f>VLOOKUP($E600,Sheet3!$B$3:$D$54,2,0)</f>
        <v>12</v>
      </c>
      <c r="G600" s="6">
        <f>VLOOKUP($E600,Sheet3!$B$3:$G$54,3,0)</f>
        <v>1</v>
      </c>
      <c r="H600" s="5">
        <f>VLOOKUP($A600,Sheet3!$I$3:$J$38,2,0)</f>
        <v>17.2</v>
      </c>
      <c r="I600" s="6">
        <f>VLOOKUP($E600,Sheet3!$B$3:$G$54,5,0)</f>
        <v>105715</v>
      </c>
      <c r="J600" s="5">
        <f>VLOOKUP($E600,Sheet3!$B$3:$G$54,4,0)</f>
        <v>3.4</v>
      </c>
      <c r="K600" s="5">
        <f>VLOOKUP($E600,Sheet3!$B$3:$G$54,6,0)</f>
        <v>1.3</v>
      </c>
      <c r="L600">
        <v>456</v>
      </c>
      <c r="M600">
        <v>24</v>
      </c>
      <c r="N600">
        <v>13</v>
      </c>
      <c r="O600" s="14">
        <f t="shared" si="20"/>
        <v>5.2631578947368418E-2</v>
      </c>
    </row>
    <row r="601" spans="1:15" x14ac:dyDescent="0.3">
      <c r="A601" s="17" t="s">
        <v>45</v>
      </c>
      <c r="B601" s="12" t="s">
        <v>30</v>
      </c>
      <c r="C601" s="12" t="s">
        <v>32</v>
      </c>
      <c r="D601" s="6">
        <f t="shared" si="22"/>
        <v>40</v>
      </c>
      <c r="E601">
        <v>2</v>
      </c>
      <c r="F601" s="6">
        <f>VLOOKUP($E601,Sheet3!$B$3:$D$54,2,0)</f>
        <v>1</v>
      </c>
      <c r="G601" s="6">
        <f>VLOOKUP($E601,Sheet3!$B$3:$G$54,3,0)</f>
        <v>1</v>
      </c>
      <c r="H601" s="5">
        <f>VLOOKUP($A601,Sheet3!$I$3:$J$38,2,0)</f>
        <v>17.2</v>
      </c>
      <c r="I601" s="6">
        <f>VLOOKUP($E601,Sheet3!$B$3:$G$54,5,0)</f>
        <v>133692</v>
      </c>
      <c r="J601" s="5">
        <f>VLOOKUP($E601,Sheet3!$B$3:$G$54,4,0)</f>
        <v>3.4</v>
      </c>
      <c r="K601" s="5">
        <f>VLOOKUP($E601,Sheet3!$B$3:$G$54,6,0)</f>
        <v>1.5</v>
      </c>
      <c r="L601">
        <v>456</v>
      </c>
      <c r="M601">
        <v>48</v>
      </c>
      <c r="N601">
        <v>14</v>
      </c>
      <c r="O601" s="14">
        <f t="shared" si="20"/>
        <v>0.10526315789473684</v>
      </c>
    </row>
    <row r="602" spans="1:15" x14ac:dyDescent="0.3">
      <c r="A602" s="17" t="s">
        <v>45</v>
      </c>
      <c r="B602" s="12" t="s">
        <v>30</v>
      </c>
      <c r="C602" s="12" t="s">
        <v>32</v>
      </c>
      <c r="D602" s="6">
        <f t="shared" si="22"/>
        <v>40</v>
      </c>
      <c r="E602">
        <v>3</v>
      </c>
      <c r="F602" s="6">
        <f>VLOOKUP($E602,Sheet3!$B$3:$D$54,2,0)</f>
        <v>1</v>
      </c>
      <c r="G602" s="6">
        <f>VLOOKUP($E602,Sheet3!$B$3:$G$54,3,0)</f>
        <v>0</v>
      </c>
      <c r="H602" s="5">
        <f>VLOOKUP($A602,Sheet3!$I$3:$J$38,2,0)</f>
        <v>17.2</v>
      </c>
      <c r="I602" s="6">
        <f>VLOOKUP($E602,Sheet3!$B$3:$G$54,5,0)</f>
        <v>133692</v>
      </c>
      <c r="J602" s="5">
        <f>VLOOKUP($E602,Sheet3!$B$3:$G$54,4,0)</f>
        <v>3.4</v>
      </c>
      <c r="K602" s="5">
        <f>VLOOKUP($E602,Sheet3!$B$3:$G$54,6,0)</f>
        <v>1.5</v>
      </c>
      <c r="L602">
        <v>552</v>
      </c>
      <c r="M602">
        <v>72</v>
      </c>
      <c r="N602">
        <v>15</v>
      </c>
      <c r="O602" s="14">
        <f t="shared" si="20"/>
        <v>0.13043478260869565</v>
      </c>
    </row>
    <row r="603" spans="1:15" x14ac:dyDescent="0.3">
      <c r="A603" s="17" t="s">
        <v>45</v>
      </c>
      <c r="B603" s="12" t="s">
        <v>30</v>
      </c>
      <c r="C603" s="12" t="s">
        <v>32</v>
      </c>
      <c r="D603" s="6">
        <f t="shared" si="22"/>
        <v>40</v>
      </c>
      <c r="E603">
        <v>4</v>
      </c>
      <c r="F603" s="6">
        <f>VLOOKUP($E603,Sheet3!$B$3:$D$54,2,0)</f>
        <v>1</v>
      </c>
      <c r="G603" s="6">
        <f>VLOOKUP($E603,Sheet3!$B$3:$G$54,3,0)</f>
        <v>0</v>
      </c>
      <c r="H603" s="5">
        <f>VLOOKUP($A603,Sheet3!$I$3:$J$38,2,0)</f>
        <v>17.2</v>
      </c>
      <c r="I603" s="6">
        <f>VLOOKUP($E603,Sheet3!$B$3:$G$54,5,0)</f>
        <v>133692</v>
      </c>
      <c r="J603" s="5">
        <f>VLOOKUP($E603,Sheet3!$B$3:$G$54,4,0)</f>
        <v>3.4</v>
      </c>
      <c r="K603" s="5">
        <f>VLOOKUP($E603,Sheet3!$B$3:$G$54,6,0)</f>
        <v>1.5</v>
      </c>
      <c r="L603">
        <v>528</v>
      </c>
      <c r="M603">
        <v>96</v>
      </c>
      <c r="N603">
        <v>16</v>
      </c>
      <c r="O603" s="14">
        <f t="shared" si="20"/>
        <v>0.18181818181818182</v>
      </c>
    </row>
    <row r="604" spans="1:15" x14ac:dyDescent="0.3">
      <c r="A604" s="17" t="s">
        <v>45</v>
      </c>
      <c r="B604" s="12" t="s">
        <v>30</v>
      </c>
      <c r="C604" s="12" t="s">
        <v>32</v>
      </c>
      <c r="D604" s="6">
        <f t="shared" si="22"/>
        <v>44</v>
      </c>
      <c r="E604">
        <v>5</v>
      </c>
      <c r="F604" s="6">
        <f>VLOOKUP($E604,Sheet3!$B$3:$D$54,2,0)</f>
        <v>1</v>
      </c>
      <c r="G604" s="6">
        <f>VLOOKUP($E604,Sheet3!$B$3:$G$54,3,0)</f>
        <v>0</v>
      </c>
      <c r="H604" s="5">
        <f>VLOOKUP($A604,Sheet3!$I$3:$J$38,2,0)</f>
        <v>17.2</v>
      </c>
      <c r="I604" s="6">
        <f>VLOOKUP($E604,Sheet3!$B$3:$G$54,5,0)</f>
        <v>133692</v>
      </c>
      <c r="J604" s="5">
        <f>VLOOKUP($E604,Sheet3!$B$3:$G$54,4,0)</f>
        <v>3.4</v>
      </c>
      <c r="K604" s="5">
        <f>VLOOKUP($E604,Sheet3!$B$3:$G$54,6,0)</f>
        <v>1.5</v>
      </c>
      <c r="L604">
        <v>264</v>
      </c>
      <c r="M604">
        <v>144</v>
      </c>
      <c r="N604">
        <v>13</v>
      </c>
      <c r="O604" s="14">
        <f t="shared" si="20"/>
        <v>0.54545454545454541</v>
      </c>
    </row>
    <row r="605" spans="1:15" x14ac:dyDescent="0.3">
      <c r="A605" s="17" t="s">
        <v>45</v>
      </c>
      <c r="B605" s="12" t="s">
        <v>30</v>
      </c>
      <c r="C605" s="12" t="s">
        <v>32</v>
      </c>
      <c r="D605" s="6">
        <f t="shared" si="22"/>
        <v>44</v>
      </c>
      <c r="E605">
        <v>6</v>
      </c>
      <c r="F605" s="6">
        <f>VLOOKUP($E605,Sheet3!$B$3:$D$54,2,0)</f>
        <v>2</v>
      </c>
      <c r="G605" s="6">
        <f>VLOOKUP($E605,Sheet3!$B$3:$G$54,3,0)</f>
        <v>0</v>
      </c>
      <c r="H605" s="5">
        <f>VLOOKUP($A605,Sheet3!$I$3:$J$38,2,0)</f>
        <v>17.2</v>
      </c>
      <c r="I605" s="6">
        <f>VLOOKUP($E605,Sheet3!$B$3:$G$54,5,0)</f>
        <v>137922</v>
      </c>
      <c r="J605" s="5">
        <f>VLOOKUP($E605,Sheet3!$B$3:$G$54,4,0)</f>
        <v>3.15</v>
      </c>
      <c r="K605" s="5">
        <f>VLOOKUP($E605,Sheet3!$B$3:$G$54,6,0)</f>
        <v>1.6</v>
      </c>
      <c r="L605">
        <v>288</v>
      </c>
      <c r="M605">
        <v>96</v>
      </c>
      <c r="N605">
        <v>14</v>
      </c>
      <c r="O605" s="14">
        <f t="shared" si="20"/>
        <v>0.33333333333333331</v>
      </c>
    </row>
    <row r="606" spans="1:15" x14ac:dyDescent="0.3">
      <c r="A606" s="17" t="s">
        <v>45</v>
      </c>
      <c r="B606" s="12" t="s">
        <v>30</v>
      </c>
      <c r="C606" s="12" t="s">
        <v>32</v>
      </c>
      <c r="D606" s="6">
        <f t="shared" si="22"/>
        <v>44</v>
      </c>
      <c r="E606">
        <v>7</v>
      </c>
      <c r="F606" s="6">
        <f>VLOOKUP($E606,Sheet3!$B$3:$D$54,2,0)</f>
        <v>2</v>
      </c>
      <c r="G606" s="6">
        <f>VLOOKUP($E606,Sheet3!$B$3:$G$54,3,0)</f>
        <v>0</v>
      </c>
      <c r="H606" s="5">
        <f>VLOOKUP($A606,Sheet3!$I$3:$J$38,2,0)</f>
        <v>17.2</v>
      </c>
      <c r="I606" s="6">
        <f>VLOOKUP($E606,Sheet3!$B$3:$G$54,5,0)</f>
        <v>137922</v>
      </c>
      <c r="J606" s="5">
        <f>VLOOKUP($E606,Sheet3!$B$3:$G$54,4,0)</f>
        <v>3.15</v>
      </c>
      <c r="K606" s="5">
        <f>VLOOKUP($E606,Sheet3!$B$3:$G$54,6,0)</f>
        <v>1.6</v>
      </c>
      <c r="L606">
        <v>336</v>
      </c>
      <c r="M606">
        <v>240</v>
      </c>
      <c r="N606">
        <v>15</v>
      </c>
      <c r="O606" s="14">
        <f t="shared" si="20"/>
        <v>0.7142857142857143</v>
      </c>
    </row>
    <row r="607" spans="1:15" x14ac:dyDescent="0.3">
      <c r="A607" s="17" t="s">
        <v>45</v>
      </c>
      <c r="B607" s="12" t="s">
        <v>30</v>
      </c>
      <c r="C607" s="12" t="s">
        <v>32</v>
      </c>
      <c r="D607" s="6">
        <f t="shared" si="22"/>
        <v>44</v>
      </c>
      <c r="E607">
        <v>8</v>
      </c>
      <c r="F607" s="6">
        <f>VLOOKUP($E607,Sheet3!$B$3:$D$54,2,0)</f>
        <v>2</v>
      </c>
      <c r="G607" s="6">
        <f>VLOOKUP($E607,Sheet3!$B$3:$G$54,3,0)</f>
        <v>0</v>
      </c>
      <c r="H607" s="5">
        <f>VLOOKUP($A607,Sheet3!$I$3:$J$38,2,0)</f>
        <v>17.2</v>
      </c>
      <c r="I607" s="6">
        <f>VLOOKUP($E607,Sheet3!$B$3:$G$54,5,0)</f>
        <v>137922</v>
      </c>
      <c r="J607" s="5">
        <f>VLOOKUP($E607,Sheet3!$B$3:$G$54,4,0)</f>
        <v>3.15</v>
      </c>
      <c r="K607" s="5">
        <f>VLOOKUP($E607,Sheet3!$B$3:$G$54,6,0)</f>
        <v>1.6</v>
      </c>
      <c r="L607">
        <v>192</v>
      </c>
      <c r="M607">
        <v>288</v>
      </c>
      <c r="N607">
        <v>16</v>
      </c>
      <c r="O607" s="14">
        <f t="shared" si="20"/>
        <v>1.5</v>
      </c>
    </row>
    <row r="608" spans="1:15" x14ac:dyDescent="0.3">
      <c r="A608" s="17" t="s">
        <v>45</v>
      </c>
      <c r="B608" s="12" t="s">
        <v>30</v>
      </c>
      <c r="C608" s="12" t="s">
        <v>32</v>
      </c>
      <c r="D608" s="6">
        <f t="shared" si="22"/>
        <v>49</v>
      </c>
      <c r="E608">
        <v>9</v>
      </c>
      <c r="F608" s="6">
        <f>VLOOKUP($E608,Sheet3!$B$3:$D$54,2,0)</f>
        <v>2</v>
      </c>
      <c r="G608" s="6">
        <f>VLOOKUP($E608,Sheet3!$B$3:$G$54,3,0)</f>
        <v>0</v>
      </c>
      <c r="H608" s="5">
        <f>VLOOKUP($A608,Sheet3!$I$3:$J$38,2,0)</f>
        <v>17.2</v>
      </c>
      <c r="I608" s="6">
        <f>VLOOKUP($E608,Sheet3!$B$3:$G$54,5,0)</f>
        <v>137922</v>
      </c>
      <c r="J608" s="5">
        <f>VLOOKUP($E608,Sheet3!$B$3:$G$54,4,0)</f>
        <v>3.15</v>
      </c>
      <c r="K608" s="5">
        <f>VLOOKUP($E608,Sheet3!$B$3:$G$54,6,0)</f>
        <v>1.6</v>
      </c>
      <c r="L608">
        <v>264</v>
      </c>
      <c r="M608">
        <v>624</v>
      </c>
      <c r="N608">
        <v>12</v>
      </c>
      <c r="O608" s="14">
        <f t="shared" si="20"/>
        <v>2.3636363636363638</v>
      </c>
    </row>
    <row r="609" spans="1:15" x14ac:dyDescent="0.3">
      <c r="A609" s="17" t="s">
        <v>45</v>
      </c>
      <c r="B609" s="12" t="s">
        <v>30</v>
      </c>
      <c r="C609" s="12" t="s">
        <v>32</v>
      </c>
      <c r="D609" s="6">
        <f t="shared" si="22"/>
        <v>49</v>
      </c>
      <c r="E609">
        <v>10</v>
      </c>
      <c r="F609" s="6">
        <f>VLOOKUP($E609,Sheet3!$B$3:$D$54,2,0)</f>
        <v>3</v>
      </c>
      <c r="G609" s="6">
        <f>VLOOKUP($E609,Sheet3!$B$3:$G$54,3,0)</f>
        <v>0</v>
      </c>
      <c r="H609" s="5">
        <f>VLOOKUP($A609,Sheet3!$I$3:$J$38,2,0)</f>
        <v>17.2</v>
      </c>
      <c r="I609" s="6">
        <f>VLOOKUP($E609,Sheet3!$B$3:$G$54,5,0)</f>
        <v>172223</v>
      </c>
      <c r="J609" s="5">
        <f>VLOOKUP($E609,Sheet3!$B$3:$G$54,4,0)</f>
        <v>3.15</v>
      </c>
      <c r="K609" s="5">
        <f>VLOOKUP($E609,Sheet3!$B$3:$G$54,6,0)</f>
        <v>1.9</v>
      </c>
      <c r="L609">
        <v>240</v>
      </c>
      <c r="M609">
        <v>168</v>
      </c>
      <c r="N609">
        <v>13</v>
      </c>
      <c r="O609" s="14">
        <f t="shared" si="20"/>
        <v>0.7</v>
      </c>
    </row>
    <row r="610" spans="1:15" x14ac:dyDescent="0.3">
      <c r="A610" s="17" t="s">
        <v>45</v>
      </c>
      <c r="B610" s="12" t="s">
        <v>30</v>
      </c>
      <c r="C610" s="12" t="s">
        <v>32</v>
      </c>
      <c r="D610" s="6">
        <f t="shared" si="22"/>
        <v>49</v>
      </c>
      <c r="E610">
        <v>11</v>
      </c>
      <c r="F610" s="6">
        <f>VLOOKUP($E610,Sheet3!$B$3:$D$54,2,0)</f>
        <v>3</v>
      </c>
      <c r="G610" s="6">
        <f>VLOOKUP($E610,Sheet3!$B$3:$G$54,3,0)</f>
        <v>0</v>
      </c>
      <c r="H610" s="5">
        <f>VLOOKUP($A610,Sheet3!$I$3:$J$38,2,0)</f>
        <v>17.2</v>
      </c>
      <c r="I610" s="6">
        <f>VLOOKUP($E610,Sheet3!$B$3:$G$54,5,0)</f>
        <v>172223</v>
      </c>
      <c r="J610" s="5">
        <f>VLOOKUP($E610,Sheet3!$B$3:$G$54,4,0)</f>
        <v>2.9</v>
      </c>
      <c r="K610" s="5">
        <f>VLOOKUP($E610,Sheet3!$B$3:$G$54,6,0)</f>
        <v>1.9</v>
      </c>
      <c r="L610">
        <v>168</v>
      </c>
      <c r="M610">
        <v>192</v>
      </c>
      <c r="N610">
        <v>14</v>
      </c>
      <c r="O610" s="14">
        <f t="shared" si="20"/>
        <v>1.1428571428571428</v>
      </c>
    </row>
    <row r="611" spans="1:15" x14ac:dyDescent="0.3">
      <c r="A611" s="17" t="s">
        <v>45</v>
      </c>
      <c r="B611" s="12" t="s">
        <v>30</v>
      </c>
      <c r="C611" s="12" t="s">
        <v>32</v>
      </c>
      <c r="D611" s="6">
        <f t="shared" si="22"/>
        <v>49</v>
      </c>
      <c r="E611">
        <v>12</v>
      </c>
      <c r="F611" s="6">
        <f>VLOOKUP($E611,Sheet3!$B$3:$D$54,2,0)</f>
        <v>3</v>
      </c>
      <c r="G611" s="6">
        <f>VLOOKUP($E611,Sheet3!$B$3:$G$54,3,0)</f>
        <v>0</v>
      </c>
      <c r="H611" s="5">
        <f>VLOOKUP($A611,Sheet3!$I$3:$J$38,2,0)</f>
        <v>17.2</v>
      </c>
      <c r="I611" s="6">
        <f>VLOOKUP($E611,Sheet3!$B$3:$G$54,5,0)</f>
        <v>172223</v>
      </c>
      <c r="J611" s="5">
        <f>VLOOKUP($E611,Sheet3!$B$3:$G$54,4,0)</f>
        <v>2.9</v>
      </c>
      <c r="K611" s="5">
        <f>VLOOKUP($E611,Sheet3!$B$3:$G$54,6,0)</f>
        <v>1.9</v>
      </c>
      <c r="L611">
        <v>288</v>
      </c>
      <c r="M611">
        <v>240</v>
      </c>
      <c r="N611">
        <v>15</v>
      </c>
      <c r="O611" s="14">
        <f t="shared" si="20"/>
        <v>0.83333333333333337</v>
      </c>
    </row>
    <row r="612" spans="1:15" x14ac:dyDescent="0.3">
      <c r="A612" s="17" t="s">
        <v>45</v>
      </c>
      <c r="B612" s="12" t="s">
        <v>30</v>
      </c>
      <c r="C612" s="12" t="s">
        <v>32</v>
      </c>
      <c r="D612" s="6">
        <f t="shared" si="22"/>
        <v>49</v>
      </c>
      <c r="E612">
        <v>13</v>
      </c>
      <c r="F612" s="6">
        <f>VLOOKUP($E612,Sheet3!$B$3:$D$54,2,0)</f>
        <v>3</v>
      </c>
      <c r="G612" s="6">
        <f>VLOOKUP($E612,Sheet3!$B$3:$G$54,3,0)</f>
        <v>0</v>
      </c>
      <c r="H612" s="5">
        <f>VLOOKUP($A612,Sheet3!$I$3:$J$38,2,0)</f>
        <v>17.2</v>
      </c>
      <c r="I612" s="6">
        <f>VLOOKUP($E612,Sheet3!$B$3:$G$54,5,0)</f>
        <v>172223</v>
      </c>
      <c r="J612" s="5">
        <f>VLOOKUP($E612,Sheet3!$B$3:$G$54,4,0)</f>
        <v>2.9</v>
      </c>
      <c r="K612" s="5">
        <f>VLOOKUP($E612,Sheet3!$B$3:$G$54,6,0)</f>
        <v>1.9</v>
      </c>
      <c r="L612">
        <v>264</v>
      </c>
      <c r="M612">
        <v>408</v>
      </c>
      <c r="N612">
        <v>16</v>
      </c>
      <c r="O612" s="14">
        <f t="shared" si="20"/>
        <v>1.5454545454545454</v>
      </c>
    </row>
    <row r="613" spans="1:15" x14ac:dyDescent="0.3">
      <c r="A613" s="17" t="s">
        <v>45</v>
      </c>
      <c r="B613" s="12" t="s">
        <v>30</v>
      </c>
      <c r="C613" s="12" t="s">
        <v>32</v>
      </c>
      <c r="D613" s="6">
        <f t="shared" si="22"/>
        <v>2</v>
      </c>
      <c r="E613">
        <v>14</v>
      </c>
      <c r="F613" s="6">
        <f>VLOOKUP($E613,Sheet3!$B$3:$D$54,2,0)</f>
        <v>3</v>
      </c>
      <c r="G613" s="6">
        <f>VLOOKUP($E613,Sheet3!$B$3:$G$54,3,0)</f>
        <v>0</v>
      </c>
      <c r="H613" s="5">
        <f>VLOOKUP($A613,Sheet3!$I$3:$J$38,2,0)</f>
        <v>17.2</v>
      </c>
      <c r="I613" s="6">
        <f>VLOOKUP($E613,Sheet3!$B$3:$G$54,5,0)</f>
        <v>172223</v>
      </c>
      <c r="J613" s="5">
        <f>VLOOKUP($E613,Sheet3!$B$3:$G$54,4,0)</f>
        <v>2.9</v>
      </c>
      <c r="K613" s="5">
        <f>VLOOKUP($E613,Sheet3!$B$3:$G$54,6,0)</f>
        <v>1.9</v>
      </c>
      <c r="L613">
        <v>264</v>
      </c>
      <c r="M613">
        <v>144</v>
      </c>
      <c r="N613">
        <v>12</v>
      </c>
      <c r="O613" s="14">
        <f t="shared" si="20"/>
        <v>0.54545454545454541</v>
      </c>
    </row>
    <row r="614" spans="1:15" x14ac:dyDescent="0.3">
      <c r="A614" s="17" t="s">
        <v>45</v>
      </c>
      <c r="B614" s="12" t="s">
        <v>30</v>
      </c>
      <c r="C614" s="12" t="s">
        <v>32</v>
      </c>
      <c r="D614" s="6">
        <f t="shared" si="22"/>
        <v>2</v>
      </c>
      <c r="E614">
        <v>15</v>
      </c>
      <c r="F614" s="6">
        <f>VLOOKUP($E614,Sheet3!$B$3:$D$54,2,0)</f>
        <v>4</v>
      </c>
      <c r="G614" s="6">
        <f>VLOOKUP($E614,Sheet3!$B$3:$G$54,3,0)</f>
        <v>0</v>
      </c>
      <c r="H614" s="5">
        <f>VLOOKUP($A614,Sheet3!$I$3:$J$38,2,0)</f>
        <v>17.2</v>
      </c>
      <c r="I614" s="6">
        <f>VLOOKUP($E614,Sheet3!$B$3:$G$54,5,0)</f>
        <v>139084</v>
      </c>
      <c r="J614" s="5">
        <f>VLOOKUP($E614,Sheet3!$B$3:$G$54,4,0)</f>
        <v>2.9</v>
      </c>
      <c r="K614" s="5">
        <f>VLOOKUP($E614,Sheet3!$B$3:$G$54,6,0)</f>
        <v>1.9</v>
      </c>
      <c r="L614">
        <v>48</v>
      </c>
      <c r="M614">
        <v>24</v>
      </c>
      <c r="N614">
        <v>13</v>
      </c>
      <c r="O614" s="14">
        <f t="shared" si="20"/>
        <v>0.5</v>
      </c>
    </row>
    <row r="615" spans="1:15" x14ac:dyDescent="0.3">
      <c r="A615" s="17" t="s">
        <v>45</v>
      </c>
      <c r="B615" s="12" t="s">
        <v>30</v>
      </c>
      <c r="C615" s="12" t="s">
        <v>32</v>
      </c>
      <c r="D615" s="6">
        <f t="shared" si="22"/>
        <v>2</v>
      </c>
      <c r="E615">
        <v>16</v>
      </c>
      <c r="F615" s="6">
        <f>VLOOKUP($E615,Sheet3!$B$3:$D$54,2,0)</f>
        <v>4</v>
      </c>
      <c r="G615" s="6">
        <f>VLOOKUP($E615,Sheet3!$B$3:$G$54,3,0)</f>
        <v>0</v>
      </c>
      <c r="H615" s="5">
        <f>VLOOKUP($A615,Sheet3!$I$3:$J$38,2,0)</f>
        <v>17.2</v>
      </c>
      <c r="I615" s="6">
        <f>VLOOKUP($E615,Sheet3!$B$3:$G$54,5,0)</f>
        <v>139084</v>
      </c>
      <c r="J615" s="5">
        <f>VLOOKUP($E615,Sheet3!$B$3:$G$54,4,0)</f>
        <v>2.9</v>
      </c>
      <c r="K615" s="5">
        <f>VLOOKUP($E615,Sheet3!$B$3:$G$54,6,0)</f>
        <v>1.9</v>
      </c>
      <c r="L615">
        <v>192</v>
      </c>
      <c r="M615">
        <v>0</v>
      </c>
      <c r="N615">
        <v>14</v>
      </c>
      <c r="O615" s="14">
        <f t="shared" si="20"/>
        <v>0</v>
      </c>
    </row>
    <row r="616" spans="1:15" x14ac:dyDescent="0.3">
      <c r="A616" s="17" t="s">
        <v>45</v>
      </c>
      <c r="B616" s="12" t="s">
        <v>30</v>
      </c>
      <c r="C616" s="12" t="s">
        <v>32</v>
      </c>
      <c r="D616" s="6">
        <f t="shared" si="22"/>
        <v>2</v>
      </c>
      <c r="E616">
        <v>17</v>
      </c>
      <c r="F616" s="6">
        <f>VLOOKUP($E616,Sheet3!$B$3:$D$54,2,0)</f>
        <v>4</v>
      </c>
      <c r="G616" s="6">
        <f>VLOOKUP($E616,Sheet3!$B$3:$G$54,3,0)</f>
        <v>1</v>
      </c>
      <c r="H616" s="5">
        <f>VLOOKUP($A616,Sheet3!$I$3:$J$38,2,0)</f>
        <v>17.2</v>
      </c>
      <c r="I616" s="6">
        <f>VLOOKUP($E616,Sheet3!$B$3:$G$54,5,0)</f>
        <v>139084</v>
      </c>
      <c r="J616" s="5">
        <f>VLOOKUP($E616,Sheet3!$B$3:$G$54,4,0)</f>
        <v>2.65</v>
      </c>
      <c r="K616" s="5">
        <f>VLOOKUP($E616,Sheet3!$B$3:$G$54,6,0)</f>
        <v>1.9</v>
      </c>
      <c r="L616">
        <v>72</v>
      </c>
      <c r="M616">
        <v>264</v>
      </c>
      <c r="N616">
        <v>15</v>
      </c>
      <c r="O616" s="14">
        <f t="shared" si="20"/>
        <v>3.6666666666666665</v>
      </c>
    </row>
    <row r="617" spans="1:15" x14ac:dyDescent="0.3">
      <c r="A617" s="17" t="s">
        <v>45</v>
      </c>
      <c r="B617" s="12" t="s">
        <v>30</v>
      </c>
      <c r="C617" s="12" t="s">
        <v>32</v>
      </c>
      <c r="D617" s="6">
        <f t="shared" si="22"/>
        <v>5</v>
      </c>
      <c r="E617">
        <v>18</v>
      </c>
      <c r="F617" s="6">
        <f>VLOOKUP($E617,Sheet3!$B$3:$D$54,2,0)</f>
        <v>4</v>
      </c>
      <c r="G617" s="6">
        <f>VLOOKUP($E617,Sheet3!$B$3:$G$54,3,0)</f>
        <v>1</v>
      </c>
      <c r="H617" s="5">
        <f>VLOOKUP($A617,Sheet3!$I$3:$J$38,2,0)</f>
        <v>17.2</v>
      </c>
      <c r="I617" s="6">
        <f>VLOOKUP($E617,Sheet3!$B$3:$G$54,5,0)</f>
        <v>139084</v>
      </c>
      <c r="J617" s="5">
        <f>VLOOKUP($E617,Sheet3!$B$3:$G$54,4,0)</f>
        <v>2.65</v>
      </c>
      <c r="K617" s="5">
        <f>VLOOKUP($E617,Sheet3!$B$3:$G$54,6,0)</f>
        <v>1.9</v>
      </c>
      <c r="L617">
        <v>288</v>
      </c>
      <c r="M617">
        <v>144</v>
      </c>
      <c r="N617">
        <v>13</v>
      </c>
      <c r="O617" s="14">
        <f t="shared" si="20"/>
        <v>0.5</v>
      </c>
    </row>
    <row r="618" spans="1:15" x14ac:dyDescent="0.3">
      <c r="A618" s="17" t="s">
        <v>45</v>
      </c>
      <c r="B618" s="12" t="s">
        <v>30</v>
      </c>
      <c r="C618" s="12" t="s">
        <v>32</v>
      </c>
      <c r="D618" s="6">
        <f t="shared" si="22"/>
        <v>5</v>
      </c>
      <c r="E618">
        <v>19</v>
      </c>
      <c r="F618" s="6">
        <f>VLOOKUP($E618,Sheet3!$B$3:$D$54,2,0)</f>
        <v>5</v>
      </c>
      <c r="G618" s="6">
        <f>VLOOKUP($E618,Sheet3!$B$3:$G$54,3,0)</f>
        <v>0</v>
      </c>
      <c r="H618" s="5">
        <f>VLOOKUP($A618,Sheet3!$I$3:$J$38,2,0)</f>
        <v>17.2</v>
      </c>
      <c r="I618" s="6">
        <f>VLOOKUP($E618,Sheet3!$B$3:$G$54,5,0)</f>
        <v>139390</v>
      </c>
      <c r="J618" s="5">
        <f>VLOOKUP($E618,Sheet3!$B$3:$G$54,4,0)</f>
        <v>2.65</v>
      </c>
      <c r="K618" s="5">
        <f>VLOOKUP($E618,Sheet3!$B$3:$G$54,6,0)</f>
        <v>1.6</v>
      </c>
      <c r="L618">
        <v>384</v>
      </c>
      <c r="M618">
        <v>288</v>
      </c>
      <c r="N618">
        <v>14</v>
      </c>
      <c r="O618" s="14">
        <f t="shared" si="20"/>
        <v>0.75</v>
      </c>
    </row>
    <row r="619" spans="1:15" x14ac:dyDescent="0.3">
      <c r="A619" s="17" t="s">
        <v>45</v>
      </c>
      <c r="B619" s="12" t="s">
        <v>30</v>
      </c>
      <c r="C619" s="12" t="s">
        <v>32</v>
      </c>
      <c r="D619" s="6">
        <f t="shared" si="22"/>
        <v>5</v>
      </c>
      <c r="E619">
        <v>20</v>
      </c>
      <c r="F619" s="6">
        <f>VLOOKUP($E619,Sheet3!$B$3:$D$54,2,0)</f>
        <v>5</v>
      </c>
      <c r="G619" s="6">
        <f>VLOOKUP($E619,Sheet3!$B$3:$G$54,3,0)</f>
        <v>0</v>
      </c>
      <c r="H619" s="5">
        <f>VLOOKUP($A619,Sheet3!$I$3:$J$38,2,0)</f>
        <v>17.2</v>
      </c>
      <c r="I619" s="6">
        <f>VLOOKUP($E619,Sheet3!$B$3:$G$54,5,0)</f>
        <v>139390</v>
      </c>
      <c r="J619" s="5">
        <f>VLOOKUP($E619,Sheet3!$B$3:$G$54,4,0)</f>
        <v>2.65</v>
      </c>
      <c r="K619" s="5">
        <f>VLOOKUP($E619,Sheet3!$B$3:$G$54,6,0)</f>
        <v>1.6</v>
      </c>
      <c r="L619">
        <v>312</v>
      </c>
      <c r="M619">
        <v>216</v>
      </c>
      <c r="N619">
        <v>15</v>
      </c>
      <c r="O619" s="14">
        <f t="shared" si="20"/>
        <v>0.69230769230769229</v>
      </c>
    </row>
    <row r="620" spans="1:15" x14ac:dyDescent="0.3">
      <c r="A620" s="17" t="s">
        <v>45</v>
      </c>
      <c r="B620" s="12" t="s">
        <v>30</v>
      </c>
      <c r="C620" s="12" t="s">
        <v>32</v>
      </c>
      <c r="D620" s="6">
        <f t="shared" si="22"/>
        <v>5</v>
      </c>
      <c r="E620">
        <v>21</v>
      </c>
      <c r="F620" s="6">
        <f>VLOOKUP($E620,Sheet3!$B$3:$D$54,2,0)</f>
        <v>5</v>
      </c>
      <c r="G620" s="6">
        <f>VLOOKUP($E620,Sheet3!$B$3:$G$54,3,0)</f>
        <v>0</v>
      </c>
      <c r="H620" s="5">
        <f>VLOOKUP($A620,Sheet3!$I$3:$J$38,2,0)</f>
        <v>17.2</v>
      </c>
      <c r="I620" s="6">
        <f>VLOOKUP($E620,Sheet3!$B$3:$G$54,5,0)</f>
        <v>139390</v>
      </c>
      <c r="J620" s="5">
        <f>VLOOKUP($E620,Sheet3!$B$3:$G$54,4,0)</f>
        <v>2.65</v>
      </c>
      <c r="K620" s="5">
        <f>VLOOKUP($E620,Sheet3!$B$3:$G$54,6,0)</f>
        <v>1.6</v>
      </c>
      <c r="L620">
        <v>312</v>
      </c>
      <c r="M620">
        <v>624</v>
      </c>
      <c r="N620">
        <v>16</v>
      </c>
      <c r="O620" s="14">
        <f t="shared" si="20"/>
        <v>2</v>
      </c>
    </row>
    <row r="621" spans="1:15" x14ac:dyDescent="0.3">
      <c r="A621" s="17" t="s">
        <v>45</v>
      </c>
      <c r="B621" s="12" t="s">
        <v>30</v>
      </c>
      <c r="C621" s="12" t="s">
        <v>32</v>
      </c>
      <c r="D621" s="6">
        <f t="shared" si="22"/>
        <v>9</v>
      </c>
      <c r="E621">
        <v>22</v>
      </c>
      <c r="F621" s="6">
        <f>VLOOKUP($E621,Sheet3!$B$3:$D$54,2,0)</f>
        <v>5</v>
      </c>
      <c r="G621" s="6">
        <f>VLOOKUP($E621,Sheet3!$B$3:$G$54,3,0)</f>
        <v>0</v>
      </c>
      <c r="H621" s="5">
        <f>VLOOKUP($A621,Sheet3!$I$3:$J$38,2,0)</f>
        <v>17.2</v>
      </c>
      <c r="I621" s="6">
        <f>VLOOKUP($E621,Sheet3!$B$3:$G$54,5,0)</f>
        <v>139390</v>
      </c>
      <c r="J621" s="5">
        <f>VLOOKUP($E621,Sheet3!$B$3:$G$54,4,0)</f>
        <v>2.65</v>
      </c>
      <c r="K621" s="5">
        <f>VLOOKUP($E621,Sheet3!$B$3:$G$54,6,0)</f>
        <v>1.6</v>
      </c>
      <c r="L621">
        <v>360</v>
      </c>
      <c r="M621">
        <v>48</v>
      </c>
      <c r="N621">
        <v>13</v>
      </c>
      <c r="O621" s="14">
        <f t="shared" si="20"/>
        <v>0.13333333333333333</v>
      </c>
    </row>
    <row r="622" spans="1:15" x14ac:dyDescent="0.3">
      <c r="A622" s="17" t="s">
        <v>45</v>
      </c>
      <c r="B622" s="12" t="s">
        <v>30</v>
      </c>
      <c r="C622" s="12" t="s">
        <v>32</v>
      </c>
      <c r="D622" s="6">
        <f t="shared" si="22"/>
        <v>9</v>
      </c>
      <c r="E622">
        <v>23</v>
      </c>
      <c r="F622" s="6">
        <f>VLOOKUP($E622,Sheet3!$B$3:$D$54,2,0)</f>
        <v>5</v>
      </c>
      <c r="G622" s="6">
        <f>VLOOKUP($E622,Sheet3!$B$3:$G$54,3,0)</f>
        <v>1</v>
      </c>
      <c r="H622" s="5">
        <f>VLOOKUP($A622,Sheet3!$I$3:$J$38,2,0)</f>
        <v>17.2</v>
      </c>
      <c r="I622" s="6">
        <f>VLOOKUP($E622,Sheet3!$B$3:$G$54,5,0)</f>
        <v>139390</v>
      </c>
      <c r="J622" s="5">
        <f>VLOOKUP($E622,Sheet3!$B$3:$G$54,4,0)</f>
        <v>2.4</v>
      </c>
      <c r="K622" s="5">
        <f>VLOOKUP($E622,Sheet3!$B$3:$G$54,6,0)</f>
        <v>1.6</v>
      </c>
      <c r="L622">
        <v>312</v>
      </c>
      <c r="M622">
        <v>192</v>
      </c>
      <c r="N622">
        <v>14</v>
      </c>
      <c r="O622" s="14">
        <f t="shared" si="20"/>
        <v>0.61538461538461542</v>
      </c>
    </row>
    <row r="623" spans="1:15" x14ac:dyDescent="0.3">
      <c r="A623" s="17" t="s">
        <v>45</v>
      </c>
      <c r="B623" s="12" t="s">
        <v>30</v>
      </c>
      <c r="C623" s="12" t="s">
        <v>32</v>
      </c>
      <c r="D623" s="6">
        <f t="shared" si="22"/>
        <v>9</v>
      </c>
      <c r="E623">
        <v>24</v>
      </c>
      <c r="F623" s="6">
        <f>VLOOKUP($E623,Sheet3!$B$3:$D$54,2,0)</f>
        <v>6</v>
      </c>
      <c r="G623" s="6">
        <f>VLOOKUP($E623,Sheet3!$B$3:$G$54,3,0)</f>
        <v>0</v>
      </c>
      <c r="H623" s="5">
        <f>VLOOKUP($A623,Sheet3!$I$3:$J$38,2,0)</f>
        <v>17.2</v>
      </c>
      <c r="I623" s="6">
        <f>VLOOKUP($E623,Sheet3!$B$3:$G$54,5,0)</f>
        <v>132191</v>
      </c>
      <c r="J623" s="5">
        <f>VLOOKUP($E623,Sheet3!$B$3:$G$54,4,0)</f>
        <v>2.4</v>
      </c>
      <c r="K623" s="5">
        <f>VLOOKUP($E623,Sheet3!$B$3:$G$54,6,0)</f>
        <v>1.7</v>
      </c>
      <c r="L623">
        <v>240</v>
      </c>
      <c r="M623">
        <v>192</v>
      </c>
      <c r="N623">
        <v>15</v>
      </c>
      <c r="O623" s="14">
        <f t="shared" si="20"/>
        <v>0.8</v>
      </c>
    </row>
    <row r="624" spans="1:15" x14ac:dyDescent="0.3">
      <c r="A624" s="17" t="s">
        <v>45</v>
      </c>
      <c r="B624" s="12" t="s">
        <v>30</v>
      </c>
      <c r="C624" s="12" t="s">
        <v>32</v>
      </c>
      <c r="D624" s="6">
        <f t="shared" si="22"/>
        <v>9</v>
      </c>
      <c r="E624">
        <v>25</v>
      </c>
      <c r="F624" s="6">
        <f>VLOOKUP($E624,Sheet3!$B$3:$D$54,2,0)</f>
        <v>6</v>
      </c>
      <c r="G624" s="6">
        <f>VLOOKUP($E624,Sheet3!$B$3:$G$54,3,0)</f>
        <v>0</v>
      </c>
      <c r="H624" s="5">
        <f>VLOOKUP($A624,Sheet3!$I$3:$J$38,2,0)</f>
        <v>17.2</v>
      </c>
      <c r="I624" s="6">
        <f>VLOOKUP($E624,Sheet3!$B$3:$G$54,5,0)</f>
        <v>132191</v>
      </c>
      <c r="J624" s="5">
        <f>VLOOKUP($E624,Sheet3!$B$3:$G$54,4,0)</f>
        <v>2.4</v>
      </c>
      <c r="K624" s="5">
        <f>VLOOKUP($E624,Sheet3!$B$3:$G$54,6,0)</f>
        <v>1.7</v>
      </c>
      <c r="L624">
        <v>264</v>
      </c>
      <c r="M624">
        <v>192</v>
      </c>
      <c r="N624">
        <v>16</v>
      </c>
      <c r="O624" s="14">
        <f t="shared" si="20"/>
        <v>0.72727272727272729</v>
      </c>
    </row>
    <row r="625" spans="1:15" x14ac:dyDescent="0.3">
      <c r="A625" s="17" t="s">
        <v>45</v>
      </c>
      <c r="B625" s="12" t="s">
        <v>30</v>
      </c>
      <c r="C625" s="12" t="s">
        <v>32</v>
      </c>
      <c r="D625" s="6">
        <f t="shared" si="22"/>
        <v>10</v>
      </c>
      <c r="E625">
        <v>26</v>
      </c>
      <c r="F625" s="6">
        <f>VLOOKUP($E625,Sheet3!$B$3:$D$54,2,0)</f>
        <v>6</v>
      </c>
      <c r="G625" s="6">
        <f>VLOOKUP($E625,Sheet3!$B$3:$G$54,3,0)</f>
        <v>0</v>
      </c>
      <c r="H625" s="5">
        <f>VLOOKUP($A625,Sheet3!$I$3:$J$38,2,0)</f>
        <v>17.2</v>
      </c>
      <c r="I625" s="6">
        <f>VLOOKUP($E625,Sheet3!$B$3:$G$54,5,0)</f>
        <v>132191</v>
      </c>
      <c r="J625" s="5">
        <f>VLOOKUP($E625,Sheet3!$B$3:$G$54,4,0)</f>
        <v>2.4</v>
      </c>
      <c r="K625" s="5">
        <f>VLOOKUP($E625,Sheet3!$B$3:$G$54,6,0)</f>
        <v>1.7</v>
      </c>
      <c r="L625">
        <v>264</v>
      </c>
      <c r="M625">
        <v>192</v>
      </c>
      <c r="N625">
        <v>16</v>
      </c>
      <c r="O625" s="14">
        <f t="shared" si="20"/>
        <v>0.72727272727272729</v>
      </c>
    </row>
    <row r="626" spans="1:15" x14ac:dyDescent="0.3">
      <c r="A626" s="17" t="s">
        <v>47</v>
      </c>
      <c r="B626" s="12" t="s">
        <v>30</v>
      </c>
      <c r="C626" s="12" t="s">
        <v>32</v>
      </c>
      <c r="D626" s="6">
        <f t="shared" si="22"/>
        <v>12</v>
      </c>
      <c r="E626">
        <v>27</v>
      </c>
      <c r="F626" s="6">
        <f>VLOOKUP($E626,Sheet3!$B$3:$D$54,2,0)</f>
        <v>7</v>
      </c>
      <c r="G626" s="6">
        <f>VLOOKUP($E626,Sheet3!$B$3:$G$54,3,0)</f>
        <v>0</v>
      </c>
      <c r="H626" s="5">
        <f>VLOOKUP($A626,Sheet3!$I$3:$J$38,2,0)</f>
        <v>26.77</v>
      </c>
      <c r="I626" s="6">
        <f>VLOOKUP($E626,Sheet3!$B$3:$G$54,5,0)</f>
        <v>124806</v>
      </c>
      <c r="J626" s="5">
        <f>VLOOKUP($E626,Sheet3!$B$3:$G$54,4,0)</f>
        <v>4.5</v>
      </c>
      <c r="K626" s="5">
        <f>VLOOKUP($E626,Sheet3!$B$3:$G$54,6,0)</f>
        <v>1.3</v>
      </c>
      <c r="L626">
        <v>850</v>
      </c>
      <c r="M626">
        <v>0</v>
      </c>
      <c r="N626">
        <v>15</v>
      </c>
      <c r="O626" s="14">
        <f t="shared" si="20"/>
        <v>0</v>
      </c>
    </row>
    <row r="627" spans="1:15" x14ac:dyDescent="0.3">
      <c r="A627" s="17" t="s">
        <v>47</v>
      </c>
      <c r="B627" s="12" t="s">
        <v>30</v>
      </c>
      <c r="C627" s="12" t="s">
        <v>32</v>
      </c>
      <c r="D627" s="6">
        <f t="shared" ref="D627:D678" si="23">IF(E627-N627&lt;0,E627-N627+52,E627-N627)</f>
        <v>12</v>
      </c>
      <c r="E627">
        <v>28</v>
      </c>
      <c r="F627" s="6">
        <f>VLOOKUP($E627,Sheet3!$B$3:$D$54,2,0)</f>
        <v>7</v>
      </c>
      <c r="G627" s="6">
        <f>VLOOKUP($E627,Sheet3!$B$3:$G$54,3,0)</f>
        <v>0</v>
      </c>
      <c r="H627" s="5">
        <f>VLOOKUP($A627,Sheet3!$I$3:$J$38,2,0)</f>
        <v>26.77</v>
      </c>
      <c r="I627" s="6">
        <f>VLOOKUP($E627,Sheet3!$B$3:$G$54,5,0)</f>
        <v>124806</v>
      </c>
      <c r="J627" s="5">
        <f>VLOOKUP($E627,Sheet3!$B$3:$G$54,4,0)</f>
        <v>4.5</v>
      </c>
      <c r="K627" s="5">
        <f>VLOOKUP($E627,Sheet3!$B$3:$G$54,6,0)</f>
        <v>1.3</v>
      </c>
      <c r="L627">
        <v>800</v>
      </c>
      <c r="M627">
        <v>72</v>
      </c>
      <c r="N627">
        <v>16</v>
      </c>
      <c r="O627" s="14">
        <f t="shared" si="20"/>
        <v>0.09</v>
      </c>
    </row>
    <row r="628" spans="1:15" x14ac:dyDescent="0.3">
      <c r="A628" s="17" t="s">
        <v>47</v>
      </c>
      <c r="B628" s="12" t="s">
        <v>30</v>
      </c>
      <c r="C628" s="12" t="s">
        <v>32</v>
      </c>
      <c r="D628" s="6">
        <f t="shared" si="23"/>
        <v>12</v>
      </c>
      <c r="E628">
        <v>29</v>
      </c>
      <c r="F628" s="6">
        <f>VLOOKUP($E628,Sheet3!$B$3:$D$54,2,0)</f>
        <v>7</v>
      </c>
      <c r="G628" s="6">
        <f>VLOOKUP($E628,Sheet3!$B$3:$G$54,3,0)</f>
        <v>0</v>
      </c>
      <c r="H628" s="5">
        <f>VLOOKUP($A628,Sheet3!$I$3:$J$38,2,0)</f>
        <v>26.77</v>
      </c>
      <c r="I628" s="6">
        <f>VLOOKUP($E628,Sheet3!$B$3:$G$54,5,0)</f>
        <v>124806</v>
      </c>
      <c r="J628" s="5">
        <f>VLOOKUP($E628,Sheet3!$B$3:$G$54,4,0)</f>
        <v>4.5</v>
      </c>
      <c r="K628" s="5">
        <f>VLOOKUP($E628,Sheet3!$B$3:$G$54,6,0)</f>
        <v>1.3</v>
      </c>
      <c r="L628">
        <v>850</v>
      </c>
      <c r="M628">
        <v>216</v>
      </c>
      <c r="N628">
        <v>17</v>
      </c>
      <c r="O628" s="14">
        <f t="shared" si="20"/>
        <v>0.2541176470588235</v>
      </c>
    </row>
    <row r="629" spans="1:15" x14ac:dyDescent="0.3">
      <c r="A629" s="17" t="s">
        <v>47</v>
      </c>
      <c r="B629" s="12" t="s">
        <v>30</v>
      </c>
      <c r="C629" s="12" t="s">
        <v>32</v>
      </c>
      <c r="D629" s="6">
        <f t="shared" si="23"/>
        <v>13</v>
      </c>
      <c r="E629">
        <v>30</v>
      </c>
      <c r="F629" s="6">
        <f>VLOOKUP($E629,Sheet3!$B$3:$D$54,2,0)</f>
        <v>7</v>
      </c>
      <c r="G629" s="6">
        <f>VLOOKUP($E629,Sheet3!$B$3:$G$54,3,0)</f>
        <v>0</v>
      </c>
      <c r="H629" s="5">
        <f>VLOOKUP($A629,Sheet3!$I$3:$J$38,2,0)</f>
        <v>26.77</v>
      </c>
      <c r="I629" s="6">
        <f>VLOOKUP($E629,Sheet3!$B$3:$G$54,5,0)</f>
        <v>124806</v>
      </c>
      <c r="J629" s="5">
        <f>VLOOKUP($E629,Sheet3!$B$3:$G$54,4,0)</f>
        <v>4.5</v>
      </c>
      <c r="K629" s="5">
        <f>VLOOKUP($E629,Sheet3!$B$3:$G$54,6,0)</f>
        <v>1.3</v>
      </c>
      <c r="L629">
        <v>50</v>
      </c>
      <c r="M629">
        <v>0</v>
      </c>
      <c r="N629">
        <v>17</v>
      </c>
      <c r="O629" s="14">
        <f t="shared" si="20"/>
        <v>0</v>
      </c>
    </row>
    <row r="630" spans="1:15" x14ac:dyDescent="0.3">
      <c r="A630" s="17" t="s">
        <v>47</v>
      </c>
      <c r="B630" s="12" t="s">
        <v>30</v>
      </c>
      <c r="C630" s="12" t="s">
        <v>32</v>
      </c>
      <c r="D630" s="6">
        <f t="shared" si="23"/>
        <v>14</v>
      </c>
      <c r="E630">
        <v>31</v>
      </c>
      <c r="F630" s="6">
        <f>VLOOKUP($E630,Sheet3!$B$3:$D$54,2,0)</f>
        <v>7</v>
      </c>
      <c r="G630" s="6">
        <f>VLOOKUP($E630,Sheet3!$B$3:$G$54,3,0)</f>
        <v>0</v>
      </c>
      <c r="H630" s="5">
        <f>VLOOKUP($A630,Sheet3!$I$3:$J$38,2,0)</f>
        <v>26.77</v>
      </c>
      <c r="I630" s="6">
        <f>VLOOKUP($E630,Sheet3!$B$3:$G$54,5,0)</f>
        <v>124806</v>
      </c>
      <c r="J630" s="5">
        <f>VLOOKUP($E630,Sheet3!$B$3:$G$54,4,0)</f>
        <v>4.5</v>
      </c>
      <c r="K630" s="5">
        <f>VLOOKUP($E630,Sheet3!$B$3:$G$54,6,0)</f>
        <v>1.3</v>
      </c>
      <c r="L630">
        <v>0</v>
      </c>
      <c r="M630">
        <v>0</v>
      </c>
      <c r="N630">
        <v>17</v>
      </c>
      <c r="O630" s="14" t="e">
        <f t="shared" ref="O630:O692" si="24">M630/L630</f>
        <v>#DIV/0!</v>
      </c>
    </row>
    <row r="631" spans="1:15" x14ac:dyDescent="0.3">
      <c r="A631" s="17" t="s">
        <v>47</v>
      </c>
      <c r="B631" s="12" t="s">
        <v>30</v>
      </c>
      <c r="C631" s="12" t="s">
        <v>32</v>
      </c>
      <c r="D631" s="6">
        <f t="shared" si="23"/>
        <v>15</v>
      </c>
      <c r="E631">
        <v>32</v>
      </c>
      <c r="F631" s="6">
        <f>VLOOKUP($E631,Sheet3!$B$3:$D$54,2,0)</f>
        <v>8</v>
      </c>
      <c r="G631" s="6">
        <f>VLOOKUP($E631,Sheet3!$B$3:$G$54,3,0)</f>
        <v>1</v>
      </c>
      <c r="H631" s="5">
        <f>VLOOKUP($A631,Sheet3!$I$3:$J$38,2,0)</f>
        <v>26.77</v>
      </c>
      <c r="I631" s="6">
        <f>VLOOKUP($E631,Sheet3!$B$3:$G$54,5,0)</f>
        <v>69121</v>
      </c>
      <c r="J631" s="5">
        <f>VLOOKUP($E631,Sheet3!$B$3:$G$54,4,0)</f>
        <v>4.5</v>
      </c>
      <c r="K631" s="5">
        <f>VLOOKUP($E631,Sheet3!$B$3:$G$54,6,0)</f>
        <v>1.1000000000000001</v>
      </c>
      <c r="L631">
        <v>700</v>
      </c>
      <c r="M631">
        <v>24</v>
      </c>
      <c r="N631">
        <v>17</v>
      </c>
      <c r="O631" s="14">
        <f t="shared" si="24"/>
        <v>3.4285714285714287E-2</v>
      </c>
    </row>
    <row r="632" spans="1:15" x14ac:dyDescent="0.3">
      <c r="A632" s="17" t="s">
        <v>47</v>
      </c>
      <c r="B632" s="12" t="s">
        <v>30</v>
      </c>
      <c r="C632" s="12" t="s">
        <v>32</v>
      </c>
      <c r="D632" s="6">
        <f t="shared" si="23"/>
        <v>15</v>
      </c>
      <c r="E632">
        <v>33</v>
      </c>
      <c r="F632" s="6">
        <f>VLOOKUP($E632,Sheet3!$B$3:$D$54,2,0)</f>
        <v>8</v>
      </c>
      <c r="G632" s="6">
        <f>VLOOKUP($E632,Sheet3!$B$3:$G$54,3,0)</f>
        <v>1</v>
      </c>
      <c r="H632" s="5">
        <f>VLOOKUP($A632,Sheet3!$I$3:$J$38,2,0)</f>
        <v>26.77</v>
      </c>
      <c r="I632" s="6">
        <f>VLOOKUP($E632,Sheet3!$B$3:$G$54,5,0)</f>
        <v>69121</v>
      </c>
      <c r="J632" s="5">
        <f>VLOOKUP($E632,Sheet3!$B$3:$G$54,4,0)</f>
        <v>4.5</v>
      </c>
      <c r="K632" s="5">
        <f>VLOOKUP($E632,Sheet3!$B$3:$G$54,6,0)</f>
        <v>1.1000000000000001</v>
      </c>
      <c r="L632">
        <v>1000</v>
      </c>
      <c r="M632">
        <v>144</v>
      </c>
      <c r="N632">
        <v>18</v>
      </c>
      <c r="O632" s="14">
        <f t="shared" si="24"/>
        <v>0.14399999999999999</v>
      </c>
    </row>
    <row r="633" spans="1:15" x14ac:dyDescent="0.3">
      <c r="A633" s="17" t="s">
        <v>47</v>
      </c>
      <c r="B633" s="12" t="s">
        <v>30</v>
      </c>
      <c r="C633" s="12" t="s">
        <v>32</v>
      </c>
      <c r="D633" s="6">
        <f t="shared" si="23"/>
        <v>14</v>
      </c>
      <c r="E633">
        <v>34</v>
      </c>
      <c r="F633" s="6">
        <f>VLOOKUP($E633,Sheet3!$B$3:$D$54,2,0)</f>
        <v>8</v>
      </c>
      <c r="G633" s="6">
        <f>VLOOKUP($E633,Sheet3!$B$3:$G$54,3,0)</f>
        <v>0</v>
      </c>
      <c r="H633" s="5">
        <f>VLOOKUP($A633,Sheet3!$I$3:$J$38,2,0)</f>
        <v>26.77</v>
      </c>
      <c r="I633" s="6">
        <f>VLOOKUP($E633,Sheet3!$B$3:$G$54,5,0)</f>
        <v>69121</v>
      </c>
      <c r="J633" s="5">
        <f>VLOOKUP($E633,Sheet3!$B$3:$G$54,4,0)</f>
        <v>4.5</v>
      </c>
      <c r="K633" s="5">
        <f>VLOOKUP($E633,Sheet3!$B$3:$G$54,6,0)</f>
        <v>1.1000000000000001</v>
      </c>
      <c r="L633">
        <v>1000</v>
      </c>
      <c r="M633">
        <v>168</v>
      </c>
      <c r="N633">
        <v>20</v>
      </c>
      <c r="O633" s="14">
        <f t="shared" si="24"/>
        <v>0.16800000000000001</v>
      </c>
    </row>
    <row r="634" spans="1:15" x14ac:dyDescent="0.3">
      <c r="A634" s="17" t="s">
        <v>47</v>
      </c>
      <c r="B634" s="12" t="s">
        <v>30</v>
      </c>
      <c r="C634" s="12" t="s">
        <v>32</v>
      </c>
      <c r="D634" s="6">
        <f t="shared" si="23"/>
        <v>21</v>
      </c>
      <c r="E634">
        <v>35</v>
      </c>
      <c r="F634" s="6">
        <f>VLOOKUP($E634,Sheet3!$B$3:$D$54,2,0)</f>
        <v>8</v>
      </c>
      <c r="G634" s="6">
        <f>VLOOKUP($E634,Sheet3!$B$3:$G$54,3,0)</f>
        <v>0</v>
      </c>
      <c r="H634" s="5">
        <f>VLOOKUP($A634,Sheet3!$I$3:$J$38,2,0)</f>
        <v>26.77</v>
      </c>
      <c r="I634" s="6">
        <f>VLOOKUP($E634,Sheet3!$B$3:$G$54,5,0)</f>
        <v>69121</v>
      </c>
      <c r="J634" s="5">
        <f>VLOOKUP($E634,Sheet3!$B$3:$G$54,4,0)</f>
        <v>4.5</v>
      </c>
      <c r="K634" s="5">
        <f>VLOOKUP($E634,Sheet3!$B$3:$G$54,6,0)</f>
        <v>1.1000000000000001</v>
      </c>
      <c r="L634">
        <v>936</v>
      </c>
      <c r="M634">
        <v>48</v>
      </c>
      <c r="N634">
        <v>14</v>
      </c>
      <c r="O634" s="14">
        <f t="shared" si="24"/>
        <v>5.128205128205128E-2</v>
      </c>
    </row>
    <row r="635" spans="1:15" x14ac:dyDescent="0.3">
      <c r="A635" s="17" t="s">
        <v>47</v>
      </c>
      <c r="B635" s="12" t="s">
        <v>30</v>
      </c>
      <c r="C635" s="12" t="s">
        <v>32</v>
      </c>
      <c r="D635" s="6">
        <f t="shared" si="23"/>
        <v>21</v>
      </c>
      <c r="E635">
        <v>36</v>
      </c>
      <c r="F635" s="6">
        <f>VLOOKUP($E635,Sheet3!$B$3:$D$54,2,0)</f>
        <v>9</v>
      </c>
      <c r="G635" s="6">
        <f>VLOOKUP($E635,Sheet3!$B$3:$G$54,3,0)</f>
        <v>0</v>
      </c>
      <c r="H635" s="5">
        <f>VLOOKUP($A635,Sheet3!$I$3:$J$38,2,0)</f>
        <v>26.77</v>
      </c>
      <c r="I635" s="6">
        <f>VLOOKUP($E635,Sheet3!$B$3:$G$54,5,0)</f>
        <v>121666</v>
      </c>
      <c r="J635" s="5">
        <f>VLOOKUP($E635,Sheet3!$B$3:$G$54,4,0)</f>
        <v>4.5</v>
      </c>
      <c r="K635" s="5">
        <f>VLOOKUP($E635,Sheet3!$B$3:$G$54,6,0)</f>
        <v>0.7</v>
      </c>
      <c r="L635">
        <v>984</v>
      </c>
      <c r="M635">
        <v>96</v>
      </c>
      <c r="N635">
        <v>15</v>
      </c>
      <c r="O635" s="14">
        <f t="shared" si="24"/>
        <v>9.7560975609756101E-2</v>
      </c>
    </row>
    <row r="636" spans="1:15" x14ac:dyDescent="0.3">
      <c r="A636" s="17" t="s">
        <v>47</v>
      </c>
      <c r="B636" s="12" t="s">
        <v>30</v>
      </c>
      <c r="C636" s="12" t="s">
        <v>32</v>
      </c>
      <c r="D636" s="6">
        <f t="shared" si="23"/>
        <v>21</v>
      </c>
      <c r="E636">
        <v>37</v>
      </c>
      <c r="F636" s="6">
        <f>VLOOKUP($E636,Sheet3!$B$3:$D$54,2,0)</f>
        <v>9</v>
      </c>
      <c r="G636" s="6">
        <f>VLOOKUP($E636,Sheet3!$B$3:$G$54,3,0)</f>
        <v>0</v>
      </c>
      <c r="H636" s="5">
        <f>VLOOKUP($A636,Sheet3!$I$3:$J$38,2,0)</f>
        <v>26.77</v>
      </c>
      <c r="I636" s="6">
        <f>VLOOKUP($E636,Sheet3!$B$3:$G$54,5,0)</f>
        <v>121666</v>
      </c>
      <c r="J636" s="5">
        <f>VLOOKUP($E636,Sheet3!$B$3:$G$54,4,0)</f>
        <v>4.5</v>
      </c>
      <c r="K636" s="5">
        <f>VLOOKUP($E636,Sheet3!$B$3:$G$54,6,0)</f>
        <v>0.7</v>
      </c>
      <c r="L636">
        <v>768</v>
      </c>
      <c r="M636">
        <v>168</v>
      </c>
      <c r="N636">
        <v>16</v>
      </c>
      <c r="O636" s="14">
        <f t="shared" si="24"/>
        <v>0.21875</v>
      </c>
    </row>
    <row r="637" spans="1:15" x14ac:dyDescent="0.3">
      <c r="A637" s="17" t="s">
        <v>47</v>
      </c>
      <c r="B637" s="12" t="s">
        <v>30</v>
      </c>
      <c r="C637" s="12" t="s">
        <v>32</v>
      </c>
      <c r="D637" s="6">
        <f t="shared" si="23"/>
        <v>21</v>
      </c>
      <c r="E637">
        <v>38</v>
      </c>
      <c r="F637" s="6">
        <f>VLOOKUP($E637,Sheet3!$B$3:$D$54,2,0)</f>
        <v>9</v>
      </c>
      <c r="G637" s="6">
        <f>VLOOKUP($E637,Sheet3!$B$3:$G$54,3,0)</f>
        <v>0</v>
      </c>
      <c r="H637" s="5">
        <f>VLOOKUP($A637,Sheet3!$I$3:$J$38,2,0)</f>
        <v>26.77</v>
      </c>
      <c r="I637" s="6">
        <f>VLOOKUP($E637,Sheet3!$B$3:$G$54,5,0)</f>
        <v>121666</v>
      </c>
      <c r="J637" s="5">
        <f>VLOOKUP($E637,Sheet3!$B$3:$G$54,4,0)</f>
        <v>3.9</v>
      </c>
      <c r="K637" s="5">
        <f>VLOOKUP($E637,Sheet3!$B$3:$G$54,6,0)</f>
        <v>0.7</v>
      </c>
      <c r="L637">
        <v>600</v>
      </c>
      <c r="M637">
        <v>120</v>
      </c>
      <c r="N637">
        <v>17</v>
      </c>
      <c r="O637" s="14">
        <f t="shared" si="24"/>
        <v>0.2</v>
      </c>
    </row>
    <row r="638" spans="1:15" x14ac:dyDescent="0.3">
      <c r="A638" s="17" t="s">
        <v>47</v>
      </c>
      <c r="B638" s="12" t="s">
        <v>30</v>
      </c>
      <c r="C638" s="12" t="s">
        <v>32</v>
      </c>
      <c r="D638" s="6">
        <f t="shared" si="23"/>
        <v>25</v>
      </c>
      <c r="E638">
        <v>39</v>
      </c>
      <c r="F638" s="6">
        <f>VLOOKUP($E638,Sheet3!$B$3:$D$54,2,0)</f>
        <v>9</v>
      </c>
      <c r="G638" s="6">
        <f>VLOOKUP($E638,Sheet3!$B$3:$G$54,3,0)</f>
        <v>0</v>
      </c>
      <c r="H638" s="5">
        <f>VLOOKUP($A638,Sheet3!$I$3:$J$38,2,0)</f>
        <v>26.77</v>
      </c>
      <c r="I638" s="6">
        <f>VLOOKUP($E638,Sheet3!$B$3:$G$54,5,0)</f>
        <v>121666</v>
      </c>
      <c r="J638" s="5">
        <f>VLOOKUP($E638,Sheet3!$B$3:$G$54,4,0)</f>
        <v>3.9</v>
      </c>
      <c r="K638" s="5">
        <f>VLOOKUP($E638,Sheet3!$B$3:$G$54,6,0)</f>
        <v>0.7</v>
      </c>
      <c r="L638">
        <v>384</v>
      </c>
      <c r="M638">
        <v>0</v>
      </c>
      <c r="N638">
        <v>14</v>
      </c>
      <c r="O638" s="14">
        <f t="shared" si="24"/>
        <v>0</v>
      </c>
    </row>
    <row r="639" spans="1:15" x14ac:dyDescent="0.3">
      <c r="A639" s="17" t="s">
        <v>47</v>
      </c>
      <c r="B639" s="12" t="s">
        <v>30</v>
      </c>
      <c r="C639" s="12" t="s">
        <v>32</v>
      </c>
      <c r="D639" s="6">
        <f t="shared" si="23"/>
        <v>25</v>
      </c>
      <c r="E639">
        <v>40</v>
      </c>
      <c r="F639" s="6">
        <f>VLOOKUP($E639,Sheet3!$B$3:$D$54,2,0)</f>
        <v>9</v>
      </c>
      <c r="G639" s="6">
        <f>VLOOKUP($E639,Sheet3!$B$3:$G$54,3,0)</f>
        <v>0</v>
      </c>
      <c r="H639" s="5">
        <f>VLOOKUP($A639,Sheet3!$I$3:$J$38,2,0)</f>
        <v>26.77</v>
      </c>
      <c r="I639" s="6">
        <f>VLOOKUP($E639,Sheet3!$B$3:$G$54,5,0)</f>
        <v>121666</v>
      </c>
      <c r="J639" s="5">
        <f>VLOOKUP($E639,Sheet3!$B$3:$G$54,4,0)</f>
        <v>3.9</v>
      </c>
      <c r="K639" s="5">
        <f>VLOOKUP($E639,Sheet3!$B$3:$G$54,6,0)</f>
        <v>0.7</v>
      </c>
      <c r="L639">
        <v>504</v>
      </c>
      <c r="M639">
        <v>96</v>
      </c>
      <c r="N639">
        <v>15</v>
      </c>
      <c r="O639" s="14">
        <f t="shared" si="24"/>
        <v>0.19047619047619047</v>
      </c>
    </row>
    <row r="640" spans="1:15" x14ac:dyDescent="0.3">
      <c r="A640" s="17" t="s">
        <v>47</v>
      </c>
      <c r="B640" s="12" t="s">
        <v>30</v>
      </c>
      <c r="C640" s="12" t="s">
        <v>32</v>
      </c>
      <c r="D640" s="6">
        <f t="shared" si="23"/>
        <v>25</v>
      </c>
      <c r="E640">
        <v>41</v>
      </c>
      <c r="F640" s="6">
        <f>VLOOKUP($E640,Sheet3!$B$3:$D$54,2,0)</f>
        <v>10</v>
      </c>
      <c r="G640" s="6">
        <f>VLOOKUP($E640,Sheet3!$B$3:$G$54,3,0)</f>
        <v>0</v>
      </c>
      <c r="H640" s="5">
        <f>VLOOKUP($A640,Sheet3!$I$3:$J$38,2,0)</f>
        <v>26.77</v>
      </c>
      <c r="I640" s="6">
        <f>VLOOKUP($E640,Sheet3!$B$3:$G$54,5,0)</f>
        <v>126488</v>
      </c>
      <c r="J640" s="5">
        <f>VLOOKUP($E640,Sheet3!$B$3:$G$54,4,0)</f>
        <v>3.9</v>
      </c>
      <c r="K640" s="5">
        <f>VLOOKUP($E640,Sheet3!$B$3:$G$54,6,0)</f>
        <v>0.9</v>
      </c>
      <c r="L640">
        <v>432</v>
      </c>
      <c r="M640">
        <v>24</v>
      </c>
      <c r="N640">
        <v>16</v>
      </c>
      <c r="O640" s="14">
        <f t="shared" si="24"/>
        <v>5.5555555555555552E-2</v>
      </c>
    </row>
    <row r="641" spans="1:15" x14ac:dyDescent="0.3">
      <c r="A641" s="17" t="s">
        <v>47</v>
      </c>
      <c r="B641" s="12" t="s">
        <v>30</v>
      </c>
      <c r="C641" s="12" t="s">
        <v>32</v>
      </c>
      <c r="D641" s="6">
        <f t="shared" si="23"/>
        <v>25</v>
      </c>
      <c r="E641">
        <v>42</v>
      </c>
      <c r="F641" s="6">
        <f>VLOOKUP($E641,Sheet3!$B$3:$D$54,2,0)</f>
        <v>10</v>
      </c>
      <c r="G641" s="6">
        <f>VLOOKUP($E641,Sheet3!$B$3:$G$54,3,0)</f>
        <v>0</v>
      </c>
      <c r="H641" s="5">
        <f>VLOOKUP($A641,Sheet3!$I$3:$J$38,2,0)</f>
        <v>26.77</v>
      </c>
      <c r="I641" s="6">
        <f>VLOOKUP($E641,Sheet3!$B$3:$G$54,5,0)</f>
        <v>126488</v>
      </c>
      <c r="J641" s="5">
        <f>VLOOKUP($E641,Sheet3!$B$3:$G$54,4,0)</f>
        <v>3.9</v>
      </c>
      <c r="K641" s="5">
        <f>VLOOKUP($E641,Sheet3!$B$3:$G$54,6,0)</f>
        <v>0.9</v>
      </c>
      <c r="L641">
        <v>120</v>
      </c>
      <c r="M641">
        <v>240</v>
      </c>
      <c r="N641">
        <v>17</v>
      </c>
      <c r="O641" s="14">
        <f t="shared" si="24"/>
        <v>2</v>
      </c>
    </row>
    <row r="642" spans="1:15" x14ac:dyDescent="0.3">
      <c r="A642" s="17" t="s">
        <v>47</v>
      </c>
      <c r="B642" s="12" t="s">
        <v>30</v>
      </c>
      <c r="C642" s="12" t="s">
        <v>32</v>
      </c>
      <c r="D642" s="6">
        <f t="shared" si="23"/>
        <v>25</v>
      </c>
      <c r="E642">
        <v>43</v>
      </c>
      <c r="F642" s="6">
        <f>VLOOKUP($E642,Sheet3!$B$3:$D$54,2,0)</f>
        <v>10</v>
      </c>
      <c r="G642" s="6">
        <f>VLOOKUP($E642,Sheet3!$B$3:$G$54,3,0)</f>
        <v>0</v>
      </c>
      <c r="H642" s="5">
        <f>VLOOKUP($A642,Sheet3!$I$3:$J$38,2,0)</f>
        <v>26.77</v>
      </c>
      <c r="I642" s="6">
        <f>VLOOKUP($E642,Sheet3!$B$3:$G$54,5,0)</f>
        <v>126488</v>
      </c>
      <c r="J642" s="5">
        <f>VLOOKUP($E642,Sheet3!$B$3:$G$54,4,0)</f>
        <v>3.65</v>
      </c>
      <c r="K642" s="5">
        <f>VLOOKUP($E642,Sheet3!$B$3:$G$54,6,0)</f>
        <v>0.9</v>
      </c>
      <c r="L642">
        <v>192</v>
      </c>
      <c r="M642">
        <v>120</v>
      </c>
      <c r="N642">
        <v>18</v>
      </c>
      <c r="O642" s="14">
        <f t="shared" si="24"/>
        <v>0.625</v>
      </c>
    </row>
    <row r="643" spans="1:15" x14ac:dyDescent="0.3">
      <c r="A643" s="17" t="s">
        <v>47</v>
      </c>
      <c r="B643" s="12" t="s">
        <v>30</v>
      </c>
      <c r="C643" s="12" t="s">
        <v>32</v>
      </c>
      <c r="D643" s="6">
        <f t="shared" si="23"/>
        <v>31</v>
      </c>
      <c r="E643">
        <v>44</v>
      </c>
      <c r="F643" s="6">
        <f>VLOOKUP($E643,Sheet3!$B$3:$D$54,2,0)</f>
        <v>10</v>
      </c>
      <c r="G643" s="6">
        <f>VLOOKUP($E643,Sheet3!$B$3:$G$54,3,0)</f>
        <v>1</v>
      </c>
      <c r="H643" s="5">
        <f>VLOOKUP($A643,Sheet3!$I$3:$J$38,2,0)</f>
        <v>26.77</v>
      </c>
      <c r="I643" s="6">
        <f>VLOOKUP($E643,Sheet3!$B$3:$G$54,5,0)</f>
        <v>126488</v>
      </c>
      <c r="J643" s="5">
        <f>VLOOKUP($E643,Sheet3!$B$3:$G$54,4,0)</f>
        <v>3.65</v>
      </c>
      <c r="K643" s="5">
        <f>VLOOKUP($E643,Sheet3!$B$3:$G$54,6,0)</f>
        <v>0.9</v>
      </c>
      <c r="L643">
        <v>576</v>
      </c>
      <c r="M643">
        <v>288</v>
      </c>
      <c r="N643">
        <v>13</v>
      </c>
      <c r="O643" s="14">
        <f t="shared" si="24"/>
        <v>0.5</v>
      </c>
    </row>
    <row r="644" spans="1:15" x14ac:dyDescent="0.3">
      <c r="A644" s="17" t="s">
        <v>47</v>
      </c>
      <c r="B644" s="12" t="s">
        <v>30</v>
      </c>
      <c r="C644" s="12" t="s">
        <v>32</v>
      </c>
      <c r="D644" s="6">
        <f t="shared" si="23"/>
        <v>31</v>
      </c>
      <c r="E644">
        <v>45</v>
      </c>
      <c r="F644" s="6">
        <f>VLOOKUP($E644,Sheet3!$B$3:$D$54,2,0)</f>
        <v>11</v>
      </c>
      <c r="G644" s="6">
        <f>VLOOKUP($E644,Sheet3!$B$3:$G$54,3,0)</f>
        <v>0</v>
      </c>
      <c r="H644" s="5">
        <f>VLOOKUP($A644,Sheet3!$I$3:$J$38,2,0)</f>
        <v>26.77</v>
      </c>
      <c r="I644" s="6">
        <f>VLOOKUP($E644,Sheet3!$B$3:$G$54,5,0)</f>
        <v>124251</v>
      </c>
      <c r="J644" s="5">
        <f>VLOOKUP($E644,Sheet3!$B$3:$G$54,4,0)</f>
        <v>3.65</v>
      </c>
      <c r="K644" s="5">
        <f>VLOOKUP($E644,Sheet3!$B$3:$G$54,6,0)</f>
        <v>1.3</v>
      </c>
      <c r="L644">
        <v>744</v>
      </c>
      <c r="M644">
        <v>72</v>
      </c>
      <c r="N644">
        <v>14</v>
      </c>
      <c r="O644" s="14">
        <f t="shared" si="24"/>
        <v>9.6774193548387094E-2</v>
      </c>
    </row>
    <row r="645" spans="1:15" x14ac:dyDescent="0.3">
      <c r="A645" s="17" t="s">
        <v>47</v>
      </c>
      <c r="B645" s="12" t="s">
        <v>30</v>
      </c>
      <c r="C645" s="12" t="s">
        <v>32</v>
      </c>
      <c r="D645" s="6">
        <f t="shared" si="23"/>
        <v>31</v>
      </c>
      <c r="E645">
        <v>46</v>
      </c>
      <c r="F645" s="6">
        <f>VLOOKUP($E645,Sheet3!$B$3:$D$54,2,0)</f>
        <v>11</v>
      </c>
      <c r="G645" s="6">
        <f>VLOOKUP($E645,Sheet3!$B$3:$G$54,3,0)</f>
        <v>0</v>
      </c>
      <c r="H645" s="5">
        <f>VLOOKUP($A645,Sheet3!$I$3:$J$38,2,0)</f>
        <v>26.77</v>
      </c>
      <c r="I645" s="6">
        <f>VLOOKUP($E645,Sheet3!$B$3:$G$54,5,0)</f>
        <v>124251</v>
      </c>
      <c r="J645" s="5">
        <f>VLOOKUP($E645,Sheet3!$B$3:$G$54,4,0)</f>
        <v>3.65</v>
      </c>
      <c r="K645" s="5">
        <f>VLOOKUP($E645,Sheet3!$B$3:$G$54,6,0)</f>
        <v>1.3</v>
      </c>
      <c r="L645">
        <v>744</v>
      </c>
      <c r="M645">
        <v>192</v>
      </c>
      <c r="N645">
        <v>15</v>
      </c>
      <c r="O645" s="14">
        <f t="shared" si="24"/>
        <v>0.25806451612903225</v>
      </c>
    </row>
    <row r="646" spans="1:15" x14ac:dyDescent="0.3">
      <c r="A646" s="17" t="s">
        <v>47</v>
      </c>
      <c r="B646" s="12" t="s">
        <v>30</v>
      </c>
      <c r="C646" s="12" t="s">
        <v>32</v>
      </c>
      <c r="D646" s="6">
        <f t="shared" si="23"/>
        <v>31</v>
      </c>
      <c r="E646">
        <v>47</v>
      </c>
      <c r="F646" s="6">
        <f>VLOOKUP($E646,Sheet3!$B$3:$D$54,2,0)</f>
        <v>11</v>
      </c>
      <c r="G646" s="6">
        <f>VLOOKUP($E646,Sheet3!$B$3:$G$54,3,0)</f>
        <v>0</v>
      </c>
      <c r="H646" s="5">
        <f>VLOOKUP($A646,Sheet3!$I$3:$J$38,2,0)</f>
        <v>26.77</v>
      </c>
      <c r="I646" s="6">
        <f>VLOOKUP($E646,Sheet3!$B$3:$G$54,5,0)</f>
        <v>124251</v>
      </c>
      <c r="J646" s="5">
        <f>VLOOKUP($E646,Sheet3!$B$3:$G$54,4,0)</f>
        <v>3.65</v>
      </c>
      <c r="K646" s="5">
        <f>VLOOKUP($E646,Sheet3!$B$3:$G$54,6,0)</f>
        <v>1.3</v>
      </c>
      <c r="L646">
        <v>744</v>
      </c>
      <c r="M646">
        <v>48</v>
      </c>
      <c r="N646">
        <v>16</v>
      </c>
      <c r="O646" s="14">
        <f t="shared" si="24"/>
        <v>6.4516129032258063E-2</v>
      </c>
    </row>
    <row r="647" spans="1:15" x14ac:dyDescent="0.3">
      <c r="A647" s="17" t="s">
        <v>47</v>
      </c>
      <c r="B647" s="12" t="s">
        <v>30</v>
      </c>
      <c r="C647" s="12" t="s">
        <v>32</v>
      </c>
      <c r="D647" s="6">
        <f t="shared" si="23"/>
        <v>35</v>
      </c>
      <c r="E647">
        <v>48</v>
      </c>
      <c r="F647" s="6">
        <f>VLOOKUP($E647,Sheet3!$B$3:$D$54,2,0)</f>
        <v>11</v>
      </c>
      <c r="G647" s="6">
        <f>VLOOKUP($E647,Sheet3!$B$3:$G$54,3,0)</f>
        <v>0</v>
      </c>
      <c r="H647" s="5">
        <f>VLOOKUP($A647,Sheet3!$I$3:$J$38,2,0)</f>
        <v>26.77</v>
      </c>
      <c r="I647" s="6">
        <f>VLOOKUP($E647,Sheet3!$B$3:$G$54,5,0)</f>
        <v>124251</v>
      </c>
      <c r="J647" s="5">
        <f>VLOOKUP($E647,Sheet3!$B$3:$G$54,4,0)</f>
        <v>3.65</v>
      </c>
      <c r="K647" s="5">
        <f>VLOOKUP($E647,Sheet3!$B$3:$G$54,6,0)</f>
        <v>1.3</v>
      </c>
      <c r="L647">
        <v>768</v>
      </c>
      <c r="M647">
        <v>216</v>
      </c>
      <c r="N647">
        <v>13</v>
      </c>
      <c r="O647" s="14">
        <f t="shared" si="24"/>
        <v>0.28125</v>
      </c>
    </row>
    <row r="648" spans="1:15" x14ac:dyDescent="0.3">
      <c r="A648" s="17" t="s">
        <v>47</v>
      </c>
      <c r="B648" s="12" t="s">
        <v>30</v>
      </c>
      <c r="C648" s="12" t="s">
        <v>32</v>
      </c>
      <c r="D648" s="6">
        <f t="shared" si="23"/>
        <v>35</v>
      </c>
      <c r="E648">
        <v>49</v>
      </c>
      <c r="F648" s="6">
        <f>VLOOKUP($E648,Sheet3!$B$3:$D$54,2,0)</f>
        <v>12</v>
      </c>
      <c r="G648" s="6">
        <f>VLOOKUP($E648,Sheet3!$B$3:$G$54,3,0)</f>
        <v>1</v>
      </c>
      <c r="H648" s="5">
        <f>VLOOKUP($A648,Sheet3!$I$3:$J$38,2,0)</f>
        <v>26.77</v>
      </c>
      <c r="I648" s="6">
        <f>VLOOKUP($E648,Sheet3!$B$3:$G$54,5,0)</f>
        <v>105715</v>
      </c>
      <c r="J648" s="5">
        <f>VLOOKUP($E648,Sheet3!$B$3:$G$54,4,0)</f>
        <v>3.65</v>
      </c>
      <c r="K648" s="5">
        <f>VLOOKUP($E648,Sheet3!$B$3:$G$54,6,0)</f>
        <v>1.3</v>
      </c>
      <c r="L648">
        <v>720</v>
      </c>
      <c r="M648">
        <v>240</v>
      </c>
      <c r="N648">
        <v>14</v>
      </c>
      <c r="O648" s="14">
        <f t="shared" si="24"/>
        <v>0.33333333333333331</v>
      </c>
    </row>
    <row r="649" spans="1:15" x14ac:dyDescent="0.3">
      <c r="A649" s="17" t="s">
        <v>47</v>
      </c>
      <c r="B649" s="12" t="s">
        <v>30</v>
      </c>
      <c r="C649" s="12" t="s">
        <v>32</v>
      </c>
      <c r="D649" s="6">
        <f t="shared" si="23"/>
        <v>35</v>
      </c>
      <c r="E649">
        <v>50</v>
      </c>
      <c r="F649" s="6">
        <f>VLOOKUP($E649,Sheet3!$B$3:$D$54,2,0)</f>
        <v>12</v>
      </c>
      <c r="G649" s="6">
        <f>VLOOKUP($E649,Sheet3!$B$3:$G$54,3,0)</f>
        <v>0</v>
      </c>
      <c r="H649" s="5">
        <f>VLOOKUP($A649,Sheet3!$I$3:$J$38,2,0)</f>
        <v>26.77</v>
      </c>
      <c r="I649" s="6">
        <f>VLOOKUP($E649,Sheet3!$B$3:$G$54,5,0)</f>
        <v>105715</v>
      </c>
      <c r="J649" s="5">
        <f>VLOOKUP($E649,Sheet3!$B$3:$G$54,4,0)</f>
        <v>3.4</v>
      </c>
      <c r="K649" s="5">
        <f>VLOOKUP($E649,Sheet3!$B$3:$G$54,6,0)</f>
        <v>1.3</v>
      </c>
      <c r="L649">
        <v>432</v>
      </c>
      <c r="M649">
        <v>360</v>
      </c>
      <c r="N649">
        <v>15</v>
      </c>
      <c r="O649" s="14">
        <f t="shared" si="24"/>
        <v>0.83333333333333337</v>
      </c>
    </row>
    <row r="650" spans="1:15" x14ac:dyDescent="0.3">
      <c r="A650" s="17" t="s">
        <v>47</v>
      </c>
      <c r="B650" s="12" t="s">
        <v>30</v>
      </c>
      <c r="C650" s="12" t="s">
        <v>32</v>
      </c>
      <c r="D650" s="6">
        <f t="shared" si="23"/>
        <v>36</v>
      </c>
      <c r="E650">
        <v>51</v>
      </c>
      <c r="F650" s="6">
        <f>VLOOKUP($E650,Sheet3!$B$3:$D$54,2,0)</f>
        <v>12</v>
      </c>
      <c r="G650" s="6">
        <f>VLOOKUP($E650,Sheet3!$B$3:$G$54,3,0)</f>
        <v>0</v>
      </c>
      <c r="H650" s="5">
        <f>VLOOKUP($A650,Sheet3!$I$3:$J$38,2,0)</f>
        <v>26.77</v>
      </c>
      <c r="I650" s="6">
        <f>VLOOKUP($E650,Sheet3!$B$3:$G$54,5,0)</f>
        <v>105715</v>
      </c>
      <c r="J650" s="5">
        <f>VLOOKUP($E650,Sheet3!$B$3:$G$54,4,0)</f>
        <v>3.4</v>
      </c>
      <c r="K650" s="5">
        <f>VLOOKUP($E650,Sheet3!$B$3:$G$54,6,0)</f>
        <v>1.3</v>
      </c>
      <c r="L650">
        <v>0</v>
      </c>
      <c r="M650">
        <v>0</v>
      </c>
      <c r="N650">
        <v>15</v>
      </c>
      <c r="O650" s="14" t="e">
        <f t="shared" si="24"/>
        <v>#DIV/0!</v>
      </c>
    </row>
    <row r="651" spans="1:15" x14ac:dyDescent="0.3">
      <c r="A651" s="17" t="s">
        <v>47</v>
      </c>
      <c r="B651" s="12" t="s">
        <v>30</v>
      </c>
      <c r="C651" s="12" t="s">
        <v>32</v>
      </c>
      <c r="D651" s="6">
        <f t="shared" si="23"/>
        <v>40</v>
      </c>
      <c r="E651">
        <v>52</v>
      </c>
      <c r="F651" s="6">
        <f>VLOOKUP($E651,Sheet3!$B$3:$D$54,2,0)</f>
        <v>12</v>
      </c>
      <c r="G651" s="6">
        <f>VLOOKUP($E651,Sheet3!$B$3:$G$54,3,0)</f>
        <v>1</v>
      </c>
      <c r="H651" s="5">
        <f>VLOOKUP($A651,Sheet3!$I$3:$J$38,2,0)</f>
        <v>26.77</v>
      </c>
      <c r="I651" s="6">
        <f>VLOOKUP($E651,Sheet3!$B$3:$G$54,5,0)</f>
        <v>105715</v>
      </c>
      <c r="J651" s="5">
        <f>VLOOKUP($E651,Sheet3!$B$3:$G$54,4,0)</f>
        <v>3.4</v>
      </c>
      <c r="K651" s="5">
        <f>VLOOKUP($E651,Sheet3!$B$3:$G$54,6,0)</f>
        <v>1.3</v>
      </c>
      <c r="L651">
        <v>168</v>
      </c>
      <c r="M651">
        <v>0</v>
      </c>
      <c r="N651">
        <v>12</v>
      </c>
      <c r="O651" s="14">
        <f t="shared" si="24"/>
        <v>0</v>
      </c>
    </row>
    <row r="652" spans="1:15" x14ac:dyDescent="0.3">
      <c r="A652" s="17" t="s">
        <v>47</v>
      </c>
      <c r="B652" s="12" t="s">
        <v>30</v>
      </c>
      <c r="C652" s="12" t="s">
        <v>32</v>
      </c>
      <c r="D652" s="6">
        <f t="shared" si="23"/>
        <v>40</v>
      </c>
      <c r="E652">
        <v>1</v>
      </c>
      <c r="F652" s="6">
        <f>VLOOKUP($E652,Sheet3!$B$3:$D$54,2,0)</f>
        <v>12</v>
      </c>
      <c r="G652" s="6">
        <f>VLOOKUP($E652,Sheet3!$B$3:$G$54,3,0)</f>
        <v>1</v>
      </c>
      <c r="H652" s="5">
        <f>VLOOKUP($A652,Sheet3!$I$3:$J$38,2,0)</f>
        <v>26.77</v>
      </c>
      <c r="I652" s="6">
        <f>VLOOKUP($E652,Sheet3!$B$3:$G$54,5,0)</f>
        <v>105715</v>
      </c>
      <c r="J652" s="5">
        <f>VLOOKUP($E652,Sheet3!$B$3:$G$54,4,0)</f>
        <v>3.4</v>
      </c>
      <c r="K652" s="5">
        <f>VLOOKUP($E652,Sheet3!$B$3:$G$54,6,0)</f>
        <v>1.3</v>
      </c>
      <c r="L652">
        <v>432</v>
      </c>
      <c r="M652">
        <v>120</v>
      </c>
      <c r="N652">
        <v>13</v>
      </c>
      <c r="O652" s="14">
        <f t="shared" si="24"/>
        <v>0.27777777777777779</v>
      </c>
    </row>
    <row r="653" spans="1:15" x14ac:dyDescent="0.3">
      <c r="A653" s="17" t="s">
        <v>47</v>
      </c>
      <c r="B653" s="12" t="s">
        <v>30</v>
      </c>
      <c r="C653" s="12" t="s">
        <v>32</v>
      </c>
      <c r="D653" s="6">
        <f t="shared" si="23"/>
        <v>40</v>
      </c>
      <c r="E653">
        <v>2</v>
      </c>
      <c r="F653" s="6">
        <f>VLOOKUP($E653,Sheet3!$B$3:$D$54,2,0)</f>
        <v>1</v>
      </c>
      <c r="G653" s="6">
        <f>VLOOKUP($E653,Sheet3!$B$3:$G$54,3,0)</f>
        <v>1</v>
      </c>
      <c r="H653" s="5">
        <f>VLOOKUP($A653,Sheet3!$I$3:$J$38,2,0)</f>
        <v>26.77</v>
      </c>
      <c r="I653" s="6">
        <f>VLOOKUP($E653,Sheet3!$B$3:$G$54,5,0)</f>
        <v>133692</v>
      </c>
      <c r="J653" s="5">
        <f>VLOOKUP($E653,Sheet3!$B$3:$G$54,4,0)</f>
        <v>3.4</v>
      </c>
      <c r="K653" s="5">
        <f>VLOOKUP($E653,Sheet3!$B$3:$G$54,6,0)</f>
        <v>1.5</v>
      </c>
      <c r="L653">
        <v>384</v>
      </c>
      <c r="M653">
        <v>360</v>
      </c>
      <c r="N653">
        <v>14</v>
      </c>
      <c r="O653" s="14">
        <f t="shared" si="24"/>
        <v>0.9375</v>
      </c>
    </row>
    <row r="654" spans="1:15" x14ac:dyDescent="0.3">
      <c r="A654" s="17" t="s">
        <v>47</v>
      </c>
      <c r="B654" s="12" t="s">
        <v>30</v>
      </c>
      <c r="C654" s="12" t="s">
        <v>32</v>
      </c>
      <c r="D654" s="6">
        <f t="shared" si="23"/>
        <v>40</v>
      </c>
      <c r="E654">
        <v>3</v>
      </c>
      <c r="F654" s="6">
        <f>VLOOKUP($E654,Sheet3!$B$3:$D$54,2,0)</f>
        <v>1</v>
      </c>
      <c r="G654" s="6">
        <f>VLOOKUP($E654,Sheet3!$B$3:$G$54,3,0)</f>
        <v>0</v>
      </c>
      <c r="H654" s="5">
        <f>VLOOKUP($A654,Sheet3!$I$3:$J$38,2,0)</f>
        <v>26.77</v>
      </c>
      <c r="I654" s="6">
        <f>VLOOKUP($E654,Sheet3!$B$3:$G$54,5,0)</f>
        <v>133692</v>
      </c>
      <c r="J654" s="5">
        <f>VLOOKUP($E654,Sheet3!$B$3:$G$54,4,0)</f>
        <v>3.4</v>
      </c>
      <c r="K654" s="5">
        <f>VLOOKUP($E654,Sheet3!$B$3:$G$54,6,0)</f>
        <v>1.5</v>
      </c>
      <c r="L654">
        <v>288</v>
      </c>
      <c r="M654">
        <v>360</v>
      </c>
      <c r="N654">
        <v>15</v>
      </c>
      <c r="O654" s="14">
        <f t="shared" si="24"/>
        <v>1.25</v>
      </c>
    </row>
    <row r="655" spans="1:15" x14ac:dyDescent="0.3">
      <c r="A655" s="17" t="s">
        <v>47</v>
      </c>
      <c r="B655" s="12" t="s">
        <v>30</v>
      </c>
      <c r="C655" s="12" t="s">
        <v>32</v>
      </c>
      <c r="D655" s="6">
        <f t="shared" si="23"/>
        <v>40</v>
      </c>
      <c r="E655">
        <v>4</v>
      </c>
      <c r="F655" s="6">
        <f>VLOOKUP($E655,Sheet3!$B$3:$D$54,2,0)</f>
        <v>1</v>
      </c>
      <c r="G655" s="6">
        <f>VLOOKUP($E655,Sheet3!$B$3:$G$54,3,0)</f>
        <v>0</v>
      </c>
      <c r="H655" s="5">
        <f>VLOOKUP($A655,Sheet3!$I$3:$J$38,2,0)</f>
        <v>26.77</v>
      </c>
      <c r="I655" s="6">
        <f>VLOOKUP($E655,Sheet3!$B$3:$G$54,5,0)</f>
        <v>133692</v>
      </c>
      <c r="J655" s="5">
        <f>VLOOKUP($E655,Sheet3!$B$3:$G$54,4,0)</f>
        <v>3.4</v>
      </c>
      <c r="K655" s="5">
        <f>VLOOKUP($E655,Sheet3!$B$3:$G$54,6,0)</f>
        <v>1.5</v>
      </c>
      <c r="L655">
        <v>168</v>
      </c>
      <c r="M655">
        <v>168</v>
      </c>
      <c r="N655">
        <v>16</v>
      </c>
      <c r="O655" s="14">
        <f t="shared" si="24"/>
        <v>1</v>
      </c>
    </row>
    <row r="656" spans="1:15" x14ac:dyDescent="0.3">
      <c r="A656" s="17" t="s">
        <v>47</v>
      </c>
      <c r="B656" s="12" t="s">
        <v>30</v>
      </c>
      <c r="C656" s="12" t="s">
        <v>32</v>
      </c>
      <c r="D656" s="6">
        <f t="shared" si="23"/>
        <v>44</v>
      </c>
      <c r="E656">
        <v>5</v>
      </c>
      <c r="F656" s="6">
        <f>VLOOKUP($E656,Sheet3!$B$3:$D$54,2,0)</f>
        <v>1</v>
      </c>
      <c r="G656" s="6">
        <f>VLOOKUP($E656,Sheet3!$B$3:$G$54,3,0)</f>
        <v>0</v>
      </c>
      <c r="H656" s="5">
        <f>VLOOKUP($A656,Sheet3!$I$3:$J$38,2,0)</f>
        <v>26.77</v>
      </c>
      <c r="I656" s="6">
        <f>VLOOKUP($E656,Sheet3!$B$3:$G$54,5,0)</f>
        <v>133692</v>
      </c>
      <c r="J656" s="5">
        <f>VLOOKUP($E656,Sheet3!$B$3:$G$54,4,0)</f>
        <v>3.4</v>
      </c>
      <c r="K656" s="5">
        <f>VLOOKUP($E656,Sheet3!$B$3:$G$54,6,0)</f>
        <v>1.5</v>
      </c>
      <c r="L656">
        <v>192</v>
      </c>
      <c r="M656">
        <v>96</v>
      </c>
      <c r="N656">
        <v>13</v>
      </c>
      <c r="O656" s="14">
        <f t="shared" si="24"/>
        <v>0.5</v>
      </c>
    </row>
    <row r="657" spans="1:15" x14ac:dyDescent="0.3">
      <c r="A657" s="17" t="s">
        <v>47</v>
      </c>
      <c r="B657" s="12" t="s">
        <v>30</v>
      </c>
      <c r="C657" s="12" t="s">
        <v>32</v>
      </c>
      <c r="D657" s="6">
        <f t="shared" si="23"/>
        <v>44</v>
      </c>
      <c r="E657">
        <v>6</v>
      </c>
      <c r="F657" s="6">
        <f>VLOOKUP($E657,Sheet3!$B$3:$D$54,2,0)</f>
        <v>2</v>
      </c>
      <c r="G657" s="6">
        <f>VLOOKUP($E657,Sheet3!$B$3:$G$54,3,0)</f>
        <v>0</v>
      </c>
      <c r="H657" s="5">
        <f>VLOOKUP($A657,Sheet3!$I$3:$J$38,2,0)</f>
        <v>26.77</v>
      </c>
      <c r="I657" s="6">
        <f>VLOOKUP($E657,Sheet3!$B$3:$G$54,5,0)</f>
        <v>137922</v>
      </c>
      <c r="J657" s="5">
        <f>VLOOKUP($E657,Sheet3!$B$3:$G$54,4,0)</f>
        <v>3.15</v>
      </c>
      <c r="K657" s="5">
        <f>VLOOKUP($E657,Sheet3!$B$3:$G$54,6,0)</f>
        <v>1.6</v>
      </c>
      <c r="L657">
        <v>240</v>
      </c>
      <c r="M657">
        <v>216</v>
      </c>
      <c r="N657">
        <v>14</v>
      </c>
      <c r="O657" s="14">
        <f t="shared" si="24"/>
        <v>0.9</v>
      </c>
    </row>
    <row r="658" spans="1:15" x14ac:dyDescent="0.3">
      <c r="A658" s="17" t="s">
        <v>47</v>
      </c>
      <c r="B658" s="12" t="s">
        <v>30</v>
      </c>
      <c r="C658" s="12" t="s">
        <v>32</v>
      </c>
      <c r="D658" s="6">
        <f t="shared" si="23"/>
        <v>44</v>
      </c>
      <c r="E658">
        <v>7</v>
      </c>
      <c r="F658" s="6">
        <f>VLOOKUP($E658,Sheet3!$B$3:$D$54,2,0)</f>
        <v>2</v>
      </c>
      <c r="G658" s="6">
        <f>VLOOKUP($E658,Sheet3!$B$3:$G$54,3,0)</f>
        <v>0</v>
      </c>
      <c r="H658" s="5">
        <f>VLOOKUP($A658,Sheet3!$I$3:$J$38,2,0)</f>
        <v>26.77</v>
      </c>
      <c r="I658" s="6">
        <f>VLOOKUP($E658,Sheet3!$B$3:$G$54,5,0)</f>
        <v>137922</v>
      </c>
      <c r="J658" s="5">
        <f>VLOOKUP($E658,Sheet3!$B$3:$G$54,4,0)</f>
        <v>3.15</v>
      </c>
      <c r="K658" s="5">
        <f>VLOOKUP($E658,Sheet3!$B$3:$G$54,6,0)</f>
        <v>1.6</v>
      </c>
      <c r="L658">
        <v>192</v>
      </c>
      <c r="M658">
        <v>72</v>
      </c>
      <c r="N658">
        <v>15</v>
      </c>
      <c r="O658" s="14">
        <f t="shared" si="24"/>
        <v>0.375</v>
      </c>
    </row>
    <row r="659" spans="1:15" x14ac:dyDescent="0.3">
      <c r="A659" s="17" t="s">
        <v>47</v>
      </c>
      <c r="B659" s="12" t="s">
        <v>30</v>
      </c>
      <c r="C659" s="12" t="s">
        <v>32</v>
      </c>
      <c r="D659" s="6">
        <f t="shared" si="23"/>
        <v>44</v>
      </c>
      <c r="E659">
        <v>8</v>
      </c>
      <c r="F659" s="6">
        <f>VLOOKUP($E659,Sheet3!$B$3:$D$54,2,0)</f>
        <v>2</v>
      </c>
      <c r="G659" s="6">
        <f>VLOOKUP($E659,Sheet3!$B$3:$G$54,3,0)</f>
        <v>0</v>
      </c>
      <c r="H659" s="5">
        <f>VLOOKUP($A659,Sheet3!$I$3:$J$38,2,0)</f>
        <v>26.77</v>
      </c>
      <c r="I659" s="6">
        <f>VLOOKUP($E659,Sheet3!$B$3:$G$54,5,0)</f>
        <v>137922</v>
      </c>
      <c r="J659" s="5">
        <f>VLOOKUP($E659,Sheet3!$B$3:$G$54,4,0)</f>
        <v>3.15</v>
      </c>
      <c r="K659" s="5">
        <f>VLOOKUP($E659,Sheet3!$B$3:$G$54,6,0)</f>
        <v>1.6</v>
      </c>
      <c r="L659">
        <v>240</v>
      </c>
      <c r="M659">
        <v>96</v>
      </c>
      <c r="N659">
        <v>16</v>
      </c>
      <c r="O659" s="14">
        <f t="shared" si="24"/>
        <v>0.4</v>
      </c>
    </row>
    <row r="660" spans="1:15" x14ac:dyDescent="0.3">
      <c r="A660" s="17" t="s">
        <v>47</v>
      </c>
      <c r="B660" s="12" t="s">
        <v>30</v>
      </c>
      <c r="C660" s="12" t="s">
        <v>32</v>
      </c>
      <c r="D660" s="6">
        <f t="shared" si="23"/>
        <v>49</v>
      </c>
      <c r="E660">
        <v>9</v>
      </c>
      <c r="F660" s="6">
        <f>VLOOKUP($E660,Sheet3!$B$3:$D$54,2,0)</f>
        <v>2</v>
      </c>
      <c r="G660" s="6">
        <f>VLOOKUP($E660,Sheet3!$B$3:$G$54,3,0)</f>
        <v>0</v>
      </c>
      <c r="H660" s="5">
        <f>VLOOKUP($A660,Sheet3!$I$3:$J$38,2,0)</f>
        <v>26.77</v>
      </c>
      <c r="I660" s="6">
        <f>VLOOKUP($E660,Sheet3!$B$3:$G$54,5,0)</f>
        <v>137922</v>
      </c>
      <c r="J660" s="5">
        <f>VLOOKUP($E660,Sheet3!$B$3:$G$54,4,0)</f>
        <v>3.15</v>
      </c>
      <c r="K660" s="5">
        <f>VLOOKUP($E660,Sheet3!$B$3:$G$54,6,0)</f>
        <v>1.6</v>
      </c>
      <c r="L660">
        <v>360</v>
      </c>
      <c r="M660">
        <v>288</v>
      </c>
      <c r="N660">
        <v>12</v>
      </c>
      <c r="O660" s="14">
        <f t="shared" si="24"/>
        <v>0.8</v>
      </c>
    </row>
    <row r="661" spans="1:15" x14ac:dyDescent="0.3">
      <c r="A661" s="17" t="s">
        <v>47</v>
      </c>
      <c r="B661" s="12" t="s">
        <v>30</v>
      </c>
      <c r="C661" s="12" t="s">
        <v>32</v>
      </c>
      <c r="D661" s="6">
        <f t="shared" si="23"/>
        <v>49</v>
      </c>
      <c r="E661">
        <v>10</v>
      </c>
      <c r="F661" s="6">
        <f>VLOOKUP($E661,Sheet3!$B$3:$D$54,2,0)</f>
        <v>3</v>
      </c>
      <c r="G661" s="6">
        <f>VLOOKUP($E661,Sheet3!$B$3:$G$54,3,0)</f>
        <v>0</v>
      </c>
      <c r="H661" s="5">
        <f>VLOOKUP($A661,Sheet3!$I$3:$J$38,2,0)</f>
        <v>26.77</v>
      </c>
      <c r="I661" s="6">
        <f>VLOOKUP($E661,Sheet3!$B$3:$G$54,5,0)</f>
        <v>172223</v>
      </c>
      <c r="J661" s="5">
        <f>VLOOKUP($E661,Sheet3!$B$3:$G$54,4,0)</f>
        <v>3.15</v>
      </c>
      <c r="K661" s="5">
        <f>VLOOKUP($E661,Sheet3!$B$3:$G$54,6,0)</f>
        <v>1.9</v>
      </c>
      <c r="L661">
        <v>384</v>
      </c>
      <c r="M661">
        <v>72</v>
      </c>
      <c r="N661">
        <v>13</v>
      </c>
      <c r="O661" s="14">
        <f t="shared" si="24"/>
        <v>0.1875</v>
      </c>
    </row>
    <row r="662" spans="1:15" x14ac:dyDescent="0.3">
      <c r="A662" s="17" t="s">
        <v>47</v>
      </c>
      <c r="B662" s="12" t="s">
        <v>30</v>
      </c>
      <c r="C662" s="12" t="s">
        <v>32</v>
      </c>
      <c r="D662" s="6">
        <f t="shared" si="23"/>
        <v>49</v>
      </c>
      <c r="E662">
        <v>11</v>
      </c>
      <c r="F662" s="6">
        <f>VLOOKUP($E662,Sheet3!$B$3:$D$54,2,0)</f>
        <v>3</v>
      </c>
      <c r="G662" s="6">
        <f>VLOOKUP($E662,Sheet3!$B$3:$G$54,3,0)</f>
        <v>0</v>
      </c>
      <c r="H662" s="5">
        <f>VLOOKUP($A662,Sheet3!$I$3:$J$38,2,0)</f>
        <v>26.77</v>
      </c>
      <c r="I662" s="6">
        <f>VLOOKUP($E662,Sheet3!$B$3:$G$54,5,0)</f>
        <v>172223</v>
      </c>
      <c r="J662" s="5">
        <f>VLOOKUP($E662,Sheet3!$B$3:$G$54,4,0)</f>
        <v>2.9</v>
      </c>
      <c r="K662" s="5">
        <f>VLOOKUP($E662,Sheet3!$B$3:$G$54,6,0)</f>
        <v>1.9</v>
      </c>
      <c r="L662">
        <v>312</v>
      </c>
      <c r="M662">
        <v>576</v>
      </c>
      <c r="N662">
        <v>14</v>
      </c>
      <c r="O662" s="14">
        <f t="shared" si="24"/>
        <v>1.8461538461538463</v>
      </c>
    </row>
    <row r="663" spans="1:15" x14ac:dyDescent="0.3">
      <c r="A663" s="17" t="s">
        <v>47</v>
      </c>
      <c r="B663" s="12" t="s">
        <v>30</v>
      </c>
      <c r="C663" s="12" t="s">
        <v>32</v>
      </c>
      <c r="D663" s="6">
        <f t="shared" si="23"/>
        <v>49</v>
      </c>
      <c r="E663">
        <v>12</v>
      </c>
      <c r="F663" s="6">
        <f>VLOOKUP($E663,Sheet3!$B$3:$D$54,2,0)</f>
        <v>3</v>
      </c>
      <c r="G663" s="6">
        <f>VLOOKUP($E663,Sheet3!$B$3:$G$54,3,0)</f>
        <v>0</v>
      </c>
      <c r="H663" s="5">
        <f>VLOOKUP($A663,Sheet3!$I$3:$J$38,2,0)</f>
        <v>26.77</v>
      </c>
      <c r="I663" s="6">
        <f>VLOOKUP($E663,Sheet3!$B$3:$G$54,5,0)</f>
        <v>172223</v>
      </c>
      <c r="J663" s="5">
        <f>VLOOKUP($E663,Sheet3!$B$3:$G$54,4,0)</f>
        <v>2.9</v>
      </c>
      <c r="K663" s="5">
        <f>VLOOKUP($E663,Sheet3!$B$3:$G$54,6,0)</f>
        <v>1.9</v>
      </c>
      <c r="L663">
        <v>288</v>
      </c>
      <c r="M663">
        <v>264</v>
      </c>
      <c r="N663">
        <v>15</v>
      </c>
      <c r="O663" s="14">
        <f t="shared" si="24"/>
        <v>0.91666666666666663</v>
      </c>
    </row>
    <row r="664" spans="1:15" x14ac:dyDescent="0.3">
      <c r="A664" s="17" t="s">
        <v>47</v>
      </c>
      <c r="B664" s="12" t="s">
        <v>30</v>
      </c>
      <c r="C664" s="12" t="s">
        <v>32</v>
      </c>
      <c r="D664" s="6">
        <f t="shared" si="23"/>
        <v>49</v>
      </c>
      <c r="E664">
        <v>13</v>
      </c>
      <c r="F664" s="6">
        <f>VLOOKUP($E664,Sheet3!$B$3:$D$54,2,0)</f>
        <v>3</v>
      </c>
      <c r="G664" s="6">
        <f>VLOOKUP($E664,Sheet3!$B$3:$G$54,3,0)</f>
        <v>0</v>
      </c>
      <c r="H664" s="5">
        <f>VLOOKUP($A664,Sheet3!$I$3:$J$38,2,0)</f>
        <v>26.77</v>
      </c>
      <c r="I664" s="6">
        <f>VLOOKUP($E664,Sheet3!$B$3:$G$54,5,0)</f>
        <v>172223</v>
      </c>
      <c r="J664" s="5">
        <f>VLOOKUP($E664,Sheet3!$B$3:$G$54,4,0)</f>
        <v>2.9</v>
      </c>
      <c r="K664" s="5">
        <f>VLOOKUP($E664,Sheet3!$B$3:$G$54,6,0)</f>
        <v>1.9</v>
      </c>
      <c r="L664">
        <v>312</v>
      </c>
      <c r="M664">
        <v>432</v>
      </c>
      <c r="N664">
        <v>16</v>
      </c>
      <c r="O664" s="14">
        <f t="shared" si="24"/>
        <v>1.3846153846153846</v>
      </c>
    </row>
    <row r="665" spans="1:15" x14ac:dyDescent="0.3">
      <c r="A665" s="17" t="s">
        <v>47</v>
      </c>
      <c r="B665" s="12" t="s">
        <v>30</v>
      </c>
      <c r="C665" s="12" t="s">
        <v>32</v>
      </c>
      <c r="D665" s="6">
        <f t="shared" si="23"/>
        <v>2</v>
      </c>
      <c r="E665">
        <v>14</v>
      </c>
      <c r="F665" s="6">
        <f>VLOOKUP($E665,Sheet3!$B$3:$D$54,2,0)</f>
        <v>3</v>
      </c>
      <c r="G665" s="6">
        <f>VLOOKUP($E665,Sheet3!$B$3:$G$54,3,0)</f>
        <v>0</v>
      </c>
      <c r="H665" s="5">
        <f>VLOOKUP($A665,Sheet3!$I$3:$J$38,2,0)</f>
        <v>26.77</v>
      </c>
      <c r="I665" s="6">
        <f>VLOOKUP($E665,Sheet3!$B$3:$G$54,5,0)</f>
        <v>172223</v>
      </c>
      <c r="J665" s="5">
        <f>VLOOKUP($E665,Sheet3!$B$3:$G$54,4,0)</f>
        <v>2.9</v>
      </c>
      <c r="K665" s="5">
        <f>VLOOKUP($E665,Sheet3!$B$3:$G$54,6,0)</f>
        <v>1.9</v>
      </c>
      <c r="L665">
        <v>288</v>
      </c>
      <c r="M665">
        <v>504</v>
      </c>
      <c r="N665">
        <v>12</v>
      </c>
      <c r="O665" s="14">
        <f t="shared" si="24"/>
        <v>1.75</v>
      </c>
    </row>
    <row r="666" spans="1:15" x14ac:dyDescent="0.3">
      <c r="A666" s="17" t="s">
        <v>47</v>
      </c>
      <c r="B666" s="12" t="s">
        <v>30</v>
      </c>
      <c r="C666" s="12" t="s">
        <v>32</v>
      </c>
      <c r="D666" s="6">
        <f t="shared" si="23"/>
        <v>2</v>
      </c>
      <c r="E666">
        <v>15</v>
      </c>
      <c r="F666" s="6">
        <f>VLOOKUP($E666,Sheet3!$B$3:$D$54,2,0)</f>
        <v>4</v>
      </c>
      <c r="G666" s="6">
        <f>VLOOKUP($E666,Sheet3!$B$3:$G$54,3,0)</f>
        <v>0</v>
      </c>
      <c r="H666" s="5">
        <f>VLOOKUP($A666,Sheet3!$I$3:$J$38,2,0)</f>
        <v>26.77</v>
      </c>
      <c r="I666" s="6">
        <f>VLOOKUP($E666,Sheet3!$B$3:$G$54,5,0)</f>
        <v>139084</v>
      </c>
      <c r="J666" s="5">
        <f>VLOOKUP($E666,Sheet3!$B$3:$G$54,4,0)</f>
        <v>2.9</v>
      </c>
      <c r="K666" s="5">
        <f>VLOOKUP($E666,Sheet3!$B$3:$G$54,6,0)</f>
        <v>1.9</v>
      </c>
      <c r="L666">
        <v>216</v>
      </c>
      <c r="M666">
        <v>456</v>
      </c>
      <c r="N666">
        <v>13</v>
      </c>
      <c r="O666" s="14">
        <f t="shared" si="24"/>
        <v>2.1111111111111112</v>
      </c>
    </row>
    <row r="667" spans="1:15" x14ac:dyDescent="0.3">
      <c r="A667" s="17" t="s">
        <v>47</v>
      </c>
      <c r="B667" s="12" t="s">
        <v>30</v>
      </c>
      <c r="C667" s="12" t="s">
        <v>32</v>
      </c>
      <c r="D667" s="6">
        <f t="shared" si="23"/>
        <v>2</v>
      </c>
      <c r="E667">
        <v>16</v>
      </c>
      <c r="F667" s="6">
        <f>VLOOKUP($E667,Sheet3!$B$3:$D$54,2,0)</f>
        <v>4</v>
      </c>
      <c r="G667" s="6">
        <f>VLOOKUP($E667,Sheet3!$B$3:$G$54,3,0)</f>
        <v>0</v>
      </c>
      <c r="H667" s="5">
        <f>VLOOKUP($A667,Sheet3!$I$3:$J$38,2,0)</f>
        <v>26.77</v>
      </c>
      <c r="I667" s="6">
        <f>VLOOKUP($E667,Sheet3!$B$3:$G$54,5,0)</f>
        <v>139084</v>
      </c>
      <c r="J667" s="5">
        <f>VLOOKUP($E667,Sheet3!$B$3:$G$54,4,0)</f>
        <v>2.9</v>
      </c>
      <c r="K667" s="5">
        <f>VLOOKUP($E667,Sheet3!$B$3:$G$54,6,0)</f>
        <v>1.9</v>
      </c>
      <c r="L667">
        <v>264</v>
      </c>
      <c r="M667">
        <v>336</v>
      </c>
      <c r="N667">
        <v>14</v>
      </c>
      <c r="O667" s="14">
        <f t="shared" si="24"/>
        <v>1.2727272727272727</v>
      </c>
    </row>
    <row r="668" spans="1:15" x14ac:dyDescent="0.3">
      <c r="A668" s="17" t="s">
        <v>47</v>
      </c>
      <c r="B668" s="12" t="s">
        <v>30</v>
      </c>
      <c r="C668" s="12" t="s">
        <v>32</v>
      </c>
      <c r="D668" s="6">
        <f t="shared" si="23"/>
        <v>2</v>
      </c>
      <c r="E668">
        <v>17</v>
      </c>
      <c r="F668" s="6">
        <f>VLOOKUP($E668,Sheet3!$B$3:$D$54,2,0)</f>
        <v>4</v>
      </c>
      <c r="G668" s="6">
        <f>VLOOKUP($E668,Sheet3!$B$3:$G$54,3,0)</f>
        <v>1</v>
      </c>
      <c r="H668" s="5">
        <f>VLOOKUP($A668,Sheet3!$I$3:$J$38,2,0)</f>
        <v>26.77</v>
      </c>
      <c r="I668" s="6">
        <f>VLOOKUP($E668,Sheet3!$B$3:$G$54,5,0)</f>
        <v>139084</v>
      </c>
      <c r="J668" s="5">
        <f>VLOOKUP($E668,Sheet3!$B$3:$G$54,4,0)</f>
        <v>2.65</v>
      </c>
      <c r="K668" s="5">
        <f>VLOOKUP($E668,Sheet3!$B$3:$G$54,6,0)</f>
        <v>1.9</v>
      </c>
      <c r="L668">
        <v>168</v>
      </c>
      <c r="M668">
        <v>240</v>
      </c>
      <c r="N668">
        <v>15</v>
      </c>
      <c r="O668" s="14">
        <f t="shared" si="24"/>
        <v>1.4285714285714286</v>
      </c>
    </row>
    <row r="669" spans="1:15" x14ac:dyDescent="0.3">
      <c r="A669" s="17" t="s">
        <v>47</v>
      </c>
      <c r="B669" s="12" t="s">
        <v>30</v>
      </c>
      <c r="C669" s="12" t="s">
        <v>32</v>
      </c>
      <c r="D669" s="6">
        <f t="shared" si="23"/>
        <v>6</v>
      </c>
      <c r="E669">
        <v>18</v>
      </c>
      <c r="F669" s="6">
        <f>VLOOKUP($E669,Sheet3!$B$3:$D$54,2,0)</f>
        <v>4</v>
      </c>
      <c r="G669" s="6">
        <f>VLOOKUP($E669,Sheet3!$B$3:$G$54,3,0)</f>
        <v>1</v>
      </c>
      <c r="H669" s="5">
        <f>VLOOKUP($A669,Sheet3!$I$3:$J$38,2,0)</f>
        <v>26.77</v>
      </c>
      <c r="I669" s="6">
        <f>VLOOKUP($E669,Sheet3!$B$3:$G$54,5,0)</f>
        <v>139084</v>
      </c>
      <c r="J669" s="5">
        <f>VLOOKUP($E669,Sheet3!$B$3:$G$54,4,0)</f>
        <v>2.65</v>
      </c>
      <c r="K669" s="5">
        <f>VLOOKUP($E669,Sheet3!$B$3:$G$54,6,0)</f>
        <v>1.9</v>
      </c>
      <c r="L669">
        <v>264</v>
      </c>
      <c r="M669">
        <v>96</v>
      </c>
      <c r="N669">
        <v>12</v>
      </c>
      <c r="O669" s="14">
        <f t="shared" si="24"/>
        <v>0.36363636363636365</v>
      </c>
    </row>
    <row r="670" spans="1:15" x14ac:dyDescent="0.3">
      <c r="A670" s="17" t="s">
        <v>47</v>
      </c>
      <c r="B670" s="12" t="s">
        <v>30</v>
      </c>
      <c r="C670" s="12" t="s">
        <v>32</v>
      </c>
      <c r="D670" s="6">
        <f t="shared" si="23"/>
        <v>5</v>
      </c>
      <c r="E670">
        <v>19</v>
      </c>
      <c r="F670" s="6">
        <f>VLOOKUP($E670,Sheet3!$B$3:$D$54,2,0)</f>
        <v>5</v>
      </c>
      <c r="G670" s="6">
        <f>VLOOKUP($E670,Sheet3!$B$3:$G$54,3,0)</f>
        <v>0</v>
      </c>
      <c r="H670" s="5">
        <f>VLOOKUP($A670,Sheet3!$I$3:$J$38,2,0)</f>
        <v>26.77</v>
      </c>
      <c r="I670" s="6">
        <f>VLOOKUP($E670,Sheet3!$B$3:$G$54,5,0)</f>
        <v>139390</v>
      </c>
      <c r="J670" s="5">
        <f>VLOOKUP($E670,Sheet3!$B$3:$G$54,4,0)</f>
        <v>2.65</v>
      </c>
      <c r="K670" s="5">
        <f>VLOOKUP($E670,Sheet3!$B$3:$G$54,6,0)</f>
        <v>1.6</v>
      </c>
      <c r="L670">
        <v>240</v>
      </c>
      <c r="M670">
        <v>120</v>
      </c>
      <c r="N670">
        <v>14</v>
      </c>
      <c r="O670" s="14">
        <f t="shared" si="24"/>
        <v>0.5</v>
      </c>
    </row>
    <row r="671" spans="1:15" x14ac:dyDescent="0.3">
      <c r="A671" s="17" t="s">
        <v>47</v>
      </c>
      <c r="B671" s="12" t="s">
        <v>30</v>
      </c>
      <c r="C671" s="12" t="s">
        <v>32</v>
      </c>
      <c r="D671" s="6">
        <f t="shared" si="23"/>
        <v>5</v>
      </c>
      <c r="E671">
        <v>20</v>
      </c>
      <c r="F671" s="6">
        <f>VLOOKUP($E671,Sheet3!$B$3:$D$54,2,0)</f>
        <v>5</v>
      </c>
      <c r="G671" s="6">
        <f>VLOOKUP($E671,Sheet3!$B$3:$G$54,3,0)</f>
        <v>0</v>
      </c>
      <c r="H671" s="5">
        <f>VLOOKUP($A671,Sheet3!$I$3:$J$38,2,0)</f>
        <v>26.77</v>
      </c>
      <c r="I671" s="6">
        <f>VLOOKUP($E671,Sheet3!$B$3:$G$54,5,0)</f>
        <v>139390</v>
      </c>
      <c r="J671" s="5">
        <f>VLOOKUP($E671,Sheet3!$B$3:$G$54,4,0)</f>
        <v>2.65</v>
      </c>
      <c r="K671" s="5">
        <f>VLOOKUP($E671,Sheet3!$B$3:$G$54,6,0)</f>
        <v>1.6</v>
      </c>
      <c r="L671">
        <v>336</v>
      </c>
      <c r="M671">
        <v>264</v>
      </c>
      <c r="N671">
        <v>15</v>
      </c>
      <c r="O671" s="14">
        <f t="shared" si="24"/>
        <v>0.7857142857142857</v>
      </c>
    </row>
    <row r="672" spans="1:15" x14ac:dyDescent="0.3">
      <c r="A672" s="17" t="s">
        <v>47</v>
      </c>
      <c r="B672" s="12" t="s">
        <v>30</v>
      </c>
      <c r="C672" s="12" t="s">
        <v>32</v>
      </c>
      <c r="D672" s="6">
        <f t="shared" si="23"/>
        <v>5</v>
      </c>
      <c r="E672">
        <v>21</v>
      </c>
      <c r="F672" s="6">
        <f>VLOOKUP($E672,Sheet3!$B$3:$D$54,2,0)</f>
        <v>5</v>
      </c>
      <c r="G672" s="6">
        <f>VLOOKUP($E672,Sheet3!$B$3:$G$54,3,0)</f>
        <v>0</v>
      </c>
      <c r="H672" s="5">
        <f>VLOOKUP($A672,Sheet3!$I$3:$J$38,2,0)</f>
        <v>26.77</v>
      </c>
      <c r="I672" s="6">
        <f>VLOOKUP($E672,Sheet3!$B$3:$G$54,5,0)</f>
        <v>139390</v>
      </c>
      <c r="J672" s="5">
        <f>VLOOKUP($E672,Sheet3!$B$3:$G$54,4,0)</f>
        <v>2.65</v>
      </c>
      <c r="K672" s="5">
        <f>VLOOKUP($E672,Sheet3!$B$3:$G$54,6,0)</f>
        <v>1.6</v>
      </c>
      <c r="L672">
        <v>528</v>
      </c>
      <c r="M672">
        <v>312</v>
      </c>
      <c r="N672">
        <v>16</v>
      </c>
      <c r="O672" s="14">
        <f t="shared" si="24"/>
        <v>0.59090909090909094</v>
      </c>
    </row>
    <row r="673" spans="1:15" x14ac:dyDescent="0.3">
      <c r="A673" s="17" t="s">
        <v>47</v>
      </c>
      <c r="B673" s="12" t="s">
        <v>30</v>
      </c>
      <c r="C673" s="12" t="s">
        <v>32</v>
      </c>
      <c r="D673" s="6">
        <f t="shared" si="23"/>
        <v>9</v>
      </c>
      <c r="E673">
        <v>22</v>
      </c>
      <c r="F673" s="6">
        <f>VLOOKUP($E673,Sheet3!$B$3:$D$54,2,0)</f>
        <v>5</v>
      </c>
      <c r="G673" s="6">
        <f>VLOOKUP($E673,Sheet3!$B$3:$G$54,3,0)</f>
        <v>0</v>
      </c>
      <c r="H673" s="5">
        <f>VLOOKUP($A673,Sheet3!$I$3:$J$38,2,0)</f>
        <v>26.77</v>
      </c>
      <c r="I673" s="6">
        <f>VLOOKUP($E673,Sheet3!$B$3:$G$54,5,0)</f>
        <v>139390</v>
      </c>
      <c r="J673" s="5">
        <f>VLOOKUP($E673,Sheet3!$B$3:$G$54,4,0)</f>
        <v>2.65</v>
      </c>
      <c r="K673" s="5">
        <f>VLOOKUP($E673,Sheet3!$B$3:$G$54,6,0)</f>
        <v>1.6</v>
      </c>
      <c r="L673">
        <v>336</v>
      </c>
      <c r="M673">
        <v>0</v>
      </c>
      <c r="N673">
        <v>13</v>
      </c>
      <c r="O673" s="14">
        <f t="shared" si="24"/>
        <v>0</v>
      </c>
    </row>
    <row r="674" spans="1:15" x14ac:dyDescent="0.3">
      <c r="A674" s="17" t="s">
        <v>47</v>
      </c>
      <c r="B674" s="12" t="s">
        <v>30</v>
      </c>
      <c r="C674" s="12" t="s">
        <v>32</v>
      </c>
      <c r="D674" s="6">
        <f t="shared" si="23"/>
        <v>9</v>
      </c>
      <c r="E674">
        <v>23</v>
      </c>
      <c r="F674" s="6">
        <f>VLOOKUP($E674,Sheet3!$B$3:$D$54,2,0)</f>
        <v>5</v>
      </c>
      <c r="G674" s="6">
        <f>VLOOKUP($E674,Sheet3!$B$3:$G$54,3,0)</f>
        <v>1</v>
      </c>
      <c r="H674" s="5">
        <f>VLOOKUP($A674,Sheet3!$I$3:$J$38,2,0)</f>
        <v>26.77</v>
      </c>
      <c r="I674" s="6">
        <f>VLOOKUP($E674,Sheet3!$B$3:$G$54,5,0)</f>
        <v>139390</v>
      </c>
      <c r="J674" s="5">
        <f>VLOOKUP($E674,Sheet3!$B$3:$G$54,4,0)</f>
        <v>2.4</v>
      </c>
      <c r="K674" s="5">
        <f>VLOOKUP($E674,Sheet3!$B$3:$G$54,6,0)</f>
        <v>1.6</v>
      </c>
      <c r="L674">
        <v>312</v>
      </c>
      <c r="M674">
        <v>288</v>
      </c>
      <c r="N674">
        <v>14</v>
      </c>
      <c r="O674" s="14">
        <f t="shared" si="24"/>
        <v>0.92307692307692313</v>
      </c>
    </row>
    <row r="675" spans="1:15" x14ac:dyDescent="0.3">
      <c r="A675" s="17" t="s">
        <v>47</v>
      </c>
      <c r="B675" s="12" t="s">
        <v>30</v>
      </c>
      <c r="C675" s="12" t="s">
        <v>32</v>
      </c>
      <c r="D675" s="6">
        <f t="shared" si="23"/>
        <v>9</v>
      </c>
      <c r="E675">
        <v>24</v>
      </c>
      <c r="F675" s="6">
        <f>VLOOKUP($E675,Sheet3!$B$3:$D$54,2,0)</f>
        <v>6</v>
      </c>
      <c r="G675" s="6">
        <f>VLOOKUP($E675,Sheet3!$B$3:$G$54,3,0)</f>
        <v>0</v>
      </c>
      <c r="H675" s="5">
        <f>VLOOKUP($A675,Sheet3!$I$3:$J$38,2,0)</f>
        <v>26.77</v>
      </c>
      <c r="I675" s="6">
        <f>VLOOKUP($E675,Sheet3!$B$3:$G$54,5,0)</f>
        <v>132191</v>
      </c>
      <c r="J675" s="5">
        <f>VLOOKUP($E675,Sheet3!$B$3:$G$54,4,0)</f>
        <v>2.4</v>
      </c>
      <c r="K675" s="5">
        <f>VLOOKUP($E675,Sheet3!$B$3:$G$54,6,0)</f>
        <v>1.7</v>
      </c>
      <c r="L675">
        <v>120</v>
      </c>
      <c r="M675">
        <v>0</v>
      </c>
      <c r="N675">
        <v>15</v>
      </c>
      <c r="O675" s="14">
        <f t="shared" si="24"/>
        <v>0</v>
      </c>
    </row>
    <row r="676" spans="1:15" x14ac:dyDescent="0.3">
      <c r="A676" s="17" t="s">
        <v>47</v>
      </c>
      <c r="B676" s="12" t="s">
        <v>30</v>
      </c>
      <c r="C676" s="12" t="s">
        <v>32</v>
      </c>
      <c r="D676" s="6">
        <f t="shared" si="23"/>
        <v>9</v>
      </c>
      <c r="E676">
        <v>25</v>
      </c>
      <c r="F676" s="6">
        <f>VLOOKUP($E676,Sheet3!$B$3:$D$54,2,0)</f>
        <v>6</v>
      </c>
      <c r="G676" s="6">
        <f>VLOOKUP($E676,Sheet3!$B$3:$G$54,3,0)</f>
        <v>0</v>
      </c>
      <c r="H676" s="5">
        <f>VLOOKUP($A676,Sheet3!$I$3:$J$38,2,0)</f>
        <v>26.77</v>
      </c>
      <c r="I676" s="6">
        <f>VLOOKUP($E676,Sheet3!$B$3:$G$54,5,0)</f>
        <v>132191</v>
      </c>
      <c r="J676" s="5">
        <f>VLOOKUP($E676,Sheet3!$B$3:$G$54,4,0)</f>
        <v>2.4</v>
      </c>
      <c r="K676" s="5">
        <f>VLOOKUP($E676,Sheet3!$B$3:$G$54,6,0)</f>
        <v>1.7</v>
      </c>
      <c r="L676">
        <v>264</v>
      </c>
      <c r="M676">
        <v>192</v>
      </c>
      <c r="N676">
        <v>16</v>
      </c>
      <c r="O676" s="14">
        <f t="shared" si="24"/>
        <v>0.72727272727272729</v>
      </c>
    </row>
    <row r="677" spans="1:15" x14ac:dyDescent="0.3">
      <c r="A677" s="17" t="s">
        <v>47</v>
      </c>
      <c r="B677" s="12" t="s">
        <v>30</v>
      </c>
      <c r="C677" s="12" t="s">
        <v>32</v>
      </c>
      <c r="D677" s="6">
        <f t="shared" si="23"/>
        <v>10</v>
      </c>
      <c r="E677">
        <v>26</v>
      </c>
      <c r="F677" s="6">
        <f>VLOOKUP($E677,Sheet3!$B$3:$D$54,2,0)</f>
        <v>6</v>
      </c>
      <c r="G677" s="6">
        <f>VLOOKUP($E677,Sheet3!$B$3:$G$54,3,0)</f>
        <v>0</v>
      </c>
      <c r="H677" s="5">
        <f>VLOOKUP($A677,Sheet3!$I$3:$J$38,2,0)</f>
        <v>26.77</v>
      </c>
      <c r="I677" s="6">
        <f>VLOOKUP($E677,Sheet3!$B$3:$G$54,5,0)</f>
        <v>132191</v>
      </c>
      <c r="J677" s="5">
        <f>VLOOKUP($E677,Sheet3!$B$3:$G$54,4,0)</f>
        <v>2.4</v>
      </c>
      <c r="K677" s="5">
        <f>VLOOKUP($E677,Sheet3!$B$3:$G$54,6,0)</f>
        <v>1.7</v>
      </c>
      <c r="L677">
        <v>264</v>
      </c>
      <c r="M677">
        <v>192</v>
      </c>
      <c r="N677">
        <v>16</v>
      </c>
      <c r="O677" s="14">
        <f t="shared" si="24"/>
        <v>0.72727272727272729</v>
      </c>
    </row>
    <row r="678" spans="1:15" x14ac:dyDescent="0.3">
      <c r="A678" s="15" t="s">
        <v>48</v>
      </c>
      <c r="B678" s="12" t="s">
        <v>30</v>
      </c>
      <c r="C678" s="12" t="s">
        <v>32</v>
      </c>
      <c r="D678" s="6">
        <f t="shared" si="23"/>
        <v>12</v>
      </c>
      <c r="E678">
        <v>27</v>
      </c>
      <c r="F678" s="6">
        <f>VLOOKUP($E678,Sheet3!$B$3:$D$54,2,0)</f>
        <v>7</v>
      </c>
      <c r="G678" s="6">
        <f>VLOOKUP($E678,Sheet3!$B$3:$G$54,3,0)</f>
        <v>0</v>
      </c>
      <c r="H678" s="5">
        <f>VLOOKUP($A678,Sheet3!$I$3:$J$38,2,0)</f>
        <v>17.21</v>
      </c>
      <c r="I678" s="6">
        <f>VLOOKUP($E678,Sheet3!$B$3:$G$54,5,0)</f>
        <v>124806</v>
      </c>
      <c r="J678" s="5">
        <f>VLOOKUP($E678,Sheet3!$B$3:$G$54,4,0)</f>
        <v>4.5</v>
      </c>
      <c r="K678" s="5">
        <f>VLOOKUP($E678,Sheet3!$B$3:$G$54,6,0)</f>
        <v>1.3</v>
      </c>
      <c r="L678">
        <v>0</v>
      </c>
      <c r="M678">
        <v>0</v>
      </c>
      <c r="N678">
        <v>15</v>
      </c>
      <c r="O678" s="14" t="e">
        <f>M678/L678</f>
        <v>#DIV/0!</v>
      </c>
    </row>
    <row r="679" spans="1:15" x14ac:dyDescent="0.3">
      <c r="A679" s="15" t="s">
        <v>48</v>
      </c>
      <c r="B679" s="12" t="s">
        <v>30</v>
      </c>
      <c r="C679" s="12" t="s">
        <v>32</v>
      </c>
      <c r="D679" s="6">
        <f t="shared" ref="D679:D730" si="25">IF(E679-N679&lt;0,E679-N679+52,E679-N679)</f>
        <v>12</v>
      </c>
      <c r="E679">
        <v>28</v>
      </c>
      <c r="F679" s="6">
        <f>VLOOKUP($E679,Sheet3!$B$3:$D$54,2,0)</f>
        <v>7</v>
      </c>
      <c r="G679" s="6">
        <f>VLOOKUP($E679,Sheet3!$B$3:$G$54,3,0)</f>
        <v>0</v>
      </c>
      <c r="H679" s="5">
        <f>VLOOKUP($A679,Sheet3!$I$3:$J$38,2,0)</f>
        <v>17.21</v>
      </c>
      <c r="I679" s="6">
        <f>VLOOKUP($E679,Sheet3!$B$3:$G$54,5,0)</f>
        <v>124806</v>
      </c>
      <c r="J679" s="5">
        <f>VLOOKUP($E679,Sheet3!$B$3:$G$54,4,0)</f>
        <v>4.5</v>
      </c>
      <c r="K679" s="5">
        <f>VLOOKUP($E679,Sheet3!$B$3:$G$54,6,0)</f>
        <v>1.3</v>
      </c>
      <c r="L679">
        <v>0</v>
      </c>
      <c r="M679">
        <v>0</v>
      </c>
      <c r="N679">
        <v>16</v>
      </c>
      <c r="O679" s="14" t="e">
        <f t="shared" si="24"/>
        <v>#DIV/0!</v>
      </c>
    </row>
    <row r="680" spans="1:15" x14ac:dyDescent="0.3">
      <c r="A680" s="15" t="s">
        <v>48</v>
      </c>
      <c r="B680" s="12" t="s">
        <v>30</v>
      </c>
      <c r="C680" s="12" t="s">
        <v>32</v>
      </c>
      <c r="D680" s="6">
        <f t="shared" si="25"/>
        <v>13</v>
      </c>
      <c r="E680">
        <v>29</v>
      </c>
      <c r="F680" s="6">
        <f>VLOOKUP($E680,Sheet3!$B$3:$D$54,2,0)</f>
        <v>7</v>
      </c>
      <c r="G680" s="6">
        <f>VLOOKUP($E680,Sheet3!$B$3:$G$54,3,0)</f>
        <v>0</v>
      </c>
      <c r="H680" s="5">
        <f>VLOOKUP($A680,Sheet3!$I$3:$J$38,2,0)</f>
        <v>17.21</v>
      </c>
      <c r="I680" s="6">
        <f>VLOOKUP($E680,Sheet3!$B$3:$G$54,5,0)</f>
        <v>124806</v>
      </c>
      <c r="J680" s="5">
        <f>VLOOKUP($E680,Sheet3!$B$3:$G$54,4,0)</f>
        <v>4.5</v>
      </c>
      <c r="K680" s="5">
        <f>VLOOKUP($E680,Sheet3!$B$3:$G$54,6,0)</f>
        <v>1.3</v>
      </c>
      <c r="L680">
        <v>0</v>
      </c>
      <c r="M680">
        <v>0</v>
      </c>
      <c r="N680">
        <v>16</v>
      </c>
      <c r="O680" s="14" t="e">
        <f t="shared" si="24"/>
        <v>#DIV/0!</v>
      </c>
    </row>
    <row r="681" spans="1:15" x14ac:dyDescent="0.3">
      <c r="A681" s="15" t="s">
        <v>48</v>
      </c>
      <c r="B681" s="12" t="s">
        <v>30</v>
      </c>
      <c r="C681" s="12" t="s">
        <v>32</v>
      </c>
      <c r="D681" s="6">
        <f t="shared" si="25"/>
        <v>13</v>
      </c>
      <c r="E681">
        <v>30</v>
      </c>
      <c r="F681" s="6">
        <f>VLOOKUP($E681,Sheet3!$B$3:$D$54,2,0)</f>
        <v>7</v>
      </c>
      <c r="G681" s="6">
        <f>VLOOKUP($E681,Sheet3!$B$3:$G$54,3,0)</f>
        <v>0</v>
      </c>
      <c r="H681" s="5">
        <f>VLOOKUP($A681,Sheet3!$I$3:$J$38,2,0)</f>
        <v>17.21</v>
      </c>
      <c r="I681" s="6">
        <f>VLOOKUP($E681,Sheet3!$B$3:$G$54,5,0)</f>
        <v>124806</v>
      </c>
      <c r="J681" s="5">
        <f>VLOOKUP($E681,Sheet3!$B$3:$G$54,4,0)</f>
        <v>4.5</v>
      </c>
      <c r="K681" s="5">
        <f>VLOOKUP($E681,Sheet3!$B$3:$G$54,6,0)</f>
        <v>1.3</v>
      </c>
      <c r="L681">
        <v>0</v>
      </c>
      <c r="M681">
        <v>0</v>
      </c>
      <c r="N681">
        <v>17</v>
      </c>
      <c r="O681" s="14" t="e">
        <f t="shared" si="24"/>
        <v>#DIV/0!</v>
      </c>
    </row>
    <row r="682" spans="1:15" x14ac:dyDescent="0.3">
      <c r="A682" s="15" t="s">
        <v>48</v>
      </c>
      <c r="B682" s="12" t="s">
        <v>30</v>
      </c>
      <c r="C682" s="12" t="s">
        <v>32</v>
      </c>
      <c r="D682" s="6">
        <f t="shared" si="25"/>
        <v>14</v>
      </c>
      <c r="E682">
        <v>31</v>
      </c>
      <c r="F682" s="6">
        <f>VLOOKUP($E682,Sheet3!$B$3:$D$54,2,0)</f>
        <v>7</v>
      </c>
      <c r="G682" s="6">
        <f>VLOOKUP($E682,Sheet3!$B$3:$G$54,3,0)</f>
        <v>0</v>
      </c>
      <c r="H682" s="5">
        <f>VLOOKUP($A682,Sheet3!$I$3:$J$38,2,0)</f>
        <v>17.21</v>
      </c>
      <c r="I682" s="6">
        <f>VLOOKUP($E682,Sheet3!$B$3:$G$54,5,0)</f>
        <v>124806</v>
      </c>
      <c r="J682" s="5">
        <f>VLOOKUP($E682,Sheet3!$B$3:$G$54,4,0)</f>
        <v>4.5</v>
      </c>
      <c r="K682" s="5">
        <f>VLOOKUP($E682,Sheet3!$B$3:$G$54,6,0)</f>
        <v>1.3</v>
      </c>
      <c r="L682">
        <v>0</v>
      </c>
      <c r="M682">
        <v>0</v>
      </c>
      <c r="N682">
        <v>17</v>
      </c>
      <c r="O682" s="14" t="e">
        <f t="shared" si="24"/>
        <v>#DIV/0!</v>
      </c>
    </row>
    <row r="683" spans="1:15" x14ac:dyDescent="0.3">
      <c r="A683" s="15" t="s">
        <v>48</v>
      </c>
      <c r="B683" s="12" t="s">
        <v>30</v>
      </c>
      <c r="C683" s="12" t="s">
        <v>32</v>
      </c>
      <c r="D683" s="6">
        <f t="shared" si="25"/>
        <v>15</v>
      </c>
      <c r="E683">
        <v>32</v>
      </c>
      <c r="F683" s="6">
        <f>VLOOKUP($E683,Sheet3!$B$3:$D$54,2,0)</f>
        <v>8</v>
      </c>
      <c r="G683" s="6">
        <f>VLOOKUP($E683,Sheet3!$B$3:$G$54,3,0)</f>
        <v>1</v>
      </c>
      <c r="H683" s="5">
        <f>VLOOKUP($A683,Sheet3!$I$3:$J$38,2,0)</f>
        <v>17.21</v>
      </c>
      <c r="I683" s="6">
        <f>VLOOKUP($E683,Sheet3!$B$3:$G$54,5,0)</f>
        <v>69121</v>
      </c>
      <c r="J683" s="5">
        <f>VLOOKUP($E683,Sheet3!$B$3:$G$54,4,0)</f>
        <v>4.5</v>
      </c>
      <c r="K683" s="5">
        <f>VLOOKUP($E683,Sheet3!$B$3:$G$54,6,0)</f>
        <v>1.1000000000000001</v>
      </c>
      <c r="L683">
        <v>0</v>
      </c>
      <c r="M683">
        <v>0</v>
      </c>
      <c r="N683">
        <v>17</v>
      </c>
      <c r="O683" s="14" t="e">
        <f t="shared" si="24"/>
        <v>#DIV/0!</v>
      </c>
    </row>
    <row r="684" spans="1:15" x14ac:dyDescent="0.3">
      <c r="A684" s="15" t="s">
        <v>48</v>
      </c>
      <c r="B684" s="12" t="s">
        <v>30</v>
      </c>
      <c r="C684" s="12" t="s">
        <v>32</v>
      </c>
      <c r="D684" s="6">
        <f t="shared" si="25"/>
        <v>15</v>
      </c>
      <c r="E684">
        <v>33</v>
      </c>
      <c r="F684" s="6">
        <f>VLOOKUP($E684,Sheet3!$B$3:$D$54,2,0)</f>
        <v>8</v>
      </c>
      <c r="G684" s="6">
        <f>VLOOKUP($E684,Sheet3!$B$3:$G$54,3,0)</f>
        <v>1</v>
      </c>
      <c r="H684" s="5">
        <f>VLOOKUP($A684,Sheet3!$I$3:$J$38,2,0)</f>
        <v>17.21</v>
      </c>
      <c r="I684" s="6">
        <f>VLOOKUP($E684,Sheet3!$B$3:$G$54,5,0)</f>
        <v>69121</v>
      </c>
      <c r="J684" s="5">
        <f>VLOOKUP($E684,Sheet3!$B$3:$G$54,4,0)</f>
        <v>4.5</v>
      </c>
      <c r="K684" s="5">
        <f>VLOOKUP($E684,Sheet3!$B$3:$G$54,6,0)</f>
        <v>1.1000000000000001</v>
      </c>
      <c r="L684">
        <v>100</v>
      </c>
      <c r="M684">
        <v>0</v>
      </c>
      <c r="N684">
        <v>18</v>
      </c>
      <c r="O684" s="14">
        <f t="shared" si="24"/>
        <v>0</v>
      </c>
    </row>
    <row r="685" spans="1:15" x14ac:dyDescent="0.3">
      <c r="A685" s="15" t="s">
        <v>48</v>
      </c>
      <c r="B685" s="12" t="s">
        <v>30</v>
      </c>
      <c r="C685" s="12" t="s">
        <v>32</v>
      </c>
      <c r="D685" s="6">
        <f t="shared" si="25"/>
        <v>14</v>
      </c>
      <c r="E685">
        <v>34</v>
      </c>
      <c r="F685" s="6">
        <f>VLOOKUP($E685,Sheet3!$B$3:$D$54,2,0)</f>
        <v>8</v>
      </c>
      <c r="G685" s="6">
        <f>VLOOKUP($E685,Sheet3!$B$3:$G$54,3,0)</f>
        <v>0</v>
      </c>
      <c r="H685" s="5">
        <f>VLOOKUP($A685,Sheet3!$I$3:$J$38,2,0)</f>
        <v>17.21</v>
      </c>
      <c r="I685" s="6">
        <f>VLOOKUP($E685,Sheet3!$B$3:$G$54,5,0)</f>
        <v>69121</v>
      </c>
      <c r="J685" s="5">
        <f>VLOOKUP($E685,Sheet3!$B$3:$G$54,4,0)</f>
        <v>4.5</v>
      </c>
      <c r="K685" s="5">
        <f>VLOOKUP($E685,Sheet3!$B$3:$G$54,6,0)</f>
        <v>1.1000000000000001</v>
      </c>
      <c r="L685">
        <v>50</v>
      </c>
      <c r="M685">
        <v>0</v>
      </c>
      <c r="N685">
        <v>20</v>
      </c>
      <c r="O685" s="14">
        <f t="shared" si="24"/>
        <v>0</v>
      </c>
    </row>
    <row r="686" spans="1:15" x14ac:dyDescent="0.3">
      <c r="A686" s="15" t="s">
        <v>48</v>
      </c>
      <c r="B686" s="12" t="s">
        <v>30</v>
      </c>
      <c r="C686" s="12" t="s">
        <v>32</v>
      </c>
      <c r="D686" s="6">
        <f t="shared" si="25"/>
        <v>21</v>
      </c>
      <c r="E686">
        <v>35</v>
      </c>
      <c r="F686" s="6">
        <f>VLOOKUP($E686,Sheet3!$B$3:$D$54,2,0)</f>
        <v>8</v>
      </c>
      <c r="G686" s="6">
        <f>VLOOKUP($E686,Sheet3!$B$3:$G$54,3,0)</f>
        <v>0</v>
      </c>
      <c r="H686" s="5">
        <f>VLOOKUP($A686,Sheet3!$I$3:$J$38,2,0)</f>
        <v>17.21</v>
      </c>
      <c r="I686" s="6">
        <f>VLOOKUP($E686,Sheet3!$B$3:$G$54,5,0)</f>
        <v>69121</v>
      </c>
      <c r="J686" s="5">
        <f>VLOOKUP($E686,Sheet3!$B$3:$G$54,4,0)</f>
        <v>4.5</v>
      </c>
      <c r="K686" s="5">
        <f>VLOOKUP($E686,Sheet3!$B$3:$G$54,6,0)</f>
        <v>1.1000000000000001</v>
      </c>
      <c r="L686">
        <v>0</v>
      </c>
      <c r="M686">
        <v>0</v>
      </c>
      <c r="N686">
        <v>14</v>
      </c>
      <c r="O686" s="14" t="e">
        <f t="shared" si="24"/>
        <v>#DIV/0!</v>
      </c>
    </row>
    <row r="687" spans="1:15" x14ac:dyDescent="0.3">
      <c r="A687" s="15" t="s">
        <v>48</v>
      </c>
      <c r="B687" s="12" t="s">
        <v>30</v>
      </c>
      <c r="C687" s="12" t="s">
        <v>32</v>
      </c>
      <c r="D687" s="6">
        <f t="shared" si="25"/>
        <v>21</v>
      </c>
      <c r="E687">
        <v>36</v>
      </c>
      <c r="F687" s="6">
        <f>VLOOKUP($E687,Sheet3!$B$3:$D$54,2,0)</f>
        <v>9</v>
      </c>
      <c r="G687" s="6">
        <f>VLOOKUP($E687,Sheet3!$B$3:$G$54,3,0)</f>
        <v>0</v>
      </c>
      <c r="H687" s="5">
        <f>VLOOKUP($A687,Sheet3!$I$3:$J$38,2,0)</f>
        <v>17.21</v>
      </c>
      <c r="I687" s="6">
        <f>VLOOKUP($E687,Sheet3!$B$3:$G$54,5,0)</f>
        <v>121666</v>
      </c>
      <c r="J687" s="5">
        <f>VLOOKUP($E687,Sheet3!$B$3:$G$54,4,0)</f>
        <v>4.5</v>
      </c>
      <c r="K687" s="5">
        <f>VLOOKUP($E687,Sheet3!$B$3:$G$54,6,0)</f>
        <v>0.7</v>
      </c>
      <c r="L687">
        <v>0</v>
      </c>
      <c r="M687">
        <v>0</v>
      </c>
      <c r="N687">
        <v>15</v>
      </c>
      <c r="O687" s="14" t="e">
        <f t="shared" si="24"/>
        <v>#DIV/0!</v>
      </c>
    </row>
    <row r="688" spans="1:15" x14ac:dyDescent="0.3">
      <c r="A688" s="15" t="s">
        <v>48</v>
      </c>
      <c r="B688" s="12" t="s">
        <v>30</v>
      </c>
      <c r="C688" s="12" t="s">
        <v>32</v>
      </c>
      <c r="D688" s="6">
        <f t="shared" si="25"/>
        <v>21</v>
      </c>
      <c r="E688">
        <v>37</v>
      </c>
      <c r="F688" s="6">
        <f>VLOOKUP($E688,Sheet3!$B$3:$D$54,2,0)</f>
        <v>9</v>
      </c>
      <c r="G688" s="6">
        <f>VLOOKUP($E688,Sheet3!$B$3:$G$54,3,0)</f>
        <v>0</v>
      </c>
      <c r="H688" s="5">
        <f>VLOOKUP($A688,Sheet3!$I$3:$J$38,2,0)</f>
        <v>17.21</v>
      </c>
      <c r="I688" s="6">
        <f>VLOOKUP($E688,Sheet3!$B$3:$G$54,5,0)</f>
        <v>121666</v>
      </c>
      <c r="J688" s="5">
        <f>VLOOKUP($E688,Sheet3!$B$3:$G$54,4,0)</f>
        <v>4.5</v>
      </c>
      <c r="K688" s="5">
        <f>VLOOKUP($E688,Sheet3!$B$3:$G$54,6,0)</f>
        <v>0.7</v>
      </c>
      <c r="L688">
        <v>0</v>
      </c>
      <c r="M688">
        <v>0</v>
      </c>
      <c r="N688">
        <v>16</v>
      </c>
      <c r="O688" s="14" t="e">
        <f t="shared" si="24"/>
        <v>#DIV/0!</v>
      </c>
    </row>
    <row r="689" spans="1:15" x14ac:dyDescent="0.3">
      <c r="A689" s="15" t="s">
        <v>48</v>
      </c>
      <c r="B689" s="12" t="s">
        <v>30</v>
      </c>
      <c r="C689" s="12" t="s">
        <v>32</v>
      </c>
      <c r="D689" s="6">
        <f t="shared" si="25"/>
        <v>21</v>
      </c>
      <c r="E689">
        <v>38</v>
      </c>
      <c r="F689" s="6">
        <f>VLOOKUP($E689,Sheet3!$B$3:$D$54,2,0)</f>
        <v>9</v>
      </c>
      <c r="G689" s="6">
        <f>VLOOKUP($E689,Sheet3!$B$3:$G$54,3,0)</f>
        <v>0</v>
      </c>
      <c r="H689" s="5">
        <f>VLOOKUP($A689,Sheet3!$I$3:$J$38,2,0)</f>
        <v>17.21</v>
      </c>
      <c r="I689" s="6">
        <f>VLOOKUP($E689,Sheet3!$B$3:$G$54,5,0)</f>
        <v>121666</v>
      </c>
      <c r="J689" s="5">
        <f>VLOOKUP($E689,Sheet3!$B$3:$G$54,4,0)</f>
        <v>3.9</v>
      </c>
      <c r="K689" s="5">
        <f>VLOOKUP($E689,Sheet3!$B$3:$G$54,6,0)</f>
        <v>0.7</v>
      </c>
      <c r="L689">
        <v>0</v>
      </c>
      <c r="M689">
        <v>0</v>
      </c>
      <c r="N689">
        <v>17</v>
      </c>
      <c r="O689" s="14" t="e">
        <f t="shared" si="24"/>
        <v>#DIV/0!</v>
      </c>
    </row>
    <row r="690" spans="1:15" x14ac:dyDescent="0.3">
      <c r="A690" s="15" t="s">
        <v>48</v>
      </c>
      <c r="B690" s="12" t="s">
        <v>30</v>
      </c>
      <c r="C690" s="12" t="s">
        <v>32</v>
      </c>
      <c r="D690" s="6">
        <f t="shared" si="25"/>
        <v>25</v>
      </c>
      <c r="E690">
        <v>39</v>
      </c>
      <c r="F690" s="6">
        <f>VLOOKUP($E690,Sheet3!$B$3:$D$54,2,0)</f>
        <v>9</v>
      </c>
      <c r="G690" s="6">
        <f>VLOOKUP($E690,Sheet3!$B$3:$G$54,3,0)</f>
        <v>0</v>
      </c>
      <c r="H690" s="5">
        <f>VLOOKUP($A690,Sheet3!$I$3:$J$38,2,0)</f>
        <v>17.21</v>
      </c>
      <c r="I690" s="6">
        <f>VLOOKUP($E690,Sheet3!$B$3:$G$54,5,0)</f>
        <v>121666</v>
      </c>
      <c r="J690" s="5">
        <f>VLOOKUP($E690,Sheet3!$B$3:$G$54,4,0)</f>
        <v>3.9</v>
      </c>
      <c r="K690" s="5">
        <f>VLOOKUP($E690,Sheet3!$B$3:$G$54,6,0)</f>
        <v>0.7</v>
      </c>
      <c r="L690">
        <v>0</v>
      </c>
      <c r="M690">
        <v>0</v>
      </c>
      <c r="N690">
        <v>14</v>
      </c>
      <c r="O690" s="14" t="e">
        <f t="shared" si="24"/>
        <v>#DIV/0!</v>
      </c>
    </row>
    <row r="691" spans="1:15" x14ac:dyDescent="0.3">
      <c r="A691" s="15" t="s">
        <v>48</v>
      </c>
      <c r="B691" s="12" t="s">
        <v>30</v>
      </c>
      <c r="C691" s="12" t="s">
        <v>32</v>
      </c>
      <c r="D691" s="6">
        <f t="shared" si="25"/>
        <v>25</v>
      </c>
      <c r="E691">
        <v>40</v>
      </c>
      <c r="F691" s="6">
        <f>VLOOKUP($E691,Sheet3!$B$3:$D$54,2,0)</f>
        <v>9</v>
      </c>
      <c r="G691" s="6">
        <f>VLOOKUP($E691,Sheet3!$B$3:$G$54,3,0)</f>
        <v>0</v>
      </c>
      <c r="H691" s="5">
        <f>VLOOKUP($A691,Sheet3!$I$3:$J$38,2,0)</f>
        <v>17.21</v>
      </c>
      <c r="I691" s="6">
        <f>VLOOKUP($E691,Sheet3!$B$3:$G$54,5,0)</f>
        <v>121666</v>
      </c>
      <c r="J691" s="5">
        <f>VLOOKUP($E691,Sheet3!$B$3:$G$54,4,0)</f>
        <v>3.9</v>
      </c>
      <c r="K691" s="5">
        <f>VLOOKUP($E691,Sheet3!$B$3:$G$54,6,0)</f>
        <v>0.7</v>
      </c>
      <c r="L691">
        <v>0</v>
      </c>
      <c r="M691">
        <v>0</v>
      </c>
      <c r="N691">
        <v>15</v>
      </c>
      <c r="O691" s="14" t="e">
        <f t="shared" si="24"/>
        <v>#DIV/0!</v>
      </c>
    </row>
    <row r="692" spans="1:15" x14ac:dyDescent="0.3">
      <c r="A692" s="15" t="s">
        <v>48</v>
      </c>
      <c r="B692" s="12" t="s">
        <v>30</v>
      </c>
      <c r="C692" s="12" t="s">
        <v>32</v>
      </c>
      <c r="D692" s="6">
        <f t="shared" si="25"/>
        <v>25</v>
      </c>
      <c r="E692">
        <v>41</v>
      </c>
      <c r="F692" s="6">
        <f>VLOOKUP($E692,Sheet3!$B$3:$D$54,2,0)</f>
        <v>10</v>
      </c>
      <c r="G692" s="6">
        <f>VLOOKUP($E692,Sheet3!$B$3:$G$54,3,0)</f>
        <v>0</v>
      </c>
      <c r="H692" s="5">
        <f>VLOOKUP($A692,Sheet3!$I$3:$J$38,2,0)</f>
        <v>17.21</v>
      </c>
      <c r="I692" s="6">
        <f>VLOOKUP($E692,Sheet3!$B$3:$G$54,5,0)</f>
        <v>126488</v>
      </c>
      <c r="J692" s="5">
        <f>VLOOKUP($E692,Sheet3!$B$3:$G$54,4,0)</f>
        <v>3.9</v>
      </c>
      <c r="K692" s="5">
        <f>VLOOKUP($E692,Sheet3!$B$3:$G$54,6,0)</f>
        <v>0.9</v>
      </c>
      <c r="L692">
        <v>0</v>
      </c>
      <c r="M692">
        <v>0</v>
      </c>
      <c r="N692">
        <v>16</v>
      </c>
      <c r="O692" s="14" t="e">
        <f t="shared" si="24"/>
        <v>#DIV/0!</v>
      </c>
    </row>
    <row r="693" spans="1:15" x14ac:dyDescent="0.3">
      <c r="A693" s="15" t="s">
        <v>48</v>
      </c>
      <c r="B693" s="12" t="s">
        <v>30</v>
      </c>
      <c r="C693" s="12" t="s">
        <v>32</v>
      </c>
      <c r="D693" s="6">
        <f t="shared" si="25"/>
        <v>25</v>
      </c>
      <c r="E693">
        <v>42</v>
      </c>
      <c r="F693" s="6">
        <f>VLOOKUP($E693,Sheet3!$B$3:$D$54,2,0)</f>
        <v>10</v>
      </c>
      <c r="G693" s="6">
        <f>VLOOKUP($E693,Sheet3!$B$3:$G$54,3,0)</f>
        <v>0</v>
      </c>
      <c r="H693" s="5">
        <f>VLOOKUP($A693,Sheet3!$I$3:$J$38,2,0)</f>
        <v>17.21</v>
      </c>
      <c r="I693" s="6">
        <f>VLOOKUP($E693,Sheet3!$B$3:$G$54,5,0)</f>
        <v>126488</v>
      </c>
      <c r="J693" s="5">
        <f>VLOOKUP($E693,Sheet3!$B$3:$G$54,4,0)</f>
        <v>3.9</v>
      </c>
      <c r="K693" s="5">
        <f>VLOOKUP($E693,Sheet3!$B$3:$G$54,6,0)</f>
        <v>0.9</v>
      </c>
      <c r="L693">
        <v>0</v>
      </c>
      <c r="M693">
        <v>24</v>
      </c>
      <c r="N693">
        <v>17</v>
      </c>
      <c r="O693" s="14" t="e">
        <f t="shared" ref="O693:O755" si="26">M693/L693</f>
        <v>#DIV/0!</v>
      </c>
    </row>
    <row r="694" spans="1:15" x14ac:dyDescent="0.3">
      <c r="A694" s="15" t="s">
        <v>48</v>
      </c>
      <c r="B694" s="12" t="s">
        <v>30</v>
      </c>
      <c r="C694" s="12" t="s">
        <v>32</v>
      </c>
      <c r="D694" s="6">
        <f t="shared" si="25"/>
        <v>25</v>
      </c>
      <c r="E694">
        <v>43</v>
      </c>
      <c r="F694" s="6">
        <f>VLOOKUP($E694,Sheet3!$B$3:$D$54,2,0)</f>
        <v>10</v>
      </c>
      <c r="G694" s="6">
        <f>VLOOKUP($E694,Sheet3!$B$3:$G$54,3,0)</f>
        <v>0</v>
      </c>
      <c r="H694" s="5">
        <f>VLOOKUP($A694,Sheet3!$I$3:$J$38,2,0)</f>
        <v>17.21</v>
      </c>
      <c r="I694" s="6">
        <f>VLOOKUP($E694,Sheet3!$B$3:$G$54,5,0)</f>
        <v>126488</v>
      </c>
      <c r="J694" s="5">
        <f>VLOOKUP($E694,Sheet3!$B$3:$G$54,4,0)</f>
        <v>3.65</v>
      </c>
      <c r="K694" s="5">
        <f>VLOOKUP($E694,Sheet3!$B$3:$G$54,6,0)</f>
        <v>0.9</v>
      </c>
      <c r="L694">
        <v>0</v>
      </c>
      <c r="M694">
        <v>0</v>
      </c>
      <c r="N694">
        <v>18</v>
      </c>
      <c r="O694" s="14" t="e">
        <f t="shared" si="26"/>
        <v>#DIV/0!</v>
      </c>
    </row>
    <row r="695" spans="1:15" x14ac:dyDescent="0.3">
      <c r="A695" s="15" t="s">
        <v>48</v>
      </c>
      <c r="B695" s="12" t="s">
        <v>30</v>
      </c>
      <c r="C695" s="12" t="s">
        <v>32</v>
      </c>
      <c r="D695" s="6">
        <f t="shared" si="25"/>
        <v>31</v>
      </c>
      <c r="E695">
        <v>44</v>
      </c>
      <c r="F695" s="6">
        <f>VLOOKUP($E695,Sheet3!$B$3:$D$54,2,0)</f>
        <v>10</v>
      </c>
      <c r="G695" s="6">
        <f>VLOOKUP($E695,Sheet3!$B$3:$G$54,3,0)</f>
        <v>1</v>
      </c>
      <c r="H695" s="5">
        <f>VLOOKUP($A695,Sheet3!$I$3:$J$38,2,0)</f>
        <v>17.21</v>
      </c>
      <c r="I695" s="6">
        <f>VLOOKUP($E695,Sheet3!$B$3:$G$54,5,0)</f>
        <v>126488</v>
      </c>
      <c r="J695" s="5">
        <f>VLOOKUP($E695,Sheet3!$B$3:$G$54,4,0)</f>
        <v>3.65</v>
      </c>
      <c r="K695" s="5">
        <f>VLOOKUP($E695,Sheet3!$B$3:$G$54,6,0)</f>
        <v>0.9</v>
      </c>
      <c r="L695">
        <v>0</v>
      </c>
      <c r="M695">
        <v>24</v>
      </c>
      <c r="N695">
        <v>13</v>
      </c>
      <c r="O695" s="14" t="e">
        <f t="shared" si="26"/>
        <v>#DIV/0!</v>
      </c>
    </row>
    <row r="696" spans="1:15" x14ac:dyDescent="0.3">
      <c r="A696" s="15" t="s">
        <v>48</v>
      </c>
      <c r="B696" s="12" t="s">
        <v>30</v>
      </c>
      <c r="C696" s="12" t="s">
        <v>32</v>
      </c>
      <c r="D696" s="6">
        <f t="shared" si="25"/>
        <v>31</v>
      </c>
      <c r="E696">
        <v>45</v>
      </c>
      <c r="F696" s="6">
        <f>VLOOKUP($E696,Sheet3!$B$3:$D$54,2,0)</f>
        <v>11</v>
      </c>
      <c r="G696" s="6">
        <f>VLOOKUP($E696,Sheet3!$B$3:$G$54,3,0)</f>
        <v>0</v>
      </c>
      <c r="H696" s="5">
        <f>VLOOKUP($A696,Sheet3!$I$3:$J$38,2,0)</f>
        <v>17.21</v>
      </c>
      <c r="I696" s="6">
        <f>VLOOKUP($E696,Sheet3!$B$3:$G$54,5,0)</f>
        <v>124251</v>
      </c>
      <c r="J696" s="5">
        <f>VLOOKUP($E696,Sheet3!$B$3:$G$54,4,0)</f>
        <v>3.65</v>
      </c>
      <c r="K696" s="5">
        <f>VLOOKUP($E696,Sheet3!$B$3:$G$54,6,0)</f>
        <v>1.3</v>
      </c>
      <c r="L696">
        <v>0</v>
      </c>
      <c r="M696">
        <v>24</v>
      </c>
      <c r="N696">
        <v>14</v>
      </c>
      <c r="O696" s="14" t="e">
        <f t="shared" si="26"/>
        <v>#DIV/0!</v>
      </c>
    </row>
    <row r="697" spans="1:15" x14ac:dyDescent="0.3">
      <c r="A697" s="15" t="s">
        <v>48</v>
      </c>
      <c r="B697" s="12" t="s">
        <v>30</v>
      </c>
      <c r="C697" s="12" t="s">
        <v>32</v>
      </c>
      <c r="D697" s="6">
        <f t="shared" si="25"/>
        <v>31</v>
      </c>
      <c r="E697">
        <v>46</v>
      </c>
      <c r="F697" s="6">
        <f>VLOOKUP($E697,Sheet3!$B$3:$D$54,2,0)</f>
        <v>11</v>
      </c>
      <c r="G697" s="6">
        <f>VLOOKUP($E697,Sheet3!$B$3:$G$54,3,0)</f>
        <v>0</v>
      </c>
      <c r="H697" s="5">
        <f>VLOOKUP($A697,Sheet3!$I$3:$J$38,2,0)</f>
        <v>17.21</v>
      </c>
      <c r="I697" s="6">
        <f>VLOOKUP($E697,Sheet3!$B$3:$G$54,5,0)</f>
        <v>124251</v>
      </c>
      <c r="J697" s="5">
        <f>VLOOKUP($E697,Sheet3!$B$3:$G$54,4,0)</f>
        <v>3.65</v>
      </c>
      <c r="K697" s="5">
        <f>VLOOKUP($E697,Sheet3!$B$3:$G$54,6,0)</f>
        <v>1.3</v>
      </c>
      <c r="L697">
        <v>0</v>
      </c>
      <c r="M697">
        <v>48</v>
      </c>
      <c r="N697">
        <v>15</v>
      </c>
      <c r="O697" s="14" t="e">
        <f t="shared" si="26"/>
        <v>#DIV/0!</v>
      </c>
    </row>
    <row r="698" spans="1:15" x14ac:dyDescent="0.3">
      <c r="A698" s="15" t="s">
        <v>48</v>
      </c>
      <c r="B698" s="12" t="s">
        <v>30</v>
      </c>
      <c r="C698" s="12" t="s">
        <v>32</v>
      </c>
      <c r="D698" s="6">
        <f t="shared" si="25"/>
        <v>31</v>
      </c>
      <c r="E698">
        <v>47</v>
      </c>
      <c r="F698" s="6">
        <f>VLOOKUP($E698,Sheet3!$B$3:$D$54,2,0)</f>
        <v>11</v>
      </c>
      <c r="G698" s="6">
        <f>VLOOKUP($E698,Sheet3!$B$3:$G$54,3,0)</f>
        <v>0</v>
      </c>
      <c r="H698" s="5">
        <f>VLOOKUP($A698,Sheet3!$I$3:$J$38,2,0)</f>
        <v>17.21</v>
      </c>
      <c r="I698" s="6">
        <f>VLOOKUP($E698,Sheet3!$B$3:$G$54,5,0)</f>
        <v>124251</v>
      </c>
      <c r="J698" s="5">
        <f>VLOOKUP($E698,Sheet3!$B$3:$G$54,4,0)</f>
        <v>3.65</v>
      </c>
      <c r="K698" s="5">
        <f>VLOOKUP($E698,Sheet3!$B$3:$G$54,6,0)</f>
        <v>1.3</v>
      </c>
      <c r="L698">
        <v>0</v>
      </c>
      <c r="M698">
        <v>24</v>
      </c>
      <c r="N698">
        <v>16</v>
      </c>
      <c r="O698" s="14" t="e">
        <f t="shared" si="26"/>
        <v>#DIV/0!</v>
      </c>
    </row>
    <row r="699" spans="1:15" x14ac:dyDescent="0.3">
      <c r="A699" s="15" t="s">
        <v>48</v>
      </c>
      <c r="B699" s="12" t="s">
        <v>30</v>
      </c>
      <c r="C699" s="12" t="s">
        <v>32</v>
      </c>
      <c r="D699" s="6">
        <f t="shared" si="25"/>
        <v>35</v>
      </c>
      <c r="E699">
        <v>48</v>
      </c>
      <c r="F699" s="6">
        <f>VLOOKUP($E699,Sheet3!$B$3:$D$54,2,0)</f>
        <v>11</v>
      </c>
      <c r="G699" s="6">
        <f>VLOOKUP($E699,Sheet3!$B$3:$G$54,3,0)</f>
        <v>0</v>
      </c>
      <c r="H699" s="5">
        <f>VLOOKUP($A699,Sheet3!$I$3:$J$38,2,0)</f>
        <v>17.21</v>
      </c>
      <c r="I699" s="6">
        <f>VLOOKUP($E699,Sheet3!$B$3:$G$54,5,0)</f>
        <v>124251</v>
      </c>
      <c r="J699" s="5">
        <f>VLOOKUP($E699,Sheet3!$B$3:$G$54,4,0)</f>
        <v>3.65</v>
      </c>
      <c r="K699" s="5">
        <f>VLOOKUP($E699,Sheet3!$B$3:$G$54,6,0)</f>
        <v>1.3</v>
      </c>
      <c r="L699">
        <v>0</v>
      </c>
      <c r="M699">
        <v>24</v>
      </c>
      <c r="N699">
        <v>13</v>
      </c>
      <c r="O699" s="14" t="e">
        <f t="shared" si="26"/>
        <v>#DIV/0!</v>
      </c>
    </row>
    <row r="700" spans="1:15" x14ac:dyDescent="0.3">
      <c r="A700" s="15" t="s">
        <v>48</v>
      </c>
      <c r="B700" s="12" t="s">
        <v>30</v>
      </c>
      <c r="C700" s="12" t="s">
        <v>32</v>
      </c>
      <c r="D700" s="6">
        <f t="shared" si="25"/>
        <v>35</v>
      </c>
      <c r="E700">
        <v>49</v>
      </c>
      <c r="F700" s="6">
        <f>VLOOKUP($E700,Sheet3!$B$3:$D$54,2,0)</f>
        <v>12</v>
      </c>
      <c r="G700" s="6">
        <f>VLOOKUP($E700,Sheet3!$B$3:$G$54,3,0)</f>
        <v>1</v>
      </c>
      <c r="H700" s="5">
        <f>VLOOKUP($A700,Sheet3!$I$3:$J$38,2,0)</f>
        <v>17.21</v>
      </c>
      <c r="I700" s="6">
        <f>VLOOKUP($E700,Sheet3!$B$3:$G$54,5,0)</f>
        <v>105715</v>
      </c>
      <c r="J700" s="5">
        <f>VLOOKUP($E700,Sheet3!$B$3:$G$54,4,0)</f>
        <v>3.65</v>
      </c>
      <c r="K700" s="5">
        <f>VLOOKUP($E700,Sheet3!$B$3:$G$54,6,0)</f>
        <v>1.3</v>
      </c>
      <c r="L700">
        <v>0</v>
      </c>
      <c r="M700">
        <v>24</v>
      </c>
      <c r="N700">
        <v>14</v>
      </c>
      <c r="O700" s="14" t="e">
        <f t="shared" si="26"/>
        <v>#DIV/0!</v>
      </c>
    </row>
    <row r="701" spans="1:15" x14ac:dyDescent="0.3">
      <c r="A701" s="15" t="s">
        <v>48</v>
      </c>
      <c r="B701" s="12" t="s">
        <v>30</v>
      </c>
      <c r="C701" s="12" t="s">
        <v>32</v>
      </c>
      <c r="D701" s="6">
        <f t="shared" si="25"/>
        <v>35</v>
      </c>
      <c r="E701">
        <v>50</v>
      </c>
      <c r="F701" s="6">
        <f>VLOOKUP($E701,Sheet3!$B$3:$D$54,2,0)</f>
        <v>12</v>
      </c>
      <c r="G701" s="6">
        <f>VLOOKUP($E701,Sheet3!$B$3:$G$54,3,0)</f>
        <v>0</v>
      </c>
      <c r="H701" s="5">
        <f>VLOOKUP($A701,Sheet3!$I$3:$J$38,2,0)</f>
        <v>17.21</v>
      </c>
      <c r="I701" s="6">
        <f>VLOOKUP($E701,Sheet3!$B$3:$G$54,5,0)</f>
        <v>105715</v>
      </c>
      <c r="J701" s="5">
        <f>VLOOKUP($E701,Sheet3!$B$3:$G$54,4,0)</f>
        <v>3.4</v>
      </c>
      <c r="K701" s="5">
        <f>VLOOKUP($E701,Sheet3!$B$3:$G$54,6,0)</f>
        <v>1.3</v>
      </c>
      <c r="L701">
        <v>0</v>
      </c>
      <c r="M701">
        <v>48</v>
      </c>
      <c r="N701">
        <v>15</v>
      </c>
      <c r="O701" s="14" t="e">
        <f t="shared" si="26"/>
        <v>#DIV/0!</v>
      </c>
    </row>
    <row r="702" spans="1:15" x14ac:dyDescent="0.3">
      <c r="A702" s="15" t="s">
        <v>48</v>
      </c>
      <c r="B702" s="12" t="s">
        <v>30</v>
      </c>
      <c r="C702" s="12" t="s">
        <v>32</v>
      </c>
      <c r="D702" s="6">
        <f t="shared" si="25"/>
        <v>36</v>
      </c>
      <c r="E702">
        <v>51</v>
      </c>
      <c r="F702" s="6">
        <f>VLOOKUP($E702,Sheet3!$B$3:$D$54,2,0)</f>
        <v>12</v>
      </c>
      <c r="G702" s="6">
        <f>VLOOKUP($E702,Sheet3!$B$3:$G$54,3,0)</f>
        <v>0</v>
      </c>
      <c r="H702" s="5">
        <f>VLOOKUP($A702,Sheet3!$I$3:$J$38,2,0)</f>
        <v>17.21</v>
      </c>
      <c r="I702" s="6">
        <f>VLOOKUP($E702,Sheet3!$B$3:$G$54,5,0)</f>
        <v>105715</v>
      </c>
      <c r="J702" s="5">
        <f>VLOOKUP($E702,Sheet3!$B$3:$G$54,4,0)</f>
        <v>3.4</v>
      </c>
      <c r="K702" s="5">
        <f>VLOOKUP($E702,Sheet3!$B$3:$G$54,6,0)</f>
        <v>1.3</v>
      </c>
      <c r="L702">
        <v>0</v>
      </c>
      <c r="M702">
        <v>0</v>
      </c>
      <c r="N702">
        <v>15</v>
      </c>
      <c r="O702" s="14" t="e">
        <f t="shared" si="26"/>
        <v>#DIV/0!</v>
      </c>
    </row>
    <row r="703" spans="1:15" x14ac:dyDescent="0.3">
      <c r="A703" s="15" t="s">
        <v>48</v>
      </c>
      <c r="B703" s="12" t="s">
        <v>30</v>
      </c>
      <c r="C703" s="12" t="s">
        <v>32</v>
      </c>
      <c r="D703" s="6">
        <f t="shared" si="25"/>
        <v>40</v>
      </c>
      <c r="E703">
        <v>52</v>
      </c>
      <c r="F703" s="6">
        <f>VLOOKUP($E703,Sheet3!$B$3:$D$54,2,0)</f>
        <v>12</v>
      </c>
      <c r="G703" s="6">
        <f>VLOOKUP($E703,Sheet3!$B$3:$G$54,3,0)</f>
        <v>1</v>
      </c>
      <c r="H703" s="5">
        <f>VLOOKUP($A703,Sheet3!$I$3:$J$38,2,0)</f>
        <v>17.21</v>
      </c>
      <c r="I703" s="6">
        <f>VLOOKUP($E703,Sheet3!$B$3:$G$54,5,0)</f>
        <v>105715</v>
      </c>
      <c r="J703" s="5">
        <f>VLOOKUP($E703,Sheet3!$B$3:$G$54,4,0)</f>
        <v>3.4</v>
      </c>
      <c r="K703" s="5">
        <f>VLOOKUP($E703,Sheet3!$B$3:$G$54,6,0)</f>
        <v>1.3</v>
      </c>
      <c r="L703">
        <v>0</v>
      </c>
      <c r="M703">
        <v>0</v>
      </c>
      <c r="N703">
        <v>12</v>
      </c>
      <c r="O703" s="14" t="e">
        <f t="shared" si="26"/>
        <v>#DIV/0!</v>
      </c>
    </row>
    <row r="704" spans="1:15" x14ac:dyDescent="0.3">
      <c r="A704" s="15" t="s">
        <v>48</v>
      </c>
      <c r="B704" s="12" t="s">
        <v>30</v>
      </c>
      <c r="C704" s="12" t="s">
        <v>32</v>
      </c>
      <c r="D704" s="6">
        <f t="shared" si="25"/>
        <v>40</v>
      </c>
      <c r="E704">
        <v>1</v>
      </c>
      <c r="F704" s="6">
        <f>VLOOKUP($E704,Sheet3!$B$3:$D$54,2,0)</f>
        <v>12</v>
      </c>
      <c r="G704" s="6">
        <f>VLOOKUP($E704,Sheet3!$B$3:$G$54,3,0)</f>
        <v>1</v>
      </c>
      <c r="H704" s="5">
        <f>VLOOKUP($A704,Sheet3!$I$3:$J$38,2,0)</f>
        <v>17.21</v>
      </c>
      <c r="I704" s="6">
        <f>VLOOKUP($E704,Sheet3!$B$3:$G$54,5,0)</f>
        <v>105715</v>
      </c>
      <c r="J704" s="5">
        <f>VLOOKUP($E704,Sheet3!$B$3:$G$54,4,0)</f>
        <v>3.4</v>
      </c>
      <c r="K704" s="5">
        <f>VLOOKUP($E704,Sheet3!$B$3:$G$54,6,0)</f>
        <v>1.3</v>
      </c>
      <c r="L704">
        <v>0</v>
      </c>
      <c r="M704">
        <v>24</v>
      </c>
      <c r="N704">
        <v>13</v>
      </c>
      <c r="O704" s="14" t="e">
        <f t="shared" si="26"/>
        <v>#DIV/0!</v>
      </c>
    </row>
    <row r="705" spans="1:15" x14ac:dyDescent="0.3">
      <c r="A705" s="15" t="s">
        <v>48</v>
      </c>
      <c r="B705" s="12" t="s">
        <v>30</v>
      </c>
      <c r="C705" s="12" t="s">
        <v>32</v>
      </c>
      <c r="D705" s="6">
        <f t="shared" si="25"/>
        <v>40</v>
      </c>
      <c r="E705">
        <v>2</v>
      </c>
      <c r="F705" s="6">
        <f>VLOOKUP($E705,Sheet3!$B$3:$D$54,2,0)</f>
        <v>1</v>
      </c>
      <c r="G705" s="6">
        <f>VLOOKUP($E705,Sheet3!$B$3:$G$54,3,0)</f>
        <v>1</v>
      </c>
      <c r="H705" s="5">
        <f>VLOOKUP($A705,Sheet3!$I$3:$J$38,2,0)</f>
        <v>17.21</v>
      </c>
      <c r="I705" s="6">
        <f>VLOOKUP($E705,Sheet3!$B$3:$G$54,5,0)</f>
        <v>133692</v>
      </c>
      <c r="J705" s="5">
        <f>VLOOKUP($E705,Sheet3!$B$3:$G$54,4,0)</f>
        <v>3.4</v>
      </c>
      <c r="K705" s="5">
        <f>VLOOKUP($E705,Sheet3!$B$3:$G$54,6,0)</f>
        <v>1.5</v>
      </c>
      <c r="L705">
        <v>24</v>
      </c>
      <c r="M705">
        <v>0</v>
      </c>
      <c r="N705">
        <v>14</v>
      </c>
      <c r="O705" s="14">
        <f t="shared" si="26"/>
        <v>0</v>
      </c>
    </row>
    <row r="706" spans="1:15" x14ac:dyDescent="0.3">
      <c r="A706" s="15" t="s">
        <v>48</v>
      </c>
      <c r="B706" s="12" t="s">
        <v>30</v>
      </c>
      <c r="C706" s="12" t="s">
        <v>32</v>
      </c>
      <c r="D706" s="6">
        <f t="shared" si="25"/>
        <v>40</v>
      </c>
      <c r="E706">
        <v>3</v>
      </c>
      <c r="F706" s="6">
        <f>VLOOKUP($E706,Sheet3!$B$3:$D$54,2,0)</f>
        <v>1</v>
      </c>
      <c r="G706" s="6">
        <f>VLOOKUP($E706,Sheet3!$B$3:$G$54,3,0)</f>
        <v>0</v>
      </c>
      <c r="H706" s="5">
        <f>VLOOKUP($A706,Sheet3!$I$3:$J$38,2,0)</f>
        <v>17.21</v>
      </c>
      <c r="I706" s="6">
        <f>VLOOKUP($E706,Sheet3!$B$3:$G$54,5,0)</f>
        <v>133692</v>
      </c>
      <c r="J706" s="5">
        <f>VLOOKUP($E706,Sheet3!$B$3:$G$54,4,0)</f>
        <v>3.4</v>
      </c>
      <c r="K706" s="5">
        <f>VLOOKUP($E706,Sheet3!$B$3:$G$54,6,0)</f>
        <v>1.5</v>
      </c>
      <c r="L706">
        <v>0</v>
      </c>
      <c r="M706">
        <v>96</v>
      </c>
      <c r="N706">
        <v>15</v>
      </c>
      <c r="O706" s="14" t="e">
        <f t="shared" si="26"/>
        <v>#DIV/0!</v>
      </c>
    </row>
    <row r="707" spans="1:15" x14ac:dyDescent="0.3">
      <c r="A707" s="15" t="s">
        <v>48</v>
      </c>
      <c r="B707" s="12" t="s">
        <v>30</v>
      </c>
      <c r="C707" s="12" t="s">
        <v>32</v>
      </c>
      <c r="D707" s="6">
        <f t="shared" si="25"/>
        <v>40</v>
      </c>
      <c r="E707">
        <v>4</v>
      </c>
      <c r="F707" s="6">
        <f>VLOOKUP($E707,Sheet3!$B$3:$D$54,2,0)</f>
        <v>1</v>
      </c>
      <c r="G707" s="6">
        <f>VLOOKUP($E707,Sheet3!$B$3:$G$54,3,0)</f>
        <v>0</v>
      </c>
      <c r="H707" s="5">
        <f>VLOOKUP($A707,Sheet3!$I$3:$J$38,2,0)</f>
        <v>17.21</v>
      </c>
      <c r="I707" s="6">
        <f>VLOOKUP($E707,Sheet3!$B$3:$G$54,5,0)</f>
        <v>133692</v>
      </c>
      <c r="J707" s="5">
        <f>VLOOKUP($E707,Sheet3!$B$3:$G$54,4,0)</f>
        <v>3.4</v>
      </c>
      <c r="K707" s="5">
        <f>VLOOKUP($E707,Sheet3!$B$3:$G$54,6,0)</f>
        <v>1.5</v>
      </c>
      <c r="L707">
        <v>24</v>
      </c>
      <c r="M707">
        <v>24</v>
      </c>
      <c r="N707">
        <v>16</v>
      </c>
      <c r="O707" s="14">
        <f t="shared" si="26"/>
        <v>1</v>
      </c>
    </row>
    <row r="708" spans="1:15" x14ac:dyDescent="0.3">
      <c r="A708" s="15" t="s">
        <v>48</v>
      </c>
      <c r="B708" s="12" t="s">
        <v>30</v>
      </c>
      <c r="C708" s="12" t="s">
        <v>32</v>
      </c>
      <c r="D708" s="6">
        <f t="shared" si="25"/>
        <v>44</v>
      </c>
      <c r="E708">
        <v>5</v>
      </c>
      <c r="F708" s="6">
        <f>VLOOKUP($E708,Sheet3!$B$3:$D$54,2,0)</f>
        <v>1</v>
      </c>
      <c r="G708" s="6">
        <f>VLOOKUP($E708,Sheet3!$B$3:$G$54,3,0)</f>
        <v>0</v>
      </c>
      <c r="H708" s="5">
        <f>VLOOKUP($A708,Sheet3!$I$3:$J$38,2,0)</f>
        <v>17.21</v>
      </c>
      <c r="I708" s="6">
        <f>VLOOKUP($E708,Sheet3!$B$3:$G$54,5,0)</f>
        <v>133692</v>
      </c>
      <c r="J708" s="5">
        <f>VLOOKUP($E708,Sheet3!$B$3:$G$54,4,0)</f>
        <v>3.4</v>
      </c>
      <c r="K708" s="5">
        <f>VLOOKUP($E708,Sheet3!$B$3:$G$54,6,0)</f>
        <v>1.5</v>
      </c>
      <c r="L708">
        <v>0</v>
      </c>
      <c r="M708">
        <v>96</v>
      </c>
      <c r="N708">
        <v>13</v>
      </c>
      <c r="O708" s="14" t="e">
        <f t="shared" si="26"/>
        <v>#DIV/0!</v>
      </c>
    </row>
    <row r="709" spans="1:15" x14ac:dyDescent="0.3">
      <c r="A709" s="15" t="s">
        <v>48</v>
      </c>
      <c r="B709" s="12" t="s">
        <v>30</v>
      </c>
      <c r="C709" s="12" t="s">
        <v>32</v>
      </c>
      <c r="D709" s="6">
        <f t="shared" si="25"/>
        <v>44</v>
      </c>
      <c r="E709">
        <v>6</v>
      </c>
      <c r="F709" s="6">
        <f>VLOOKUP($E709,Sheet3!$B$3:$D$54,2,0)</f>
        <v>2</v>
      </c>
      <c r="G709" s="6">
        <f>VLOOKUP($E709,Sheet3!$B$3:$G$54,3,0)</f>
        <v>0</v>
      </c>
      <c r="H709" s="5">
        <f>VLOOKUP($A709,Sheet3!$I$3:$J$38,2,0)</f>
        <v>17.21</v>
      </c>
      <c r="I709" s="6">
        <f>VLOOKUP($E709,Sheet3!$B$3:$G$54,5,0)</f>
        <v>137922</v>
      </c>
      <c r="J709" s="5">
        <f>VLOOKUP($E709,Sheet3!$B$3:$G$54,4,0)</f>
        <v>3.15</v>
      </c>
      <c r="K709" s="5">
        <f>VLOOKUP($E709,Sheet3!$B$3:$G$54,6,0)</f>
        <v>1.6</v>
      </c>
      <c r="L709">
        <v>48</v>
      </c>
      <c r="M709">
        <v>96</v>
      </c>
      <c r="N709">
        <v>14</v>
      </c>
      <c r="O709" s="14">
        <f t="shared" si="26"/>
        <v>2</v>
      </c>
    </row>
    <row r="710" spans="1:15" x14ac:dyDescent="0.3">
      <c r="A710" s="15" t="s">
        <v>48</v>
      </c>
      <c r="B710" s="12" t="s">
        <v>30</v>
      </c>
      <c r="C710" s="12" t="s">
        <v>32</v>
      </c>
      <c r="D710" s="6">
        <f t="shared" si="25"/>
        <v>44</v>
      </c>
      <c r="E710">
        <v>7</v>
      </c>
      <c r="F710" s="6">
        <f>VLOOKUP($E710,Sheet3!$B$3:$D$54,2,0)</f>
        <v>2</v>
      </c>
      <c r="G710" s="6">
        <f>VLOOKUP($E710,Sheet3!$B$3:$G$54,3,0)</f>
        <v>0</v>
      </c>
      <c r="H710" s="5">
        <f>VLOOKUP($A710,Sheet3!$I$3:$J$38,2,0)</f>
        <v>17.21</v>
      </c>
      <c r="I710" s="6">
        <f>VLOOKUP($E710,Sheet3!$B$3:$G$54,5,0)</f>
        <v>137922</v>
      </c>
      <c r="J710" s="5">
        <f>VLOOKUP($E710,Sheet3!$B$3:$G$54,4,0)</f>
        <v>3.15</v>
      </c>
      <c r="K710" s="5">
        <f>VLOOKUP($E710,Sheet3!$B$3:$G$54,6,0)</f>
        <v>1.6</v>
      </c>
      <c r="L710">
        <v>0</v>
      </c>
      <c r="M710">
        <v>120</v>
      </c>
      <c r="N710">
        <v>15</v>
      </c>
      <c r="O710" s="14" t="e">
        <f t="shared" si="26"/>
        <v>#DIV/0!</v>
      </c>
    </row>
    <row r="711" spans="1:15" x14ac:dyDescent="0.3">
      <c r="A711" s="15" t="s">
        <v>48</v>
      </c>
      <c r="B711" s="12" t="s">
        <v>30</v>
      </c>
      <c r="C711" s="12" t="s">
        <v>32</v>
      </c>
      <c r="D711" s="6">
        <f t="shared" si="25"/>
        <v>44</v>
      </c>
      <c r="E711">
        <v>8</v>
      </c>
      <c r="F711" s="6">
        <f>VLOOKUP($E711,Sheet3!$B$3:$D$54,2,0)</f>
        <v>2</v>
      </c>
      <c r="G711" s="6">
        <f>VLOOKUP($E711,Sheet3!$B$3:$G$54,3,0)</f>
        <v>0</v>
      </c>
      <c r="H711" s="5">
        <f>VLOOKUP($A711,Sheet3!$I$3:$J$38,2,0)</f>
        <v>17.21</v>
      </c>
      <c r="I711" s="6">
        <f>VLOOKUP($E711,Sheet3!$B$3:$G$54,5,0)</f>
        <v>137922</v>
      </c>
      <c r="J711" s="5">
        <f>VLOOKUP($E711,Sheet3!$B$3:$G$54,4,0)</f>
        <v>3.15</v>
      </c>
      <c r="K711" s="5">
        <f>VLOOKUP($E711,Sheet3!$B$3:$G$54,6,0)</f>
        <v>1.6</v>
      </c>
      <c r="L711">
        <v>24</v>
      </c>
      <c r="M711">
        <v>72</v>
      </c>
      <c r="N711">
        <v>16</v>
      </c>
      <c r="O711" s="14">
        <f t="shared" si="26"/>
        <v>3</v>
      </c>
    </row>
    <row r="712" spans="1:15" x14ac:dyDescent="0.3">
      <c r="A712" s="15" t="s">
        <v>48</v>
      </c>
      <c r="B712" s="12" t="s">
        <v>30</v>
      </c>
      <c r="C712" s="12" t="s">
        <v>32</v>
      </c>
      <c r="D712" s="6">
        <f t="shared" si="25"/>
        <v>49</v>
      </c>
      <c r="E712">
        <v>9</v>
      </c>
      <c r="F712" s="6">
        <f>VLOOKUP($E712,Sheet3!$B$3:$D$54,2,0)</f>
        <v>2</v>
      </c>
      <c r="G712" s="6">
        <f>VLOOKUP($E712,Sheet3!$B$3:$G$54,3,0)</f>
        <v>0</v>
      </c>
      <c r="H712" s="5">
        <f>VLOOKUP($A712,Sheet3!$I$3:$J$38,2,0)</f>
        <v>17.21</v>
      </c>
      <c r="I712" s="6">
        <f>VLOOKUP($E712,Sheet3!$B$3:$G$54,5,0)</f>
        <v>137922</v>
      </c>
      <c r="J712" s="5">
        <f>VLOOKUP($E712,Sheet3!$B$3:$G$54,4,0)</f>
        <v>3.15</v>
      </c>
      <c r="K712" s="5">
        <f>VLOOKUP($E712,Sheet3!$B$3:$G$54,6,0)</f>
        <v>1.6</v>
      </c>
      <c r="L712">
        <v>0</v>
      </c>
      <c r="M712">
        <v>0</v>
      </c>
      <c r="N712">
        <v>12</v>
      </c>
      <c r="O712" s="14" t="e">
        <f t="shared" si="26"/>
        <v>#DIV/0!</v>
      </c>
    </row>
    <row r="713" spans="1:15" x14ac:dyDescent="0.3">
      <c r="A713" s="15" t="s">
        <v>48</v>
      </c>
      <c r="B713" s="12" t="s">
        <v>30</v>
      </c>
      <c r="C713" s="12" t="s">
        <v>32</v>
      </c>
      <c r="D713" s="6">
        <f t="shared" si="25"/>
        <v>49</v>
      </c>
      <c r="E713">
        <v>10</v>
      </c>
      <c r="F713" s="6">
        <f>VLOOKUP($E713,Sheet3!$B$3:$D$54,2,0)</f>
        <v>3</v>
      </c>
      <c r="G713" s="6">
        <f>VLOOKUP($E713,Sheet3!$B$3:$G$54,3,0)</f>
        <v>0</v>
      </c>
      <c r="H713" s="5">
        <f>VLOOKUP($A713,Sheet3!$I$3:$J$38,2,0)</f>
        <v>17.21</v>
      </c>
      <c r="I713" s="6">
        <f>VLOOKUP($E713,Sheet3!$B$3:$G$54,5,0)</f>
        <v>172223</v>
      </c>
      <c r="J713" s="5">
        <f>VLOOKUP($E713,Sheet3!$B$3:$G$54,4,0)</f>
        <v>3.15</v>
      </c>
      <c r="K713" s="5">
        <f>VLOOKUP($E713,Sheet3!$B$3:$G$54,6,0)</f>
        <v>1.9</v>
      </c>
      <c r="L713">
        <v>24</v>
      </c>
      <c r="M713">
        <v>0</v>
      </c>
      <c r="N713">
        <v>13</v>
      </c>
      <c r="O713" s="14">
        <f t="shared" si="26"/>
        <v>0</v>
      </c>
    </row>
    <row r="714" spans="1:15" x14ac:dyDescent="0.3">
      <c r="A714" s="15" t="s">
        <v>48</v>
      </c>
      <c r="B714" s="12" t="s">
        <v>30</v>
      </c>
      <c r="C714" s="12" t="s">
        <v>32</v>
      </c>
      <c r="D714" s="6">
        <f t="shared" si="25"/>
        <v>49</v>
      </c>
      <c r="E714">
        <v>11</v>
      </c>
      <c r="F714" s="6">
        <f>VLOOKUP($E714,Sheet3!$B$3:$D$54,2,0)</f>
        <v>3</v>
      </c>
      <c r="G714" s="6">
        <f>VLOOKUP($E714,Sheet3!$B$3:$G$54,3,0)</f>
        <v>0</v>
      </c>
      <c r="H714" s="5">
        <f>VLOOKUP($A714,Sheet3!$I$3:$J$38,2,0)</f>
        <v>17.21</v>
      </c>
      <c r="I714" s="6">
        <f>VLOOKUP($E714,Sheet3!$B$3:$G$54,5,0)</f>
        <v>172223</v>
      </c>
      <c r="J714" s="5">
        <f>VLOOKUP($E714,Sheet3!$B$3:$G$54,4,0)</f>
        <v>2.9</v>
      </c>
      <c r="K714" s="5">
        <f>VLOOKUP($E714,Sheet3!$B$3:$G$54,6,0)</f>
        <v>1.9</v>
      </c>
      <c r="L714">
        <v>0</v>
      </c>
      <c r="M714">
        <v>24</v>
      </c>
      <c r="N714">
        <v>14</v>
      </c>
      <c r="O714" s="14" t="e">
        <f t="shared" si="26"/>
        <v>#DIV/0!</v>
      </c>
    </row>
    <row r="715" spans="1:15" x14ac:dyDescent="0.3">
      <c r="A715" s="15" t="s">
        <v>48</v>
      </c>
      <c r="B715" s="12" t="s">
        <v>30</v>
      </c>
      <c r="C715" s="12" t="s">
        <v>32</v>
      </c>
      <c r="D715" s="6">
        <f t="shared" si="25"/>
        <v>49</v>
      </c>
      <c r="E715">
        <v>12</v>
      </c>
      <c r="F715" s="6">
        <f>VLOOKUP($E715,Sheet3!$B$3:$D$54,2,0)</f>
        <v>3</v>
      </c>
      <c r="G715" s="6">
        <f>VLOOKUP($E715,Sheet3!$B$3:$G$54,3,0)</f>
        <v>0</v>
      </c>
      <c r="H715" s="5">
        <f>VLOOKUP($A715,Sheet3!$I$3:$J$38,2,0)</f>
        <v>17.21</v>
      </c>
      <c r="I715" s="6">
        <f>VLOOKUP($E715,Sheet3!$B$3:$G$54,5,0)</f>
        <v>172223</v>
      </c>
      <c r="J715" s="5">
        <f>VLOOKUP($E715,Sheet3!$B$3:$G$54,4,0)</f>
        <v>2.9</v>
      </c>
      <c r="K715" s="5">
        <f>VLOOKUP($E715,Sheet3!$B$3:$G$54,6,0)</f>
        <v>1.9</v>
      </c>
      <c r="L715">
        <v>24</v>
      </c>
      <c r="M715">
        <v>0</v>
      </c>
      <c r="N715">
        <v>15</v>
      </c>
      <c r="O715" s="14">
        <f t="shared" si="26"/>
        <v>0</v>
      </c>
    </row>
    <row r="716" spans="1:15" x14ac:dyDescent="0.3">
      <c r="A716" s="15" t="s">
        <v>48</v>
      </c>
      <c r="B716" s="12" t="s">
        <v>30</v>
      </c>
      <c r="C716" s="12" t="s">
        <v>32</v>
      </c>
      <c r="D716" s="6">
        <f t="shared" si="25"/>
        <v>49</v>
      </c>
      <c r="E716">
        <v>13</v>
      </c>
      <c r="F716" s="6">
        <f>VLOOKUP($E716,Sheet3!$B$3:$D$54,2,0)</f>
        <v>3</v>
      </c>
      <c r="G716" s="6">
        <f>VLOOKUP($E716,Sheet3!$B$3:$G$54,3,0)</f>
        <v>0</v>
      </c>
      <c r="H716" s="5">
        <f>VLOOKUP($A716,Sheet3!$I$3:$J$38,2,0)</f>
        <v>17.21</v>
      </c>
      <c r="I716" s="6">
        <f>VLOOKUP($E716,Sheet3!$B$3:$G$54,5,0)</f>
        <v>172223</v>
      </c>
      <c r="J716" s="5">
        <f>VLOOKUP($E716,Sheet3!$B$3:$G$54,4,0)</f>
        <v>2.9</v>
      </c>
      <c r="K716" s="5">
        <f>VLOOKUP($E716,Sheet3!$B$3:$G$54,6,0)</f>
        <v>1.9</v>
      </c>
      <c r="L716">
        <v>24</v>
      </c>
      <c r="M716">
        <v>0</v>
      </c>
      <c r="N716">
        <v>16</v>
      </c>
      <c r="O716" s="14">
        <f t="shared" si="26"/>
        <v>0</v>
      </c>
    </row>
    <row r="717" spans="1:15" x14ac:dyDescent="0.3">
      <c r="A717" s="15" t="s">
        <v>48</v>
      </c>
      <c r="B717" s="12" t="s">
        <v>30</v>
      </c>
      <c r="C717" s="12" t="s">
        <v>32</v>
      </c>
      <c r="D717" s="6">
        <f t="shared" si="25"/>
        <v>2</v>
      </c>
      <c r="E717">
        <v>14</v>
      </c>
      <c r="F717" s="6">
        <f>VLOOKUP($E717,Sheet3!$B$3:$D$54,2,0)</f>
        <v>3</v>
      </c>
      <c r="G717" s="6">
        <f>VLOOKUP($E717,Sheet3!$B$3:$G$54,3,0)</f>
        <v>0</v>
      </c>
      <c r="H717" s="5">
        <f>VLOOKUP($A717,Sheet3!$I$3:$J$38,2,0)</f>
        <v>17.21</v>
      </c>
      <c r="I717" s="6">
        <f>VLOOKUP($E717,Sheet3!$B$3:$G$54,5,0)</f>
        <v>172223</v>
      </c>
      <c r="J717" s="5">
        <f>VLOOKUP($E717,Sheet3!$B$3:$G$54,4,0)</f>
        <v>2.9</v>
      </c>
      <c r="K717" s="5">
        <f>VLOOKUP($E717,Sheet3!$B$3:$G$54,6,0)</f>
        <v>1.9</v>
      </c>
      <c r="L717">
        <v>24</v>
      </c>
      <c r="M717">
        <v>48</v>
      </c>
      <c r="N717">
        <v>12</v>
      </c>
      <c r="O717" s="14">
        <f t="shared" si="26"/>
        <v>2</v>
      </c>
    </row>
    <row r="718" spans="1:15" x14ac:dyDescent="0.3">
      <c r="A718" s="15" t="s">
        <v>48</v>
      </c>
      <c r="B718" s="12" t="s">
        <v>30</v>
      </c>
      <c r="C718" s="12" t="s">
        <v>32</v>
      </c>
      <c r="D718" s="6">
        <f t="shared" si="25"/>
        <v>2</v>
      </c>
      <c r="E718">
        <v>15</v>
      </c>
      <c r="F718" s="6">
        <f>VLOOKUP($E718,Sheet3!$B$3:$D$54,2,0)</f>
        <v>4</v>
      </c>
      <c r="G718" s="6">
        <f>VLOOKUP($E718,Sheet3!$B$3:$G$54,3,0)</f>
        <v>0</v>
      </c>
      <c r="H718" s="5">
        <f>VLOOKUP($A718,Sheet3!$I$3:$J$38,2,0)</f>
        <v>17.21</v>
      </c>
      <c r="I718" s="6">
        <f>VLOOKUP($E718,Sheet3!$B$3:$G$54,5,0)</f>
        <v>139084</v>
      </c>
      <c r="J718" s="5">
        <f>VLOOKUP($E718,Sheet3!$B$3:$G$54,4,0)</f>
        <v>2.9</v>
      </c>
      <c r="K718" s="5">
        <f>VLOOKUP($E718,Sheet3!$B$3:$G$54,6,0)</f>
        <v>1.9</v>
      </c>
      <c r="L718">
        <v>0</v>
      </c>
      <c r="M718">
        <v>24</v>
      </c>
      <c r="N718">
        <v>13</v>
      </c>
      <c r="O718" s="14" t="e">
        <f t="shared" si="26"/>
        <v>#DIV/0!</v>
      </c>
    </row>
    <row r="719" spans="1:15" x14ac:dyDescent="0.3">
      <c r="A719" s="15" t="s">
        <v>48</v>
      </c>
      <c r="B719" s="12" t="s">
        <v>30</v>
      </c>
      <c r="C719" s="12" t="s">
        <v>32</v>
      </c>
      <c r="D719" s="6">
        <f t="shared" si="25"/>
        <v>2</v>
      </c>
      <c r="E719">
        <v>16</v>
      </c>
      <c r="F719" s="6">
        <f>VLOOKUP($E719,Sheet3!$B$3:$D$54,2,0)</f>
        <v>4</v>
      </c>
      <c r="G719" s="6">
        <f>VLOOKUP($E719,Sheet3!$B$3:$G$54,3,0)</f>
        <v>0</v>
      </c>
      <c r="H719" s="5">
        <f>VLOOKUP($A719,Sheet3!$I$3:$J$38,2,0)</f>
        <v>17.21</v>
      </c>
      <c r="I719" s="6">
        <f>VLOOKUP($E719,Sheet3!$B$3:$G$54,5,0)</f>
        <v>139084</v>
      </c>
      <c r="J719" s="5">
        <f>VLOOKUP($E719,Sheet3!$B$3:$G$54,4,0)</f>
        <v>2.9</v>
      </c>
      <c r="K719" s="5">
        <f>VLOOKUP($E719,Sheet3!$B$3:$G$54,6,0)</f>
        <v>1.9</v>
      </c>
      <c r="L719">
        <v>24</v>
      </c>
      <c r="M719">
        <v>48</v>
      </c>
      <c r="N719">
        <v>14</v>
      </c>
      <c r="O719" s="14">
        <f t="shared" si="26"/>
        <v>2</v>
      </c>
    </row>
    <row r="720" spans="1:15" x14ac:dyDescent="0.3">
      <c r="A720" s="15" t="s">
        <v>48</v>
      </c>
      <c r="B720" s="12" t="s">
        <v>30</v>
      </c>
      <c r="C720" s="12" t="s">
        <v>32</v>
      </c>
      <c r="D720" s="6">
        <f t="shared" si="25"/>
        <v>2</v>
      </c>
      <c r="E720">
        <v>17</v>
      </c>
      <c r="F720" s="6">
        <f>VLOOKUP($E720,Sheet3!$B$3:$D$54,2,0)</f>
        <v>4</v>
      </c>
      <c r="G720" s="6">
        <f>VLOOKUP($E720,Sheet3!$B$3:$G$54,3,0)</f>
        <v>1</v>
      </c>
      <c r="H720" s="5">
        <f>VLOOKUP($A720,Sheet3!$I$3:$J$38,2,0)</f>
        <v>17.21</v>
      </c>
      <c r="I720" s="6">
        <f>VLOOKUP($E720,Sheet3!$B$3:$G$54,5,0)</f>
        <v>139084</v>
      </c>
      <c r="J720" s="5">
        <f>VLOOKUP($E720,Sheet3!$B$3:$G$54,4,0)</f>
        <v>2.65</v>
      </c>
      <c r="K720" s="5">
        <f>VLOOKUP($E720,Sheet3!$B$3:$G$54,6,0)</f>
        <v>1.9</v>
      </c>
      <c r="L720">
        <v>0</v>
      </c>
      <c r="M720">
        <v>144</v>
      </c>
      <c r="N720">
        <v>15</v>
      </c>
      <c r="O720" s="14" t="e">
        <f t="shared" si="26"/>
        <v>#DIV/0!</v>
      </c>
    </row>
    <row r="721" spans="1:15" x14ac:dyDescent="0.3">
      <c r="A721" s="15" t="s">
        <v>48</v>
      </c>
      <c r="B721" s="12" t="s">
        <v>30</v>
      </c>
      <c r="C721" s="12" t="s">
        <v>32</v>
      </c>
      <c r="D721" s="6">
        <f t="shared" si="25"/>
        <v>6</v>
      </c>
      <c r="E721">
        <v>18</v>
      </c>
      <c r="F721" s="6">
        <f>VLOOKUP($E721,Sheet3!$B$3:$D$54,2,0)</f>
        <v>4</v>
      </c>
      <c r="G721" s="6">
        <f>VLOOKUP($E721,Sheet3!$B$3:$G$54,3,0)</f>
        <v>1</v>
      </c>
      <c r="H721" s="5">
        <f>VLOOKUP($A721,Sheet3!$I$3:$J$38,2,0)</f>
        <v>17.21</v>
      </c>
      <c r="I721" s="6">
        <f>VLOOKUP($E721,Sheet3!$B$3:$G$54,5,0)</f>
        <v>139084</v>
      </c>
      <c r="J721" s="5">
        <f>VLOOKUP($E721,Sheet3!$B$3:$G$54,4,0)</f>
        <v>2.65</v>
      </c>
      <c r="K721" s="5">
        <f>VLOOKUP($E721,Sheet3!$B$3:$G$54,6,0)</f>
        <v>1.9</v>
      </c>
      <c r="L721">
        <v>0</v>
      </c>
      <c r="M721">
        <v>72</v>
      </c>
      <c r="N721">
        <v>12</v>
      </c>
      <c r="O721" s="14" t="e">
        <f t="shared" si="26"/>
        <v>#DIV/0!</v>
      </c>
    </row>
    <row r="722" spans="1:15" x14ac:dyDescent="0.3">
      <c r="A722" s="15" t="s">
        <v>48</v>
      </c>
      <c r="B722" s="12" t="s">
        <v>30</v>
      </c>
      <c r="C722" s="12" t="s">
        <v>32</v>
      </c>
      <c r="D722" s="6">
        <f t="shared" si="25"/>
        <v>5</v>
      </c>
      <c r="E722">
        <v>19</v>
      </c>
      <c r="F722" s="6">
        <f>VLOOKUP($E722,Sheet3!$B$3:$D$54,2,0)</f>
        <v>5</v>
      </c>
      <c r="G722" s="6">
        <f>VLOOKUP($E722,Sheet3!$B$3:$G$54,3,0)</f>
        <v>0</v>
      </c>
      <c r="H722" s="5">
        <f>VLOOKUP($A722,Sheet3!$I$3:$J$38,2,0)</f>
        <v>17.21</v>
      </c>
      <c r="I722" s="6">
        <f>VLOOKUP($E722,Sheet3!$B$3:$G$54,5,0)</f>
        <v>139390</v>
      </c>
      <c r="J722" s="5">
        <f>VLOOKUP($E722,Sheet3!$B$3:$G$54,4,0)</f>
        <v>2.65</v>
      </c>
      <c r="K722" s="5">
        <f>VLOOKUP($E722,Sheet3!$B$3:$G$54,6,0)</f>
        <v>1.6</v>
      </c>
      <c r="L722">
        <v>24</v>
      </c>
      <c r="M722">
        <v>48</v>
      </c>
      <c r="N722">
        <v>14</v>
      </c>
      <c r="O722" s="14">
        <f t="shared" si="26"/>
        <v>2</v>
      </c>
    </row>
    <row r="723" spans="1:15" x14ac:dyDescent="0.3">
      <c r="A723" s="15" t="s">
        <v>48</v>
      </c>
      <c r="B723" s="12" t="s">
        <v>30</v>
      </c>
      <c r="C723" s="12" t="s">
        <v>32</v>
      </c>
      <c r="D723" s="6">
        <f t="shared" si="25"/>
        <v>5</v>
      </c>
      <c r="E723">
        <v>20</v>
      </c>
      <c r="F723" s="6">
        <f>VLOOKUP($E723,Sheet3!$B$3:$D$54,2,0)</f>
        <v>5</v>
      </c>
      <c r="G723" s="6">
        <f>VLOOKUP($E723,Sheet3!$B$3:$G$54,3,0)</f>
        <v>0</v>
      </c>
      <c r="H723" s="5">
        <f>VLOOKUP($A723,Sheet3!$I$3:$J$38,2,0)</f>
        <v>17.21</v>
      </c>
      <c r="I723" s="6">
        <f>VLOOKUP($E723,Sheet3!$B$3:$G$54,5,0)</f>
        <v>139390</v>
      </c>
      <c r="J723" s="5">
        <f>VLOOKUP($E723,Sheet3!$B$3:$G$54,4,0)</f>
        <v>2.65</v>
      </c>
      <c r="K723" s="5">
        <f>VLOOKUP($E723,Sheet3!$B$3:$G$54,6,0)</f>
        <v>1.6</v>
      </c>
      <c r="L723">
        <v>24</v>
      </c>
      <c r="M723">
        <v>24</v>
      </c>
      <c r="N723">
        <v>15</v>
      </c>
      <c r="O723" s="14">
        <f t="shared" si="26"/>
        <v>1</v>
      </c>
    </row>
    <row r="724" spans="1:15" x14ac:dyDescent="0.3">
      <c r="A724" s="15" t="s">
        <v>48</v>
      </c>
      <c r="B724" s="12" t="s">
        <v>30</v>
      </c>
      <c r="C724" s="12" t="s">
        <v>32</v>
      </c>
      <c r="D724" s="6">
        <f t="shared" si="25"/>
        <v>5</v>
      </c>
      <c r="E724">
        <v>21</v>
      </c>
      <c r="F724" s="6">
        <f>VLOOKUP($E724,Sheet3!$B$3:$D$54,2,0)</f>
        <v>5</v>
      </c>
      <c r="G724" s="6">
        <f>VLOOKUP($E724,Sheet3!$B$3:$G$54,3,0)</f>
        <v>0</v>
      </c>
      <c r="H724" s="5">
        <f>VLOOKUP($A724,Sheet3!$I$3:$J$38,2,0)</f>
        <v>17.21</v>
      </c>
      <c r="I724" s="6">
        <f>VLOOKUP($E724,Sheet3!$B$3:$G$54,5,0)</f>
        <v>139390</v>
      </c>
      <c r="J724" s="5">
        <f>VLOOKUP($E724,Sheet3!$B$3:$G$54,4,0)</f>
        <v>2.65</v>
      </c>
      <c r="K724" s="5">
        <f>VLOOKUP($E724,Sheet3!$B$3:$G$54,6,0)</f>
        <v>1.6</v>
      </c>
      <c r="L724">
        <v>24</v>
      </c>
      <c r="M724">
        <v>72</v>
      </c>
      <c r="N724">
        <v>16</v>
      </c>
      <c r="O724" s="14">
        <f t="shared" si="26"/>
        <v>3</v>
      </c>
    </row>
    <row r="725" spans="1:15" x14ac:dyDescent="0.3">
      <c r="A725" s="15" t="s">
        <v>48</v>
      </c>
      <c r="B725" s="12" t="s">
        <v>30</v>
      </c>
      <c r="C725" s="12" t="s">
        <v>32</v>
      </c>
      <c r="D725" s="6">
        <f t="shared" si="25"/>
        <v>9</v>
      </c>
      <c r="E725">
        <v>22</v>
      </c>
      <c r="F725" s="6">
        <f>VLOOKUP($E725,Sheet3!$B$3:$D$54,2,0)</f>
        <v>5</v>
      </c>
      <c r="G725" s="6">
        <f>VLOOKUP($E725,Sheet3!$B$3:$G$54,3,0)</f>
        <v>0</v>
      </c>
      <c r="H725" s="5">
        <f>VLOOKUP($A725,Sheet3!$I$3:$J$38,2,0)</f>
        <v>17.21</v>
      </c>
      <c r="I725" s="6">
        <f>VLOOKUP($E725,Sheet3!$B$3:$G$54,5,0)</f>
        <v>139390</v>
      </c>
      <c r="J725" s="5">
        <f>VLOOKUP($E725,Sheet3!$B$3:$G$54,4,0)</f>
        <v>2.65</v>
      </c>
      <c r="K725" s="5">
        <f>VLOOKUP($E725,Sheet3!$B$3:$G$54,6,0)</f>
        <v>1.6</v>
      </c>
      <c r="L725">
        <v>0</v>
      </c>
      <c r="M725">
        <v>72</v>
      </c>
      <c r="N725">
        <v>13</v>
      </c>
      <c r="O725" s="14" t="e">
        <f t="shared" si="26"/>
        <v>#DIV/0!</v>
      </c>
    </row>
    <row r="726" spans="1:15" x14ac:dyDescent="0.3">
      <c r="A726" s="15" t="s">
        <v>48</v>
      </c>
      <c r="B726" s="12" t="s">
        <v>30</v>
      </c>
      <c r="C726" s="12" t="s">
        <v>32</v>
      </c>
      <c r="D726" s="6">
        <f t="shared" si="25"/>
        <v>9</v>
      </c>
      <c r="E726">
        <v>23</v>
      </c>
      <c r="F726" s="6">
        <f>VLOOKUP($E726,Sheet3!$B$3:$D$54,2,0)</f>
        <v>5</v>
      </c>
      <c r="G726" s="6">
        <f>VLOOKUP($E726,Sheet3!$B$3:$G$54,3,0)</f>
        <v>1</v>
      </c>
      <c r="H726" s="5">
        <f>VLOOKUP($A726,Sheet3!$I$3:$J$38,2,0)</f>
        <v>17.21</v>
      </c>
      <c r="I726" s="6">
        <f>VLOOKUP($E726,Sheet3!$B$3:$G$54,5,0)</f>
        <v>139390</v>
      </c>
      <c r="J726" s="5">
        <f>VLOOKUP($E726,Sheet3!$B$3:$G$54,4,0)</f>
        <v>2.4</v>
      </c>
      <c r="K726" s="5">
        <f>VLOOKUP($E726,Sheet3!$B$3:$G$54,6,0)</f>
        <v>1.6</v>
      </c>
      <c r="L726">
        <v>24</v>
      </c>
      <c r="M726">
        <v>48</v>
      </c>
      <c r="N726">
        <v>14</v>
      </c>
      <c r="O726" s="14">
        <f t="shared" si="26"/>
        <v>2</v>
      </c>
    </row>
    <row r="727" spans="1:15" x14ac:dyDescent="0.3">
      <c r="A727" s="15" t="s">
        <v>48</v>
      </c>
      <c r="B727" s="12" t="s">
        <v>30</v>
      </c>
      <c r="C727" s="12" t="s">
        <v>32</v>
      </c>
      <c r="D727" s="6">
        <f t="shared" si="25"/>
        <v>9</v>
      </c>
      <c r="E727">
        <v>24</v>
      </c>
      <c r="F727" s="6">
        <f>VLOOKUP($E727,Sheet3!$B$3:$D$54,2,0)</f>
        <v>6</v>
      </c>
      <c r="G727" s="6">
        <f>VLOOKUP($E727,Sheet3!$B$3:$G$54,3,0)</f>
        <v>0</v>
      </c>
      <c r="H727" s="5">
        <f>VLOOKUP($A727,Sheet3!$I$3:$J$38,2,0)</f>
        <v>17.21</v>
      </c>
      <c r="I727" s="6">
        <f>VLOOKUP($E727,Sheet3!$B$3:$G$54,5,0)</f>
        <v>132191</v>
      </c>
      <c r="J727" s="5">
        <f>VLOOKUP($E727,Sheet3!$B$3:$G$54,4,0)</f>
        <v>2.4</v>
      </c>
      <c r="K727" s="5">
        <f>VLOOKUP($E727,Sheet3!$B$3:$G$54,6,0)</f>
        <v>1.7</v>
      </c>
      <c r="L727">
        <v>0</v>
      </c>
      <c r="M727">
        <v>24</v>
      </c>
      <c r="N727">
        <v>15</v>
      </c>
      <c r="O727" s="14" t="e">
        <f t="shared" si="26"/>
        <v>#DIV/0!</v>
      </c>
    </row>
    <row r="728" spans="1:15" x14ac:dyDescent="0.3">
      <c r="A728" s="15" t="s">
        <v>48</v>
      </c>
      <c r="B728" s="12" t="s">
        <v>30</v>
      </c>
      <c r="C728" s="12" t="s">
        <v>32</v>
      </c>
      <c r="D728" s="6">
        <f t="shared" si="25"/>
        <v>9</v>
      </c>
      <c r="E728">
        <v>25</v>
      </c>
      <c r="F728" s="6">
        <f>VLOOKUP($E728,Sheet3!$B$3:$D$54,2,0)</f>
        <v>6</v>
      </c>
      <c r="G728" s="6">
        <f>VLOOKUP($E728,Sheet3!$B$3:$G$54,3,0)</f>
        <v>0</v>
      </c>
      <c r="H728" s="5">
        <f>VLOOKUP($A728,Sheet3!$I$3:$J$38,2,0)</f>
        <v>17.21</v>
      </c>
      <c r="I728" s="6">
        <f>VLOOKUP($E728,Sheet3!$B$3:$G$54,5,0)</f>
        <v>132191</v>
      </c>
      <c r="J728" s="5">
        <f>VLOOKUP($E728,Sheet3!$B$3:$G$54,4,0)</f>
        <v>2.4</v>
      </c>
      <c r="K728" s="5">
        <f>VLOOKUP($E728,Sheet3!$B$3:$G$54,6,0)</f>
        <v>1.7</v>
      </c>
      <c r="L728">
        <v>48</v>
      </c>
      <c r="M728">
        <v>72</v>
      </c>
      <c r="N728">
        <v>16</v>
      </c>
      <c r="O728" s="14">
        <f t="shared" si="26"/>
        <v>1.5</v>
      </c>
    </row>
    <row r="729" spans="1:15" x14ac:dyDescent="0.3">
      <c r="A729" s="15" t="s">
        <v>48</v>
      </c>
      <c r="B729" s="12" t="s">
        <v>30</v>
      </c>
      <c r="C729" s="12" t="s">
        <v>32</v>
      </c>
      <c r="D729" s="6">
        <f t="shared" si="25"/>
        <v>10</v>
      </c>
      <c r="E729">
        <v>26</v>
      </c>
      <c r="F729" s="6">
        <f>VLOOKUP($E729,Sheet3!$B$3:$D$54,2,0)</f>
        <v>6</v>
      </c>
      <c r="G729" s="6">
        <f>VLOOKUP($E729,Sheet3!$B$3:$G$54,3,0)</f>
        <v>0</v>
      </c>
      <c r="H729" s="5">
        <f>VLOOKUP($A729,Sheet3!$I$3:$J$38,2,0)</f>
        <v>17.21</v>
      </c>
      <c r="I729" s="6">
        <f>VLOOKUP($E729,Sheet3!$B$3:$G$54,5,0)</f>
        <v>132191</v>
      </c>
      <c r="J729" s="5">
        <f>VLOOKUP($E729,Sheet3!$B$3:$G$54,4,0)</f>
        <v>2.4</v>
      </c>
      <c r="K729" s="5">
        <f>VLOOKUP($E729,Sheet3!$B$3:$G$54,6,0)</f>
        <v>1.7</v>
      </c>
      <c r="L729">
        <v>48</v>
      </c>
      <c r="M729">
        <v>72</v>
      </c>
      <c r="N729">
        <v>16</v>
      </c>
      <c r="O729" s="14">
        <f t="shared" si="26"/>
        <v>1.5</v>
      </c>
    </row>
    <row r="730" spans="1:15" x14ac:dyDescent="0.3">
      <c r="A730" s="15" t="s">
        <v>33</v>
      </c>
      <c r="B730" s="12" t="s">
        <v>30</v>
      </c>
      <c r="C730" s="12" t="s">
        <v>30</v>
      </c>
      <c r="D730" s="6">
        <f t="shared" si="25"/>
        <v>9</v>
      </c>
      <c r="E730">
        <v>27</v>
      </c>
      <c r="F730" s="6">
        <f>VLOOKUP($E730,Sheet3!$B$3:$D$54,2,0)</f>
        <v>7</v>
      </c>
      <c r="G730" s="6">
        <f>VLOOKUP($E730,Sheet3!$B$3:$G$54,3,0)</f>
        <v>0</v>
      </c>
      <c r="H730" s="5">
        <f>VLOOKUP($A730,Sheet3!$I$3:$J$38,2,0)</f>
        <v>19.18</v>
      </c>
      <c r="I730" s="6">
        <f>VLOOKUP($E730,Sheet3!$B$3:$G$54,5,0)</f>
        <v>124806</v>
      </c>
      <c r="J730" s="5">
        <f>VLOOKUP($E730,Sheet3!$B$3:$G$54,4,0)</f>
        <v>4.5</v>
      </c>
      <c r="K730" s="5">
        <f>VLOOKUP($E730,Sheet3!$B$3:$G$54,6,0)</f>
        <v>1.3</v>
      </c>
      <c r="L730">
        <v>2913</v>
      </c>
      <c r="M730">
        <v>3250</v>
      </c>
      <c r="N730">
        <v>18</v>
      </c>
      <c r="O730" s="14">
        <f t="shared" si="26"/>
        <v>1.1156882938551322</v>
      </c>
    </row>
    <row r="731" spans="1:15" x14ac:dyDescent="0.3">
      <c r="A731" s="15" t="s">
        <v>33</v>
      </c>
      <c r="B731" s="12" t="s">
        <v>30</v>
      </c>
      <c r="C731" s="12" t="s">
        <v>30</v>
      </c>
      <c r="D731" s="6">
        <f t="shared" ref="D731:D782" si="27">IF(E731-N731&lt;0,E731-N731+52,E731-N731)</f>
        <v>10</v>
      </c>
      <c r="E731">
        <v>28</v>
      </c>
      <c r="F731" s="6">
        <f>VLOOKUP($E731,Sheet3!$B$3:$D$54,2,0)</f>
        <v>7</v>
      </c>
      <c r="G731" s="6">
        <f>VLOOKUP($E731,Sheet3!$B$3:$G$54,3,0)</f>
        <v>0</v>
      </c>
      <c r="H731" s="5">
        <f>VLOOKUP($A731,Sheet3!$I$3:$J$38,2,0)</f>
        <v>19.18</v>
      </c>
      <c r="I731" s="6">
        <f>VLOOKUP($E731,Sheet3!$B$3:$G$54,5,0)</f>
        <v>124806</v>
      </c>
      <c r="J731" s="5">
        <f>VLOOKUP($E731,Sheet3!$B$3:$G$54,4,0)</f>
        <v>4.5</v>
      </c>
      <c r="K731" s="5">
        <f>VLOOKUP($E731,Sheet3!$B$3:$G$54,6,0)</f>
        <v>1.3</v>
      </c>
      <c r="L731">
        <v>2748</v>
      </c>
      <c r="M731">
        <v>3000</v>
      </c>
      <c r="N731">
        <v>18</v>
      </c>
      <c r="O731" s="14">
        <f t="shared" si="26"/>
        <v>1.0917030567685591</v>
      </c>
    </row>
    <row r="732" spans="1:15" x14ac:dyDescent="0.3">
      <c r="A732" s="15" t="s">
        <v>33</v>
      </c>
      <c r="B732" s="12" t="s">
        <v>30</v>
      </c>
      <c r="C732" s="12" t="s">
        <v>30</v>
      </c>
      <c r="D732" s="6">
        <f t="shared" si="27"/>
        <v>10</v>
      </c>
      <c r="E732">
        <v>29</v>
      </c>
      <c r="F732" s="6">
        <f>VLOOKUP($E732,Sheet3!$B$3:$D$54,2,0)</f>
        <v>7</v>
      </c>
      <c r="G732" s="6">
        <f>VLOOKUP($E732,Sheet3!$B$3:$G$54,3,0)</f>
        <v>0</v>
      </c>
      <c r="H732" s="5">
        <f>VLOOKUP($A732,Sheet3!$I$3:$J$38,2,0)</f>
        <v>19.18</v>
      </c>
      <c r="I732" s="6">
        <f>VLOOKUP($E732,Sheet3!$B$3:$G$54,5,0)</f>
        <v>124806</v>
      </c>
      <c r="J732" s="5">
        <f>VLOOKUP($E732,Sheet3!$B$3:$G$54,4,0)</f>
        <v>4.5</v>
      </c>
      <c r="K732" s="5">
        <f>VLOOKUP($E732,Sheet3!$B$3:$G$54,6,0)</f>
        <v>1.3</v>
      </c>
      <c r="L732">
        <v>2304</v>
      </c>
      <c r="M732">
        <v>0</v>
      </c>
      <c r="N732">
        <v>19</v>
      </c>
      <c r="O732" s="14">
        <f t="shared" si="26"/>
        <v>0</v>
      </c>
    </row>
    <row r="733" spans="1:15" x14ac:dyDescent="0.3">
      <c r="A733" s="15" t="s">
        <v>33</v>
      </c>
      <c r="B733" s="12" t="s">
        <v>30</v>
      </c>
      <c r="C733" s="12" t="s">
        <v>30</v>
      </c>
      <c r="D733" s="6">
        <f t="shared" si="27"/>
        <v>12</v>
      </c>
      <c r="E733">
        <v>30</v>
      </c>
      <c r="F733" s="6">
        <f>VLOOKUP($E733,Sheet3!$B$3:$D$54,2,0)</f>
        <v>7</v>
      </c>
      <c r="G733" s="6">
        <f>VLOOKUP($E733,Sheet3!$B$3:$G$54,3,0)</f>
        <v>0</v>
      </c>
      <c r="H733" s="5">
        <f>VLOOKUP($A733,Sheet3!$I$3:$J$38,2,0)</f>
        <v>19.18</v>
      </c>
      <c r="I733" s="6">
        <f>VLOOKUP($E733,Sheet3!$B$3:$G$54,5,0)</f>
        <v>124806</v>
      </c>
      <c r="J733" s="5">
        <f>VLOOKUP($E733,Sheet3!$B$3:$G$54,4,0)</f>
        <v>4.5</v>
      </c>
      <c r="K733" s="5">
        <f>VLOOKUP($E733,Sheet3!$B$3:$G$54,6,0)</f>
        <v>1.3</v>
      </c>
      <c r="L733">
        <v>3399</v>
      </c>
      <c r="M733">
        <v>0</v>
      </c>
      <c r="N733">
        <v>18</v>
      </c>
      <c r="O733" s="14">
        <f t="shared" si="26"/>
        <v>0</v>
      </c>
    </row>
    <row r="734" spans="1:15" x14ac:dyDescent="0.3">
      <c r="A734" s="15" t="s">
        <v>33</v>
      </c>
      <c r="B734" s="12" t="s">
        <v>30</v>
      </c>
      <c r="C734" s="12" t="s">
        <v>30</v>
      </c>
      <c r="D734" s="6">
        <f t="shared" si="27"/>
        <v>14</v>
      </c>
      <c r="E734">
        <v>31</v>
      </c>
      <c r="F734" s="6">
        <f>VLOOKUP($E734,Sheet3!$B$3:$D$54,2,0)</f>
        <v>7</v>
      </c>
      <c r="G734" s="6">
        <f>VLOOKUP($E734,Sheet3!$B$3:$G$54,3,0)</f>
        <v>0</v>
      </c>
      <c r="H734" s="5">
        <f>VLOOKUP($A734,Sheet3!$I$3:$J$38,2,0)</f>
        <v>19.18</v>
      </c>
      <c r="I734" s="6">
        <f>VLOOKUP($E734,Sheet3!$B$3:$G$54,5,0)</f>
        <v>124806</v>
      </c>
      <c r="J734" s="5">
        <f>VLOOKUP($E734,Sheet3!$B$3:$G$54,4,0)</f>
        <v>4.5</v>
      </c>
      <c r="K734" s="5">
        <f>VLOOKUP($E734,Sheet3!$B$3:$G$54,6,0)</f>
        <v>1.3</v>
      </c>
      <c r="L734">
        <v>3402</v>
      </c>
      <c r="M734">
        <v>0</v>
      </c>
      <c r="N734">
        <v>17</v>
      </c>
      <c r="O734" s="14">
        <f t="shared" si="26"/>
        <v>0</v>
      </c>
    </row>
    <row r="735" spans="1:15" x14ac:dyDescent="0.3">
      <c r="A735" s="15" t="s">
        <v>33</v>
      </c>
      <c r="B735" s="12" t="s">
        <v>30</v>
      </c>
      <c r="C735" s="12" t="s">
        <v>30</v>
      </c>
      <c r="D735" s="6">
        <f t="shared" si="27"/>
        <v>13</v>
      </c>
      <c r="E735">
        <v>32</v>
      </c>
      <c r="F735" s="6">
        <f>VLOOKUP($E735,Sheet3!$B$3:$D$54,2,0)</f>
        <v>8</v>
      </c>
      <c r="G735" s="6">
        <f>VLOOKUP($E735,Sheet3!$B$3:$G$54,3,0)</f>
        <v>1</v>
      </c>
      <c r="H735" s="5">
        <f>VLOOKUP($A735,Sheet3!$I$3:$J$38,2,0)</f>
        <v>19.18</v>
      </c>
      <c r="I735" s="6">
        <f>VLOOKUP($E735,Sheet3!$B$3:$G$54,5,0)</f>
        <v>69121</v>
      </c>
      <c r="J735" s="5">
        <f>VLOOKUP($E735,Sheet3!$B$3:$G$54,4,0)</f>
        <v>4.5</v>
      </c>
      <c r="K735" s="5">
        <f>VLOOKUP($E735,Sheet3!$B$3:$G$54,6,0)</f>
        <v>1.1000000000000001</v>
      </c>
      <c r="L735">
        <v>3159</v>
      </c>
      <c r="M735">
        <v>946</v>
      </c>
      <c r="N735">
        <v>19</v>
      </c>
      <c r="O735" s="14">
        <f t="shared" si="26"/>
        <v>0.29946185501741057</v>
      </c>
    </row>
    <row r="736" spans="1:15" x14ac:dyDescent="0.3">
      <c r="A736" s="15" t="s">
        <v>33</v>
      </c>
      <c r="B736" s="12" t="s">
        <v>30</v>
      </c>
      <c r="C736" s="12" t="s">
        <v>30</v>
      </c>
      <c r="D736" s="6">
        <f t="shared" si="27"/>
        <v>14</v>
      </c>
      <c r="E736">
        <v>33</v>
      </c>
      <c r="F736" s="6">
        <f>VLOOKUP($E736,Sheet3!$B$3:$D$54,2,0)</f>
        <v>8</v>
      </c>
      <c r="G736" s="6">
        <f>VLOOKUP($E736,Sheet3!$B$3:$G$54,3,0)</f>
        <v>1</v>
      </c>
      <c r="H736" s="5">
        <f>VLOOKUP($A736,Sheet3!$I$3:$J$38,2,0)</f>
        <v>19.18</v>
      </c>
      <c r="I736" s="6">
        <f>VLOOKUP($E736,Sheet3!$B$3:$G$54,5,0)</f>
        <v>69121</v>
      </c>
      <c r="J736" s="5">
        <f>VLOOKUP($E736,Sheet3!$B$3:$G$54,4,0)</f>
        <v>4.5</v>
      </c>
      <c r="K736" s="5">
        <f>VLOOKUP($E736,Sheet3!$B$3:$G$54,6,0)</f>
        <v>1.1000000000000001</v>
      </c>
      <c r="L736">
        <v>3354</v>
      </c>
      <c r="M736">
        <v>50</v>
      </c>
      <c r="N736">
        <v>19</v>
      </c>
      <c r="O736" s="14">
        <f t="shared" si="26"/>
        <v>1.4907573047107931E-2</v>
      </c>
    </row>
    <row r="737" spans="1:15" x14ac:dyDescent="0.3">
      <c r="A737" s="15" t="s">
        <v>33</v>
      </c>
      <c r="B737" s="12" t="s">
        <v>30</v>
      </c>
      <c r="C737" s="12" t="s">
        <v>30</v>
      </c>
      <c r="D737" s="6">
        <f t="shared" si="27"/>
        <v>16</v>
      </c>
      <c r="E737">
        <v>34</v>
      </c>
      <c r="F737" s="6">
        <f>VLOOKUP($E737,Sheet3!$B$3:$D$54,2,0)</f>
        <v>8</v>
      </c>
      <c r="G737" s="6">
        <f>VLOOKUP($E737,Sheet3!$B$3:$G$54,3,0)</f>
        <v>0</v>
      </c>
      <c r="H737" s="5">
        <f>VLOOKUP($A737,Sheet3!$I$3:$J$38,2,0)</f>
        <v>19.18</v>
      </c>
      <c r="I737" s="6">
        <f>VLOOKUP($E737,Sheet3!$B$3:$G$54,5,0)</f>
        <v>69121</v>
      </c>
      <c r="J737" s="5">
        <f>VLOOKUP($E737,Sheet3!$B$3:$G$54,4,0)</f>
        <v>4.5</v>
      </c>
      <c r="K737" s="5">
        <f>VLOOKUP($E737,Sheet3!$B$3:$G$54,6,0)</f>
        <v>1.1000000000000001</v>
      </c>
      <c r="L737">
        <v>2817</v>
      </c>
      <c r="M737">
        <v>2200</v>
      </c>
      <c r="N737">
        <v>18</v>
      </c>
      <c r="O737" s="14">
        <f t="shared" si="26"/>
        <v>0.78097266595669157</v>
      </c>
    </row>
    <row r="738" spans="1:15" x14ac:dyDescent="0.3">
      <c r="A738" s="15" t="s">
        <v>33</v>
      </c>
      <c r="B738" s="12" t="s">
        <v>30</v>
      </c>
      <c r="C738" s="12" t="s">
        <v>30</v>
      </c>
      <c r="D738" s="6">
        <f t="shared" si="27"/>
        <v>19</v>
      </c>
      <c r="E738">
        <v>35</v>
      </c>
      <c r="F738" s="6">
        <f>VLOOKUP($E738,Sheet3!$B$3:$D$54,2,0)</f>
        <v>8</v>
      </c>
      <c r="G738" s="6">
        <f>VLOOKUP($E738,Sheet3!$B$3:$G$54,3,0)</f>
        <v>0</v>
      </c>
      <c r="H738" s="5">
        <f>VLOOKUP($A738,Sheet3!$I$3:$J$38,2,0)</f>
        <v>19.18</v>
      </c>
      <c r="I738" s="6">
        <f>VLOOKUP($E738,Sheet3!$B$3:$G$54,5,0)</f>
        <v>69121</v>
      </c>
      <c r="J738" s="5">
        <f>VLOOKUP($E738,Sheet3!$B$3:$G$54,4,0)</f>
        <v>4.5</v>
      </c>
      <c r="K738" s="5">
        <f>VLOOKUP($E738,Sheet3!$B$3:$G$54,6,0)</f>
        <v>1.1000000000000001</v>
      </c>
      <c r="L738">
        <v>3261</v>
      </c>
      <c r="M738">
        <v>2700</v>
      </c>
      <c r="N738">
        <v>16</v>
      </c>
      <c r="O738" s="14">
        <f t="shared" si="26"/>
        <v>0.82796688132474705</v>
      </c>
    </row>
    <row r="739" spans="1:15" x14ac:dyDescent="0.3">
      <c r="A739" s="15" t="s">
        <v>33</v>
      </c>
      <c r="B739" s="12" t="s">
        <v>30</v>
      </c>
      <c r="C739" s="12" t="s">
        <v>30</v>
      </c>
      <c r="D739" s="6">
        <f t="shared" si="27"/>
        <v>21</v>
      </c>
      <c r="E739">
        <v>36</v>
      </c>
      <c r="F739" s="6">
        <f>VLOOKUP($E739,Sheet3!$B$3:$D$54,2,0)</f>
        <v>9</v>
      </c>
      <c r="G739" s="6">
        <f>VLOOKUP($E739,Sheet3!$B$3:$G$54,3,0)</f>
        <v>0</v>
      </c>
      <c r="H739" s="5">
        <f>VLOOKUP($A739,Sheet3!$I$3:$J$38,2,0)</f>
        <v>19.18</v>
      </c>
      <c r="I739" s="6">
        <f>VLOOKUP($E739,Sheet3!$B$3:$G$54,5,0)</f>
        <v>121666</v>
      </c>
      <c r="J739" s="5">
        <f>VLOOKUP($E739,Sheet3!$B$3:$G$54,4,0)</f>
        <v>4.5</v>
      </c>
      <c r="K739" s="5">
        <f>VLOOKUP($E739,Sheet3!$B$3:$G$54,6,0)</f>
        <v>0.7</v>
      </c>
      <c r="L739">
        <v>2691</v>
      </c>
      <c r="M739">
        <v>1550</v>
      </c>
      <c r="N739">
        <v>15</v>
      </c>
      <c r="O739" s="14">
        <f t="shared" si="26"/>
        <v>0.57599405425492378</v>
      </c>
    </row>
    <row r="740" spans="1:15" x14ac:dyDescent="0.3">
      <c r="A740" s="15" t="s">
        <v>33</v>
      </c>
      <c r="B740" s="12" t="s">
        <v>30</v>
      </c>
      <c r="C740" s="12" t="s">
        <v>30</v>
      </c>
      <c r="D740" s="6">
        <f t="shared" si="27"/>
        <v>21</v>
      </c>
      <c r="E740">
        <v>37</v>
      </c>
      <c r="F740" s="6">
        <f>VLOOKUP($E740,Sheet3!$B$3:$D$54,2,0)</f>
        <v>9</v>
      </c>
      <c r="G740" s="6">
        <f>VLOOKUP($E740,Sheet3!$B$3:$G$54,3,0)</f>
        <v>0</v>
      </c>
      <c r="H740" s="5">
        <f>VLOOKUP($A740,Sheet3!$I$3:$J$38,2,0)</f>
        <v>19.18</v>
      </c>
      <c r="I740" s="6">
        <f>VLOOKUP($E740,Sheet3!$B$3:$G$54,5,0)</f>
        <v>121666</v>
      </c>
      <c r="J740" s="5">
        <f>VLOOKUP($E740,Sheet3!$B$3:$G$54,4,0)</f>
        <v>4.5</v>
      </c>
      <c r="K740" s="5">
        <f>VLOOKUP($E740,Sheet3!$B$3:$G$54,6,0)</f>
        <v>0.7</v>
      </c>
      <c r="L740">
        <v>3261</v>
      </c>
      <c r="M740">
        <v>2350</v>
      </c>
      <c r="N740">
        <v>16</v>
      </c>
      <c r="O740" s="14">
        <f t="shared" si="26"/>
        <v>0.72063784115302054</v>
      </c>
    </row>
    <row r="741" spans="1:15" x14ac:dyDescent="0.3">
      <c r="A741" s="15" t="s">
        <v>33</v>
      </c>
      <c r="B741" s="12" t="s">
        <v>30</v>
      </c>
      <c r="C741" s="12" t="s">
        <v>30</v>
      </c>
      <c r="D741" s="6">
        <f t="shared" si="27"/>
        <v>22</v>
      </c>
      <c r="E741">
        <v>38</v>
      </c>
      <c r="F741" s="6">
        <f>VLOOKUP($E741,Sheet3!$B$3:$D$54,2,0)</f>
        <v>9</v>
      </c>
      <c r="G741" s="6">
        <f>VLOOKUP($E741,Sheet3!$B$3:$G$54,3,0)</f>
        <v>0</v>
      </c>
      <c r="H741" s="5">
        <f>VLOOKUP($A741,Sheet3!$I$3:$J$38,2,0)</f>
        <v>19.18</v>
      </c>
      <c r="I741" s="6">
        <f>VLOOKUP($E741,Sheet3!$B$3:$G$54,5,0)</f>
        <v>121666</v>
      </c>
      <c r="J741" s="5">
        <f>VLOOKUP($E741,Sheet3!$B$3:$G$54,4,0)</f>
        <v>3.9</v>
      </c>
      <c r="K741" s="5">
        <f>VLOOKUP($E741,Sheet3!$B$3:$G$54,6,0)</f>
        <v>0.7</v>
      </c>
      <c r="L741">
        <v>3387</v>
      </c>
      <c r="M741">
        <v>2750</v>
      </c>
      <c r="N741">
        <v>16</v>
      </c>
      <c r="O741" s="14">
        <f t="shared" si="26"/>
        <v>0.81192795984647181</v>
      </c>
    </row>
    <row r="742" spans="1:15" x14ac:dyDescent="0.3">
      <c r="A742" s="15" t="s">
        <v>33</v>
      </c>
      <c r="B742" s="12" t="s">
        <v>30</v>
      </c>
      <c r="C742" s="12" t="s">
        <v>30</v>
      </c>
      <c r="D742" s="6">
        <f t="shared" si="27"/>
        <v>22</v>
      </c>
      <c r="E742">
        <v>39</v>
      </c>
      <c r="F742" s="6">
        <f>VLOOKUP($E742,Sheet3!$B$3:$D$54,2,0)</f>
        <v>9</v>
      </c>
      <c r="G742" s="6">
        <f>VLOOKUP($E742,Sheet3!$B$3:$G$54,3,0)</f>
        <v>0</v>
      </c>
      <c r="H742" s="5">
        <f>VLOOKUP($A742,Sheet3!$I$3:$J$38,2,0)</f>
        <v>19.18</v>
      </c>
      <c r="I742" s="6">
        <f>VLOOKUP($E742,Sheet3!$B$3:$G$54,5,0)</f>
        <v>121666</v>
      </c>
      <c r="J742" s="5">
        <f>VLOOKUP($E742,Sheet3!$B$3:$G$54,4,0)</f>
        <v>3.9</v>
      </c>
      <c r="K742" s="5">
        <f>VLOOKUP($E742,Sheet3!$B$3:$G$54,6,0)</f>
        <v>0.7</v>
      </c>
      <c r="L742">
        <v>2643</v>
      </c>
      <c r="M742">
        <v>2600</v>
      </c>
      <c r="N742">
        <v>17</v>
      </c>
      <c r="O742" s="14">
        <f t="shared" si="26"/>
        <v>0.98373060915626187</v>
      </c>
    </row>
    <row r="743" spans="1:15" x14ac:dyDescent="0.3">
      <c r="A743" s="15" t="s">
        <v>33</v>
      </c>
      <c r="B743" s="12" t="s">
        <v>30</v>
      </c>
      <c r="C743" s="12" t="s">
        <v>30</v>
      </c>
      <c r="D743" s="6">
        <f t="shared" si="27"/>
        <v>24</v>
      </c>
      <c r="E743">
        <v>40</v>
      </c>
      <c r="F743" s="6">
        <f>VLOOKUP($E743,Sheet3!$B$3:$D$54,2,0)</f>
        <v>9</v>
      </c>
      <c r="G743" s="6">
        <f>VLOOKUP($E743,Sheet3!$B$3:$G$54,3,0)</f>
        <v>0</v>
      </c>
      <c r="H743" s="5">
        <f>VLOOKUP($A743,Sheet3!$I$3:$J$38,2,0)</f>
        <v>19.18</v>
      </c>
      <c r="I743" s="6">
        <f>VLOOKUP($E743,Sheet3!$B$3:$G$54,5,0)</f>
        <v>121666</v>
      </c>
      <c r="J743" s="5">
        <f>VLOOKUP($E743,Sheet3!$B$3:$G$54,4,0)</f>
        <v>3.9</v>
      </c>
      <c r="K743" s="5">
        <f>VLOOKUP($E743,Sheet3!$B$3:$G$54,6,0)</f>
        <v>0.7</v>
      </c>
      <c r="L743">
        <v>2646</v>
      </c>
      <c r="M743">
        <v>1950</v>
      </c>
      <c r="N743">
        <v>16</v>
      </c>
      <c r="O743" s="14">
        <f t="shared" si="26"/>
        <v>0.7369614512471655</v>
      </c>
    </row>
    <row r="744" spans="1:15" x14ac:dyDescent="0.3">
      <c r="A744" s="15" t="s">
        <v>33</v>
      </c>
      <c r="B744" s="12" t="s">
        <v>30</v>
      </c>
      <c r="C744" s="12" t="s">
        <v>30</v>
      </c>
      <c r="D744" s="6">
        <f t="shared" si="27"/>
        <v>24</v>
      </c>
      <c r="E744">
        <v>41</v>
      </c>
      <c r="F744" s="6">
        <f>VLOOKUP($E744,Sheet3!$B$3:$D$54,2,0)</f>
        <v>10</v>
      </c>
      <c r="G744" s="6">
        <f>VLOOKUP($E744,Sheet3!$B$3:$G$54,3,0)</f>
        <v>0</v>
      </c>
      <c r="H744" s="5">
        <f>VLOOKUP($A744,Sheet3!$I$3:$J$38,2,0)</f>
        <v>19.18</v>
      </c>
      <c r="I744" s="6">
        <f>VLOOKUP($E744,Sheet3!$B$3:$G$54,5,0)</f>
        <v>126488</v>
      </c>
      <c r="J744" s="5">
        <f>VLOOKUP($E744,Sheet3!$B$3:$G$54,4,0)</f>
        <v>3.9</v>
      </c>
      <c r="K744" s="5">
        <f>VLOOKUP($E744,Sheet3!$B$3:$G$54,6,0)</f>
        <v>0.9</v>
      </c>
      <c r="L744">
        <v>3189</v>
      </c>
      <c r="M744">
        <v>3200</v>
      </c>
      <c r="N744">
        <v>17</v>
      </c>
      <c r="O744" s="14">
        <f t="shared" si="26"/>
        <v>1.0034493571652556</v>
      </c>
    </row>
    <row r="745" spans="1:15" x14ac:dyDescent="0.3">
      <c r="A745" s="15" t="s">
        <v>33</v>
      </c>
      <c r="B745" s="12" t="s">
        <v>30</v>
      </c>
      <c r="C745" s="12" t="s">
        <v>30</v>
      </c>
      <c r="D745" s="6">
        <f t="shared" si="27"/>
        <v>24</v>
      </c>
      <c r="E745">
        <v>42</v>
      </c>
      <c r="F745" s="6">
        <f>VLOOKUP($E745,Sheet3!$B$3:$D$54,2,0)</f>
        <v>10</v>
      </c>
      <c r="G745" s="6">
        <f>VLOOKUP($E745,Sheet3!$B$3:$G$54,3,0)</f>
        <v>0</v>
      </c>
      <c r="H745" s="5">
        <f>VLOOKUP($A745,Sheet3!$I$3:$J$38,2,0)</f>
        <v>19.18</v>
      </c>
      <c r="I745" s="6">
        <f>VLOOKUP($E745,Sheet3!$B$3:$G$54,5,0)</f>
        <v>126488</v>
      </c>
      <c r="J745" s="5">
        <f>VLOOKUP($E745,Sheet3!$B$3:$G$54,4,0)</f>
        <v>3.9</v>
      </c>
      <c r="K745" s="5">
        <f>VLOOKUP($E745,Sheet3!$B$3:$G$54,6,0)</f>
        <v>0.9</v>
      </c>
      <c r="L745">
        <v>2646</v>
      </c>
      <c r="M745">
        <v>0</v>
      </c>
      <c r="N745">
        <v>18</v>
      </c>
      <c r="O745" s="14">
        <f t="shared" si="26"/>
        <v>0</v>
      </c>
    </row>
    <row r="746" spans="1:15" x14ac:dyDescent="0.3">
      <c r="A746" s="15" t="s">
        <v>33</v>
      </c>
      <c r="B746" s="12" t="s">
        <v>30</v>
      </c>
      <c r="C746" s="12" t="s">
        <v>30</v>
      </c>
      <c r="D746" s="6">
        <f t="shared" si="27"/>
        <v>24</v>
      </c>
      <c r="E746">
        <v>43</v>
      </c>
      <c r="F746" s="6">
        <f>VLOOKUP($E746,Sheet3!$B$3:$D$54,2,0)</f>
        <v>10</v>
      </c>
      <c r="G746" s="6">
        <f>VLOOKUP($E746,Sheet3!$B$3:$G$54,3,0)</f>
        <v>0</v>
      </c>
      <c r="H746" s="5">
        <f>VLOOKUP($A746,Sheet3!$I$3:$J$38,2,0)</f>
        <v>19.18</v>
      </c>
      <c r="I746" s="6">
        <f>VLOOKUP($E746,Sheet3!$B$3:$G$54,5,0)</f>
        <v>126488</v>
      </c>
      <c r="J746" s="5">
        <f>VLOOKUP($E746,Sheet3!$B$3:$G$54,4,0)</f>
        <v>3.65</v>
      </c>
      <c r="K746" s="5">
        <f>VLOOKUP($E746,Sheet3!$B$3:$G$54,6,0)</f>
        <v>0.9</v>
      </c>
      <c r="L746">
        <v>2718</v>
      </c>
      <c r="M746">
        <v>0</v>
      </c>
      <c r="N746">
        <v>19</v>
      </c>
      <c r="O746" s="14">
        <f t="shared" si="26"/>
        <v>0</v>
      </c>
    </row>
    <row r="747" spans="1:15" x14ac:dyDescent="0.3">
      <c r="A747" s="15" t="s">
        <v>33</v>
      </c>
      <c r="B747" s="12" t="s">
        <v>30</v>
      </c>
      <c r="C747" s="12" t="s">
        <v>30</v>
      </c>
      <c r="D747" s="6">
        <f t="shared" si="27"/>
        <v>27</v>
      </c>
      <c r="E747">
        <v>44</v>
      </c>
      <c r="F747" s="6">
        <f>VLOOKUP($E747,Sheet3!$B$3:$D$54,2,0)</f>
        <v>10</v>
      </c>
      <c r="G747" s="6">
        <f>VLOOKUP($E747,Sheet3!$B$3:$G$54,3,0)</f>
        <v>1</v>
      </c>
      <c r="H747" s="5">
        <f>VLOOKUP($A747,Sheet3!$I$3:$J$38,2,0)</f>
        <v>19.18</v>
      </c>
      <c r="I747" s="6">
        <f>VLOOKUP($E747,Sheet3!$B$3:$G$54,5,0)</f>
        <v>126488</v>
      </c>
      <c r="J747" s="5">
        <f>VLOOKUP($E747,Sheet3!$B$3:$G$54,4,0)</f>
        <v>3.65</v>
      </c>
      <c r="K747" s="5">
        <f>VLOOKUP($E747,Sheet3!$B$3:$G$54,6,0)</f>
        <v>0.9</v>
      </c>
      <c r="L747">
        <v>0</v>
      </c>
      <c r="M747">
        <v>0</v>
      </c>
      <c r="N747">
        <v>17</v>
      </c>
      <c r="O747" s="14" t="e">
        <f t="shared" si="26"/>
        <v>#DIV/0!</v>
      </c>
    </row>
    <row r="748" spans="1:15" x14ac:dyDescent="0.3">
      <c r="A748" s="15" t="s">
        <v>33</v>
      </c>
      <c r="B748" s="12" t="s">
        <v>30</v>
      </c>
      <c r="C748" s="12" t="s">
        <v>30</v>
      </c>
      <c r="D748" s="6">
        <f t="shared" si="27"/>
        <v>28</v>
      </c>
      <c r="E748">
        <v>45</v>
      </c>
      <c r="F748" s="6">
        <f>VLOOKUP($E748,Sheet3!$B$3:$D$54,2,0)</f>
        <v>11</v>
      </c>
      <c r="G748" s="6">
        <f>VLOOKUP($E748,Sheet3!$B$3:$G$54,3,0)</f>
        <v>0</v>
      </c>
      <c r="H748" s="5">
        <f>VLOOKUP($A748,Sheet3!$I$3:$J$38,2,0)</f>
        <v>19.18</v>
      </c>
      <c r="I748" s="6">
        <f>VLOOKUP($E748,Sheet3!$B$3:$G$54,5,0)</f>
        <v>124251</v>
      </c>
      <c r="J748" s="5">
        <f>VLOOKUP($E748,Sheet3!$B$3:$G$54,4,0)</f>
        <v>3.65</v>
      </c>
      <c r="K748" s="5">
        <f>VLOOKUP($E748,Sheet3!$B$3:$G$54,6,0)</f>
        <v>1.3</v>
      </c>
      <c r="L748">
        <v>2238</v>
      </c>
      <c r="M748">
        <v>0</v>
      </c>
      <c r="N748">
        <v>17</v>
      </c>
      <c r="O748" s="14">
        <f t="shared" si="26"/>
        <v>0</v>
      </c>
    </row>
    <row r="749" spans="1:15" x14ac:dyDescent="0.3">
      <c r="A749" s="15" t="s">
        <v>33</v>
      </c>
      <c r="B749" s="12" t="s">
        <v>30</v>
      </c>
      <c r="C749" s="12" t="s">
        <v>30</v>
      </c>
      <c r="D749" s="6">
        <f t="shared" si="27"/>
        <v>28</v>
      </c>
      <c r="E749">
        <v>46</v>
      </c>
      <c r="F749" s="6">
        <f>VLOOKUP($E749,Sheet3!$B$3:$D$54,2,0)</f>
        <v>11</v>
      </c>
      <c r="G749" s="6">
        <f>VLOOKUP($E749,Sheet3!$B$3:$G$54,3,0)</f>
        <v>0</v>
      </c>
      <c r="H749" s="5">
        <f>VLOOKUP($A749,Sheet3!$I$3:$J$38,2,0)</f>
        <v>19.18</v>
      </c>
      <c r="I749" s="6">
        <f>VLOOKUP($E749,Sheet3!$B$3:$G$54,5,0)</f>
        <v>124251</v>
      </c>
      <c r="J749" s="5">
        <f>VLOOKUP($E749,Sheet3!$B$3:$G$54,4,0)</f>
        <v>3.65</v>
      </c>
      <c r="K749" s="5">
        <f>VLOOKUP($E749,Sheet3!$B$3:$G$54,6,0)</f>
        <v>1.3</v>
      </c>
      <c r="L749">
        <v>3354</v>
      </c>
      <c r="M749">
        <v>0</v>
      </c>
      <c r="N749">
        <v>18</v>
      </c>
      <c r="O749" s="14">
        <f t="shared" si="26"/>
        <v>0</v>
      </c>
    </row>
    <row r="750" spans="1:15" x14ac:dyDescent="0.3">
      <c r="A750" s="15" t="s">
        <v>33</v>
      </c>
      <c r="B750" s="12" t="s">
        <v>30</v>
      </c>
      <c r="C750" s="12" t="s">
        <v>30</v>
      </c>
      <c r="D750" s="6">
        <f t="shared" si="27"/>
        <v>26</v>
      </c>
      <c r="E750">
        <v>47</v>
      </c>
      <c r="F750" s="6">
        <f>VLOOKUP($E750,Sheet3!$B$3:$D$54,2,0)</f>
        <v>11</v>
      </c>
      <c r="G750" s="6">
        <f>VLOOKUP($E750,Sheet3!$B$3:$G$54,3,0)</f>
        <v>0</v>
      </c>
      <c r="H750" s="5">
        <f>VLOOKUP($A750,Sheet3!$I$3:$J$38,2,0)</f>
        <v>19.18</v>
      </c>
      <c r="I750" s="6">
        <f>VLOOKUP($E750,Sheet3!$B$3:$G$54,5,0)</f>
        <v>124251</v>
      </c>
      <c r="J750" s="5">
        <f>VLOOKUP($E750,Sheet3!$B$3:$G$54,4,0)</f>
        <v>3.65</v>
      </c>
      <c r="K750" s="5">
        <f>VLOOKUP($E750,Sheet3!$B$3:$G$54,6,0)</f>
        <v>1.3</v>
      </c>
      <c r="L750">
        <v>3354</v>
      </c>
      <c r="M750">
        <v>1500</v>
      </c>
      <c r="N750">
        <v>21</v>
      </c>
      <c r="O750" s="14">
        <f t="shared" si="26"/>
        <v>0.44722719141323791</v>
      </c>
    </row>
    <row r="751" spans="1:15" x14ac:dyDescent="0.3">
      <c r="A751" s="15" t="s">
        <v>33</v>
      </c>
      <c r="B751" s="12" t="s">
        <v>30</v>
      </c>
      <c r="C751" s="12" t="s">
        <v>30</v>
      </c>
      <c r="D751" s="6">
        <f t="shared" si="27"/>
        <v>25</v>
      </c>
      <c r="E751">
        <v>48</v>
      </c>
      <c r="F751" s="6">
        <f>VLOOKUP($E751,Sheet3!$B$3:$D$54,2,0)</f>
        <v>11</v>
      </c>
      <c r="G751" s="6">
        <f>VLOOKUP($E751,Sheet3!$B$3:$G$54,3,0)</f>
        <v>0</v>
      </c>
      <c r="H751" s="5">
        <f>VLOOKUP($A751,Sheet3!$I$3:$J$38,2,0)</f>
        <v>19.18</v>
      </c>
      <c r="I751" s="6">
        <f>VLOOKUP($E751,Sheet3!$B$3:$G$54,5,0)</f>
        <v>124251</v>
      </c>
      <c r="J751" s="5">
        <f>VLOOKUP($E751,Sheet3!$B$3:$G$54,4,0)</f>
        <v>3.65</v>
      </c>
      <c r="K751" s="5">
        <f>VLOOKUP($E751,Sheet3!$B$3:$G$54,6,0)</f>
        <v>1.3</v>
      </c>
      <c r="L751">
        <v>3105</v>
      </c>
      <c r="M751">
        <v>1500</v>
      </c>
      <c r="N751">
        <v>23</v>
      </c>
      <c r="O751" s="14">
        <f t="shared" si="26"/>
        <v>0.48309178743961351</v>
      </c>
    </row>
    <row r="752" spans="1:15" x14ac:dyDescent="0.3">
      <c r="A752" s="15" t="s">
        <v>33</v>
      </c>
      <c r="B752" s="12" t="s">
        <v>30</v>
      </c>
      <c r="C752" s="12" t="s">
        <v>30</v>
      </c>
      <c r="D752" s="6">
        <f t="shared" si="27"/>
        <v>25</v>
      </c>
      <c r="E752">
        <v>49</v>
      </c>
      <c r="F752" s="6">
        <f>VLOOKUP($E752,Sheet3!$B$3:$D$54,2,0)</f>
        <v>12</v>
      </c>
      <c r="G752" s="6">
        <f>VLOOKUP($E752,Sheet3!$B$3:$G$54,3,0)</f>
        <v>1</v>
      </c>
      <c r="H752" s="5">
        <f>VLOOKUP($A752,Sheet3!$I$3:$J$38,2,0)</f>
        <v>19.18</v>
      </c>
      <c r="I752" s="6">
        <f>VLOOKUP($E752,Sheet3!$B$3:$G$54,5,0)</f>
        <v>105715</v>
      </c>
      <c r="J752" s="5">
        <f>VLOOKUP($E752,Sheet3!$B$3:$G$54,4,0)</f>
        <v>3.65</v>
      </c>
      <c r="K752" s="5">
        <f>VLOOKUP($E752,Sheet3!$B$3:$G$54,6,0)</f>
        <v>1.3</v>
      </c>
      <c r="L752">
        <v>2793</v>
      </c>
      <c r="M752">
        <v>1500</v>
      </c>
      <c r="N752">
        <v>24</v>
      </c>
      <c r="O752" s="14">
        <f t="shared" si="26"/>
        <v>0.53705692803437166</v>
      </c>
    </row>
    <row r="753" spans="1:15" x14ac:dyDescent="0.3">
      <c r="A753" s="15" t="s">
        <v>33</v>
      </c>
      <c r="B753" s="12" t="s">
        <v>30</v>
      </c>
      <c r="C753" s="12" t="s">
        <v>30</v>
      </c>
      <c r="D753" s="6">
        <f t="shared" si="27"/>
        <v>26</v>
      </c>
      <c r="E753">
        <v>50</v>
      </c>
      <c r="F753" s="6">
        <f>VLOOKUP($E753,Sheet3!$B$3:$D$54,2,0)</f>
        <v>12</v>
      </c>
      <c r="G753" s="6">
        <f>VLOOKUP($E753,Sheet3!$B$3:$G$54,3,0)</f>
        <v>0</v>
      </c>
      <c r="H753" s="5">
        <f>VLOOKUP($A753,Sheet3!$I$3:$J$38,2,0)</f>
        <v>19.18</v>
      </c>
      <c r="I753" s="6">
        <f>VLOOKUP($E753,Sheet3!$B$3:$G$54,5,0)</f>
        <v>105715</v>
      </c>
      <c r="J753" s="5">
        <f>VLOOKUP($E753,Sheet3!$B$3:$G$54,4,0)</f>
        <v>3.4</v>
      </c>
      <c r="K753" s="5">
        <f>VLOOKUP($E753,Sheet3!$B$3:$G$54,6,0)</f>
        <v>1.3</v>
      </c>
      <c r="L753">
        <v>3354</v>
      </c>
      <c r="M753">
        <v>0</v>
      </c>
      <c r="N753">
        <v>24</v>
      </c>
      <c r="O753" s="14">
        <f t="shared" si="26"/>
        <v>0</v>
      </c>
    </row>
    <row r="754" spans="1:15" x14ac:dyDescent="0.3">
      <c r="A754" s="15" t="s">
        <v>33</v>
      </c>
      <c r="B754" s="12" t="s">
        <v>30</v>
      </c>
      <c r="C754" s="12" t="s">
        <v>30</v>
      </c>
      <c r="D754" s="6">
        <f t="shared" si="27"/>
        <v>28</v>
      </c>
      <c r="E754">
        <v>51</v>
      </c>
      <c r="F754" s="6">
        <f>VLOOKUP($E754,Sheet3!$B$3:$D$54,2,0)</f>
        <v>12</v>
      </c>
      <c r="G754" s="6">
        <f>VLOOKUP($E754,Sheet3!$B$3:$G$54,3,0)</f>
        <v>0</v>
      </c>
      <c r="H754" s="5">
        <f>VLOOKUP($A754,Sheet3!$I$3:$J$38,2,0)</f>
        <v>19.18</v>
      </c>
      <c r="I754" s="6">
        <f>VLOOKUP($E754,Sheet3!$B$3:$G$54,5,0)</f>
        <v>105715</v>
      </c>
      <c r="J754" s="5">
        <f>VLOOKUP($E754,Sheet3!$B$3:$G$54,4,0)</f>
        <v>3.4</v>
      </c>
      <c r="K754" s="5">
        <f>VLOOKUP($E754,Sheet3!$B$3:$G$54,6,0)</f>
        <v>1.3</v>
      </c>
      <c r="L754">
        <v>3357</v>
      </c>
      <c r="M754">
        <v>526</v>
      </c>
      <c r="N754">
        <v>23</v>
      </c>
      <c r="O754" s="14">
        <f t="shared" si="26"/>
        <v>0.15668751861781352</v>
      </c>
    </row>
    <row r="755" spans="1:15" x14ac:dyDescent="0.3">
      <c r="A755" s="15" t="s">
        <v>33</v>
      </c>
      <c r="B755" s="12" t="s">
        <v>30</v>
      </c>
      <c r="C755" s="12" t="s">
        <v>30</v>
      </c>
      <c r="D755" s="6">
        <f t="shared" si="27"/>
        <v>28</v>
      </c>
      <c r="E755">
        <v>52</v>
      </c>
      <c r="F755" s="6">
        <f>VLOOKUP($E755,Sheet3!$B$3:$D$54,2,0)</f>
        <v>12</v>
      </c>
      <c r="G755" s="6">
        <f>VLOOKUP($E755,Sheet3!$B$3:$G$54,3,0)</f>
        <v>1</v>
      </c>
      <c r="H755" s="5">
        <f>VLOOKUP($A755,Sheet3!$I$3:$J$38,2,0)</f>
        <v>19.18</v>
      </c>
      <c r="I755" s="6">
        <f>VLOOKUP($E755,Sheet3!$B$3:$G$54,5,0)</f>
        <v>105715</v>
      </c>
      <c r="J755" s="5">
        <f>VLOOKUP($E755,Sheet3!$B$3:$G$54,4,0)</f>
        <v>3.4</v>
      </c>
      <c r="K755" s="5">
        <f>VLOOKUP($E755,Sheet3!$B$3:$G$54,6,0)</f>
        <v>1.3</v>
      </c>
      <c r="L755">
        <v>3351</v>
      </c>
      <c r="M755">
        <v>2436</v>
      </c>
      <c r="N755">
        <v>24</v>
      </c>
      <c r="O755" s="14">
        <f t="shared" si="26"/>
        <v>0.72694717994628466</v>
      </c>
    </row>
    <row r="756" spans="1:15" x14ac:dyDescent="0.3">
      <c r="A756" s="15" t="s">
        <v>33</v>
      </c>
      <c r="B756" s="12" t="s">
        <v>30</v>
      </c>
      <c r="C756" s="12" t="s">
        <v>30</v>
      </c>
      <c r="D756" s="6">
        <f t="shared" si="27"/>
        <v>37</v>
      </c>
      <c r="E756">
        <v>1</v>
      </c>
      <c r="F756" s="6">
        <f>VLOOKUP($E756,Sheet3!$B$3:$D$54,2,0)</f>
        <v>12</v>
      </c>
      <c r="G756" s="6">
        <f>VLOOKUP($E756,Sheet3!$B$3:$G$54,3,0)</f>
        <v>1</v>
      </c>
      <c r="H756" s="5">
        <f>VLOOKUP($A756,Sheet3!$I$3:$J$38,2,0)</f>
        <v>19.18</v>
      </c>
      <c r="I756" s="6">
        <f>VLOOKUP($E756,Sheet3!$B$3:$G$54,5,0)</f>
        <v>105715</v>
      </c>
      <c r="J756" s="5">
        <f>VLOOKUP($E756,Sheet3!$B$3:$G$54,4,0)</f>
        <v>3.4</v>
      </c>
      <c r="K756" s="5">
        <f>VLOOKUP($E756,Sheet3!$B$3:$G$54,6,0)</f>
        <v>1.3</v>
      </c>
      <c r="L756">
        <v>2400</v>
      </c>
      <c r="M756">
        <v>1400</v>
      </c>
      <c r="N756">
        <v>16</v>
      </c>
      <c r="O756" s="14">
        <f t="shared" ref="O756:O818" si="28">M756/L756</f>
        <v>0.58333333333333337</v>
      </c>
    </row>
    <row r="757" spans="1:15" x14ac:dyDescent="0.3">
      <c r="A757" s="15" t="s">
        <v>33</v>
      </c>
      <c r="B757" s="12" t="s">
        <v>30</v>
      </c>
      <c r="C757" s="12" t="s">
        <v>30</v>
      </c>
      <c r="D757" s="6">
        <f t="shared" si="27"/>
        <v>36</v>
      </c>
      <c r="E757">
        <v>2</v>
      </c>
      <c r="F757" s="6">
        <f>VLOOKUP($E757,Sheet3!$B$3:$D$54,2,0)</f>
        <v>1</v>
      </c>
      <c r="G757" s="6">
        <f>VLOOKUP($E757,Sheet3!$B$3:$G$54,3,0)</f>
        <v>1</v>
      </c>
      <c r="H757" s="5">
        <f>VLOOKUP($A757,Sheet3!$I$3:$J$38,2,0)</f>
        <v>19.18</v>
      </c>
      <c r="I757" s="6">
        <f>VLOOKUP($E757,Sheet3!$B$3:$G$54,5,0)</f>
        <v>133692</v>
      </c>
      <c r="J757" s="5">
        <f>VLOOKUP($E757,Sheet3!$B$3:$G$54,4,0)</f>
        <v>3.4</v>
      </c>
      <c r="K757" s="5">
        <f>VLOOKUP($E757,Sheet3!$B$3:$G$54,6,0)</f>
        <v>1.5</v>
      </c>
      <c r="L757">
        <v>59503</v>
      </c>
      <c r="M757">
        <v>0</v>
      </c>
      <c r="N757">
        <v>18</v>
      </c>
      <c r="O757" s="14">
        <f t="shared" si="28"/>
        <v>0</v>
      </c>
    </row>
    <row r="758" spans="1:15" x14ac:dyDescent="0.3">
      <c r="A758" s="15" t="s">
        <v>33</v>
      </c>
      <c r="B758" s="12" t="s">
        <v>30</v>
      </c>
      <c r="C758" s="12" t="s">
        <v>30</v>
      </c>
      <c r="D758" s="6">
        <f t="shared" si="27"/>
        <v>38</v>
      </c>
      <c r="E758">
        <v>3</v>
      </c>
      <c r="F758" s="6">
        <f>VLOOKUP($E758,Sheet3!$B$3:$D$54,2,0)</f>
        <v>1</v>
      </c>
      <c r="G758" s="6">
        <f>VLOOKUP($E758,Sheet3!$B$3:$G$54,3,0)</f>
        <v>0</v>
      </c>
      <c r="H758" s="5">
        <f>VLOOKUP($A758,Sheet3!$I$3:$J$38,2,0)</f>
        <v>19.18</v>
      </c>
      <c r="I758" s="6">
        <f>VLOOKUP($E758,Sheet3!$B$3:$G$54,5,0)</f>
        <v>133692</v>
      </c>
      <c r="J758" s="5">
        <f>VLOOKUP($E758,Sheet3!$B$3:$G$54,4,0)</f>
        <v>3.4</v>
      </c>
      <c r="K758" s="5">
        <f>VLOOKUP($E758,Sheet3!$B$3:$G$54,6,0)</f>
        <v>1.5</v>
      </c>
      <c r="L758">
        <v>-13863</v>
      </c>
      <c r="M758">
        <v>450</v>
      </c>
      <c r="N758">
        <v>17</v>
      </c>
      <c r="O758" s="14">
        <f t="shared" si="28"/>
        <v>-3.2460506383899586E-2</v>
      </c>
    </row>
    <row r="759" spans="1:15" x14ac:dyDescent="0.3">
      <c r="A759" s="15" t="s">
        <v>33</v>
      </c>
      <c r="B759" s="12" t="s">
        <v>30</v>
      </c>
      <c r="C759" s="12" t="s">
        <v>30</v>
      </c>
      <c r="D759" s="6">
        <f t="shared" si="27"/>
        <v>39</v>
      </c>
      <c r="E759">
        <v>4</v>
      </c>
      <c r="F759" s="6">
        <f>VLOOKUP($E759,Sheet3!$B$3:$D$54,2,0)</f>
        <v>1</v>
      </c>
      <c r="G759" s="6">
        <f>VLOOKUP($E759,Sheet3!$B$3:$G$54,3,0)</f>
        <v>0</v>
      </c>
      <c r="H759" s="5">
        <f>VLOOKUP($A759,Sheet3!$I$3:$J$38,2,0)</f>
        <v>19.18</v>
      </c>
      <c r="I759" s="6">
        <f>VLOOKUP($E759,Sheet3!$B$3:$G$54,5,0)</f>
        <v>133692</v>
      </c>
      <c r="J759" s="5">
        <f>VLOOKUP($E759,Sheet3!$B$3:$G$54,4,0)</f>
        <v>3.4</v>
      </c>
      <c r="K759" s="5">
        <f>VLOOKUP($E759,Sheet3!$B$3:$G$54,6,0)</f>
        <v>1.5</v>
      </c>
      <c r="L759">
        <v>2439</v>
      </c>
      <c r="M759">
        <v>3100</v>
      </c>
      <c r="N759">
        <v>17</v>
      </c>
      <c r="O759" s="14">
        <f t="shared" si="28"/>
        <v>1.2710127101271014</v>
      </c>
    </row>
    <row r="760" spans="1:15" x14ac:dyDescent="0.3">
      <c r="A760" s="15" t="s">
        <v>33</v>
      </c>
      <c r="B760" s="12" t="s">
        <v>30</v>
      </c>
      <c r="C760" s="12" t="s">
        <v>30</v>
      </c>
      <c r="D760" s="6">
        <f t="shared" si="27"/>
        <v>39</v>
      </c>
      <c r="E760">
        <v>5</v>
      </c>
      <c r="F760" s="6">
        <f>VLOOKUP($E760,Sheet3!$B$3:$D$54,2,0)</f>
        <v>1</v>
      </c>
      <c r="G760" s="6">
        <f>VLOOKUP($E760,Sheet3!$B$3:$G$54,3,0)</f>
        <v>0</v>
      </c>
      <c r="H760" s="5">
        <f>VLOOKUP($A760,Sheet3!$I$3:$J$38,2,0)</f>
        <v>19.18</v>
      </c>
      <c r="I760" s="6">
        <f>VLOOKUP($E760,Sheet3!$B$3:$G$54,5,0)</f>
        <v>133692</v>
      </c>
      <c r="J760" s="5">
        <f>VLOOKUP($E760,Sheet3!$B$3:$G$54,4,0)</f>
        <v>3.4</v>
      </c>
      <c r="K760" s="5">
        <f>VLOOKUP($E760,Sheet3!$B$3:$G$54,6,0)</f>
        <v>1.5</v>
      </c>
      <c r="L760">
        <v>2340</v>
      </c>
      <c r="M760">
        <v>2850</v>
      </c>
      <c r="N760">
        <v>18</v>
      </c>
      <c r="O760" s="14">
        <f t="shared" si="28"/>
        <v>1.2179487179487178</v>
      </c>
    </row>
    <row r="761" spans="1:15" x14ac:dyDescent="0.3">
      <c r="A761" s="15" t="s">
        <v>33</v>
      </c>
      <c r="B761" s="12" t="s">
        <v>30</v>
      </c>
      <c r="C761" s="12" t="s">
        <v>30</v>
      </c>
      <c r="D761" s="6">
        <f t="shared" si="27"/>
        <v>39</v>
      </c>
      <c r="E761">
        <v>6</v>
      </c>
      <c r="F761" s="6">
        <f>VLOOKUP($E761,Sheet3!$B$3:$D$54,2,0)</f>
        <v>2</v>
      </c>
      <c r="G761" s="6">
        <f>VLOOKUP($E761,Sheet3!$B$3:$G$54,3,0)</f>
        <v>0</v>
      </c>
      <c r="H761" s="5">
        <f>VLOOKUP($A761,Sheet3!$I$3:$J$38,2,0)</f>
        <v>19.18</v>
      </c>
      <c r="I761" s="6">
        <f>VLOOKUP($E761,Sheet3!$B$3:$G$54,5,0)</f>
        <v>137922</v>
      </c>
      <c r="J761" s="5">
        <f>VLOOKUP($E761,Sheet3!$B$3:$G$54,4,0)</f>
        <v>3.15</v>
      </c>
      <c r="K761" s="5">
        <f>VLOOKUP($E761,Sheet3!$B$3:$G$54,6,0)</f>
        <v>1.6</v>
      </c>
      <c r="L761">
        <v>2352</v>
      </c>
      <c r="M761">
        <v>0</v>
      </c>
      <c r="N761">
        <v>19</v>
      </c>
      <c r="O761" s="14">
        <f t="shared" si="28"/>
        <v>0</v>
      </c>
    </row>
    <row r="762" spans="1:15" x14ac:dyDescent="0.3">
      <c r="A762" s="15" t="s">
        <v>33</v>
      </c>
      <c r="B762" s="12" t="s">
        <v>30</v>
      </c>
      <c r="C762" s="12" t="s">
        <v>30</v>
      </c>
      <c r="D762" s="6">
        <f t="shared" si="27"/>
        <v>40</v>
      </c>
      <c r="E762">
        <v>7</v>
      </c>
      <c r="F762" s="6">
        <f>VLOOKUP($E762,Sheet3!$B$3:$D$54,2,0)</f>
        <v>2</v>
      </c>
      <c r="G762" s="6">
        <f>VLOOKUP($E762,Sheet3!$B$3:$G$54,3,0)</f>
        <v>0</v>
      </c>
      <c r="H762" s="5">
        <f>VLOOKUP($A762,Sheet3!$I$3:$J$38,2,0)</f>
        <v>19.18</v>
      </c>
      <c r="I762" s="6">
        <f>VLOOKUP($E762,Sheet3!$B$3:$G$54,5,0)</f>
        <v>137922</v>
      </c>
      <c r="J762" s="5">
        <f>VLOOKUP($E762,Sheet3!$B$3:$G$54,4,0)</f>
        <v>3.15</v>
      </c>
      <c r="K762" s="5">
        <f>VLOOKUP($E762,Sheet3!$B$3:$G$54,6,0)</f>
        <v>1.6</v>
      </c>
      <c r="L762">
        <v>1902</v>
      </c>
      <c r="M762">
        <v>0</v>
      </c>
      <c r="N762">
        <v>19</v>
      </c>
      <c r="O762" s="14">
        <f t="shared" si="28"/>
        <v>0</v>
      </c>
    </row>
    <row r="763" spans="1:15" x14ac:dyDescent="0.3">
      <c r="A763" s="15" t="s">
        <v>33</v>
      </c>
      <c r="B763" s="12" t="s">
        <v>30</v>
      </c>
      <c r="C763" s="12" t="s">
        <v>30</v>
      </c>
      <c r="D763" s="6">
        <f t="shared" si="27"/>
        <v>41</v>
      </c>
      <c r="E763">
        <v>8</v>
      </c>
      <c r="F763" s="6">
        <f>VLOOKUP($E763,Sheet3!$B$3:$D$54,2,0)</f>
        <v>2</v>
      </c>
      <c r="G763" s="6">
        <f>VLOOKUP($E763,Sheet3!$B$3:$G$54,3,0)</f>
        <v>0</v>
      </c>
      <c r="H763" s="5">
        <f>VLOOKUP($A763,Sheet3!$I$3:$J$38,2,0)</f>
        <v>19.18</v>
      </c>
      <c r="I763" s="6">
        <f>VLOOKUP($E763,Sheet3!$B$3:$G$54,5,0)</f>
        <v>137922</v>
      </c>
      <c r="J763" s="5">
        <f>VLOOKUP($E763,Sheet3!$B$3:$G$54,4,0)</f>
        <v>3.15</v>
      </c>
      <c r="K763" s="5">
        <f>VLOOKUP($E763,Sheet3!$B$3:$G$54,6,0)</f>
        <v>1.6</v>
      </c>
      <c r="L763">
        <v>957</v>
      </c>
      <c r="M763">
        <v>0</v>
      </c>
      <c r="N763">
        <v>19</v>
      </c>
      <c r="O763" s="14">
        <f t="shared" si="28"/>
        <v>0</v>
      </c>
    </row>
    <row r="764" spans="1:15" x14ac:dyDescent="0.3">
      <c r="A764" s="15" t="s">
        <v>33</v>
      </c>
      <c r="B764" s="12" t="s">
        <v>30</v>
      </c>
      <c r="C764" s="12" t="s">
        <v>30</v>
      </c>
      <c r="D764" s="6">
        <f t="shared" si="27"/>
        <v>41</v>
      </c>
      <c r="E764">
        <v>9</v>
      </c>
      <c r="F764" s="6">
        <f>VLOOKUP($E764,Sheet3!$B$3:$D$54,2,0)</f>
        <v>2</v>
      </c>
      <c r="G764" s="6">
        <f>VLOOKUP($E764,Sheet3!$B$3:$G$54,3,0)</f>
        <v>0</v>
      </c>
      <c r="H764" s="5">
        <f>VLOOKUP($A764,Sheet3!$I$3:$J$38,2,0)</f>
        <v>19.18</v>
      </c>
      <c r="I764" s="6">
        <f>VLOOKUP($E764,Sheet3!$B$3:$G$54,5,0)</f>
        <v>137922</v>
      </c>
      <c r="J764" s="5">
        <f>VLOOKUP($E764,Sheet3!$B$3:$G$54,4,0)</f>
        <v>3.15</v>
      </c>
      <c r="K764" s="5">
        <f>VLOOKUP($E764,Sheet3!$B$3:$G$54,6,0)</f>
        <v>1.6</v>
      </c>
      <c r="L764">
        <v>2088</v>
      </c>
      <c r="M764">
        <v>0</v>
      </c>
      <c r="N764">
        <v>20</v>
      </c>
      <c r="O764" s="14">
        <f t="shared" si="28"/>
        <v>0</v>
      </c>
    </row>
    <row r="765" spans="1:15" x14ac:dyDescent="0.3">
      <c r="A765" s="15" t="s">
        <v>33</v>
      </c>
      <c r="B765" s="12" t="s">
        <v>30</v>
      </c>
      <c r="C765" s="12" t="s">
        <v>30</v>
      </c>
      <c r="D765" s="6">
        <f t="shared" si="27"/>
        <v>42</v>
      </c>
      <c r="E765">
        <v>10</v>
      </c>
      <c r="F765" s="6">
        <f>VLOOKUP($E765,Sheet3!$B$3:$D$54,2,0)</f>
        <v>3</v>
      </c>
      <c r="G765" s="6">
        <f>VLOOKUP($E765,Sheet3!$B$3:$G$54,3,0)</f>
        <v>0</v>
      </c>
      <c r="H765" s="5">
        <f>VLOOKUP($A765,Sheet3!$I$3:$J$38,2,0)</f>
        <v>19.18</v>
      </c>
      <c r="I765" s="6">
        <f>VLOOKUP($E765,Sheet3!$B$3:$G$54,5,0)</f>
        <v>172223</v>
      </c>
      <c r="J765" s="5">
        <f>VLOOKUP($E765,Sheet3!$B$3:$G$54,4,0)</f>
        <v>3.15</v>
      </c>
      <c r="K765" s="5">
        <f>VLOOKUP($E765,Sheet3!$B$3:$G$54,6,0)</f>
        <v>1.9</v>
      </c>
      <c r="L765">
        <v>2001</v>
      </c>
      <c r="M765">
        <v>1050</v>
      </c>
      <c r="N765">
        <v>20</v>
      </c>
      <c r="O765" s="14">
        <f t="shared" si="28"/>
        <v>0.52473763118440775</v>
      </c>
    </row>
    <row r="766" spans="1:15" x14ac:dyDescent="0.3">
      <c r="A766" s="15" t="s">
        <v>33</v>
      </c>
      <c r="B766" s="12" t="s">
        <v>30</v>
      </c>
      <c r="C766" s="12" t="s">
        <v>30</v>
      </c>
      <c r="D766" s="6">
        <f t="shared" si="27"/>
        <v>42</v>
      </c>
      <c r="E766">
        <v>11</v>
      </c>
      <c r="F766" s="6">
        <f>VLOOKUP($E766,Sheet3!$B$3:$D$54,2,0)</f>
        <v>3</v>
      </c>
      <c r="G766" s="6">
        <f>VLOOKUP($E766,Sheet3!$B$3:$G$54,3,0)</f>
        <v>0</v>
      </c>
      <c r="H766" s="5">
        <f>VLOOKUP($A766,Sheet3!$I$3:$J$38,2,0)</f>
        <v>19.18</v>
      </c>
      <c r="I766" s="6">
        <f>VLOOKUP($E766,Sheet3!$B$3:$G$54,5,0)</f>
        <v>172223</v>
      </c>
      <c r="J766" s="5">
        <f>VLOOKUP($E766,Sheet3!$B$3:$G$54,4,0)</f>
        <v>2.9</v>
      </c>
      <c r="K766" s="5">
        <f>VLOOKUP($E766,Sheet3!$B$3:$G$54,6,0)</f>
        <v>1.9</v>
      </c>
      <c r="L766">
        <v>2004</v>
      </c>
      <c r="M766">
        <v>1100</v>
      </c>
      <c r="N766">
        <v>21</v>
      </c>
      <c r="O766" s="14">
        <f t="shared" si="28"/>
        <v>0.5489021956087824</v>
      </c>
    </row>
    <row r="767" spans="1:15" x14ac:dyDescent="0.3">
      <c r="A767" s="15" t="s">
        <v>33</v>
      </c>
      <c r="B767" s="12" t="s">
        <v>30</v>
      </c>
      <c r="C767" s="12" t="s">
        <v>30</v>
      </c>
      <c r="D767" s="6">
        <f t="shared" si="27"/>
        <v>42</v>
      </c>
      <c r="E767">
        <v>12</v>
      </c>
      <c r="F767" s="6">
        <f>VLOOKUP($E767,Sheet3!$B$3:$D$54,2,0)</f>
        <v>3</v>
      </c>
      <c r="G767" s="6">
        <f>VLOOKUP($E767,Sheet3!$B$3:$G$54,3,0)</f>
        <v>0</v>
      </c>
      <c r="H767" s="5">
        <f>VLOOKUP($A767,Sheet3!$I$3:$J$38,2,0)</f>
        <v>19.18</v>
      </c>
      <c r="I767" s="6">
        <f>VLOOKUP($E767,Sheet3!$B$3:$G$54,5,0)</f>
        <v>172223</v>
      </c>
      <c r="J767" s="5">
        <f>VLOOKUP($E767,Sheet3!$B$3:$G$54,4,0)</f>
        <v>2.9</v>
      </c>
      <c r="K767" s="5">
        <f>VLOOKUP($E767,Sheet3!$B$3:$G$54,6,0)</f>
        <v>1.9</v>
      </c>
      <c r="L767">
        <v>2775</v>
      </c>
      <c r="M767">
        <v>1700</v>
      </c>
      <c r="N767">
        <v>22</v>
      </c>
      <c r="O767" s="14">
        <f t="shared" si="28"/>
        <v>0.61261261261261257</v>
      </c>
    </row>
    <row r="768" spans="1:15" x14ac:dyDescent="0.3">
      <c r="A768" s="15" t="s">
        <v>33</v>
      </c>
      <c r="B768" s="12" t="s">
        <v>30</v>
      </c>
      <c r="C768" s="12" t="s">
        <v>30</v>
      </c>
      <c r="D768" s="6">
        <f t="shared" si="27"/>
        <v>46</v>
      </c>
      <c r="E768">
        <v>13</v>
      </c>
      <c r="F768" s="6">
        <f>VLOOKUP($E768,Sheet3!$B$3:$D$54,2,0)</f>
        <v>3</v>
      </c>
      <c r="G768" s="6">
        <f>VLOOKUP($E768,Sheet3!$B$3:$G$54,3,0)</f>
        <v>0</v>
      </c>
      <c r="H768" s="5">
        <f>VLOOKUP($A768,Sheet3!$I$3:$J$38,2,0)</f>
        <v>19.18</v>
      </c>
      <c r="I768" s="6">
        <f>VLOOKUP($E768,Sheet3!$B$3:$G$54,5,0)</f>
        <v>172223</v>
      </c>
      <c r="J768" s="5">
        <f>VLOOKUP($E768,Sheet3!$B$3:$G$54,4,0)</f>
        <v>2.9</v>
      </c>
      <c r="K768" s="5">
        <f>VLOOKUP($E768,Sheet3!$B$3:$G$54,6,0)</f>
        <v>1.9</v>
      </c>
      <c r="L768">
        <v>2142</v>
      </c>
      <c r="M768">
        <v>1644</v>
      </c>
      <c r="N768">
        <v>19</v>
      </c>
      <c r="O768" s="14">
        <f t="shared" si="28"/>
        <v>0.7675070028011205</v>
      </c>
    </row>
    <row r="769" spans="1:15" x14ac:dyDescent="0.3">
      <c r="A769" s="15" t="s">
        <v>33</v>
      </c>
      <c r="B769" s="12" t="s">
        <v>30</v>
      </c>
      <c r="C769" s="12" t="s">
        <v>30</v>
      </c>
      <c r="D769" s="6">
        <f t="shared" si="27"/>
        <v>47</v>
      </c>
      <c r="E769">
        <v>14</v>
      </c>
      <c r="F769" s="6">
        <f>VLOOKUP($E769,Sheet3!$B$3:$D$54,2,0)</f>
        <v>3</v>
      </c>
      <c r="G769" s="6">
        <f>VLOOKUP($E769,Sheet3!$B$3:$G$54,3,0)</f>
        <v>0</v>
      </c>
      <c r="H769" s="5">
        <f>VLOOKUP($A769,Sheet3!$I$3:$J$38,2,0)</f>
        <v>19.18</v>
      </c>
      <c r="I769" s="6">
        <f>VLOOKUP($E769,Sheet3!$B$3:$G$54,5,0)</f>
        <v>172223</v>
      </c>
      <c r="J769" s="5">
        <f>VLOOKUP($E769,Sheet3!$B$3:$G$54,4,0)</f>
        <v>2.9</v>
      </c>
      <c r="K769" s="5">
        <f>VLOOKUP($E769,Sheet3!$B$3:$G$54,6,0)</f>
        <v>1.9</v>
      </c>
      <c r="L769">
        <v>1662</v>
      </c>
      <c r="M769">
        <v>1650</v>
      </c>
      <c r="N769">
        <v>19</v>
      </c>
      <c r="O769" s="14">
        <f t="shared" si="28"/>
        <v>0.99277978339350181</v>
      </c>
    </row>
    <row r="770" spans="1:15" x14ac:dyDescent="0.3">
      <c r="A770" s="15" t="s">
        <v>33</v>
      </c>
      <c r="B770" s="12" t="s">
        <v>30</v>
      </c>
      <c r="C770" s="12" t="s">
        <v>30</v>
      </c>
      <c r="D770" s="6">
        <f t="shared" si="27"/>
        <v>49</v>
      </c>
      <c r="E770">
        <v>15</v>
      </c>
      <c r="F770" s="6">
        <f>VLOOKUP($E770,Sheet3!$B$3:$D$54,2,0)</f>
        <v>4</v>
      </c>
      <c r="G770" s="6">
        <f>VLOOKUP($E770,Sheet3!$B$3:$G$54,3,0)</f>
        <v>0</v>
      </c>
      <c r="H770" s="5">
        <f>VLOOKUP($A770,Sheet3!$I$3:$J$38,2,0)</f>
        <v>19.18</v>
      </c>
      <c r="I770" s="6">
        <f>VLOOKUP($E770,Sheet3!$B$3:$G$54,5,0)</f>
        <v>139084</v>
      </c>
      <c r="J770" s="5">
        <f>VLOOKUP($E770,Sheet3!$B$3:$G$54,4,0)</f>
        <v>2.9</v>
      </c>
      <c r="K770" s="5">
        <f>VLOOKUP($E770,Sheet3!$B$3:$G$54,6,0)</f>
        <v>1.9</v>
      </c>
      <c r="L770">
        <v>2433</v>
      </c>
      <c r="M770">
        <v>0</v>
      </c>
      <c r="N770">
        <v>18</v>
      </c>
      <c r="O770" s="14">
        <f t="shared" si="28"/>
        <v>0</v>
      </c>
    </row>
    <row r="771" spans="1:15" x14ac:dyDescent="0.3">
      <c r="A771" s="15" t="s">
        <v>33</v>
      </c>
      <c r="B771" s="12" t="s">
        <v>30</v>
      </c>
      <c r="C771" s="12" t="s">
        <v>30</v>
      </c>
      <c r="D771" s="6">
        <f t="shared" si="27"/>
        <v>49</v>
      </c>
      <c r="E771">
        <v>16</v>
      </c>
      <c r="F771" s="6">
        <f>VLOOKUP($E771,Sheet3!$B$3:$D$54,2,0)</f>
        <v>4</v>
      </c>
      <c r="G771" s="6">
        <f>VLOOKUP($E771,Sheet3!$B$3:$G$54,3,0)</f>
        <v>0</v>
      </c>
      <c r="H771" s="5">
        <f>VLOOKUP($A771,Sheet3!$I$3:$J$38,2,0)</f>
        <v>19.18</v>
      </c>
      <c r="I771" s="6">
        <f>VLOOKUP($E771,Sheet3!$B$3:$G$54,5,0)</f>
        <v>139084</v>
      </c>
      <c r="J771" s="5">
        <f>VLOOKUP($E771,Sheet3!$B$3:$G$54,4,0)</f>
        <v>2.9</v>
      </c>
      <c r="K771" s="5">
        <f>VLOOKUP($E771,Sheet3!$B$3:$G$54,6,0)</f>
        <v>1.9</v>
      </c>
      <c r="L771">
        <v>2442</v>
      </c>
      <c r="M771">
        <v>0</v>
      </c>
      <c r="N771">
        <v>19</v>
      </c>
      <c r="O771" s="14">
        <f t="shared" si="28"/>
        <v>0</v>
      </c>
    </row>
    <row r="772" spans="1:15" x14ac:dyDescent="0.3">
      <c r="A772" s="15" t="s">
        <v>33</v>
      </c>
      <c r="B772" s="12" t="s">
        <v>30</v>
      </c>
      <c r="C772" s="12" t="s">
        <v>30</v>
      </c>
      <c r="D772" s="6">
        <f t="shared" si="27"/>
        <v>0</v>
      </c>
      <c r="E772">
        <v>17</v>
      </c>
      <c r="F772" s="6">
        <f>VLOOKUP($E772,Sheet3!$B$3:$D$54,2,0)</f>
        <v>4</v>
      </c>
      <c r="G772" s="6">
        <f>VLOOKUP($E772,Sheet3!$B$3:$G$54,3,0)</f>
        <v>1</v>
      </c>
      <c r="H772" s="5">
        <f>VLOOKUP($A772,Sheet3!$I$3:$J$38,2,0)</f>
        <v>19.18</v>
      </c>
      <c r="I772" s="6">
        <f>VLOOKUP($E772,Sheet3!$B$3:$G$54,5,0)</f>
        <v>139084</v>
      </c>
      <c r="J772" s="5">
        <f>VLOOKUP($E772,Sheet3!$B$3:$G$54,4,0)</f>
        <v>2.65</v>
      </c>
      <c r="K772" s="5">
        <f>VLOOKUP($E772,Sheet3!$B$3:$G$54,6,0)</f>
        <v>1.9</v>
      </c>
      <c r="L772">
        <v>2280</v>
      </c>
      <c r="M772">
        <v>0</v>
      </c>
      <c r="N772">
        <v>17</v>
      </c>
      <c r="O772" s="14">
        <f t="shared" si="28"/>
        <v>0</v>
      </c>
    </row>
    <row r="773" spans="1:15" x14ac:dyDescent="0.3">
      <c r="A773" s="15" t="s">
        <v>33</v>
      </c>
      <c r="B773" s="12" t="s">
        <v>30</v>
      </c>
      <c r="C773" s="12" t="s">
        <v>30</v>
      </c>
      <c r="D773" s="6">
        <f t="shared" si="27"/>
        <v>50</v>
      </c>
      <c r="E773">
        <v>18</v>
      </c>
      <c r="F773" s="6">
        <f>VLOOKUP($E773,Sheet3!$B$3:$D$54,2,0)</f>
        <v>4</v>
      </c>
      <c r="G773" s="6">
        <f>VLOOKUP($E773,Sheet3!$B$3:$G$54,3,0)</f>
        <v>1</v>
      </c>
      <c r="H773" s="5">
        <f>VLOOKUP($A773,Sheet3!$I$3:$J$38,2,0)</f>
        <v>19.18</v>
      </c>
      <c r="I773" s="6">
        <f>VLOOKUP($E773,Sheet3!$B$3:$G$54,5,0)</f>
        <v>139084</v>
      </c>
      <c r="J773" s="5">
        <f>VLOOKUP($E773,Sheet3!$B$3:$G$54,4,0)</f>
        <v>2.65</v>
      </c>
      <c r="K773" s="5">
        <f>VLOOKUP($E773,Sheet3!$B$3:$G$54,6,0)</f>
        <v>1.9</v>
      </c>
      <c r="L773">
        <v>1989</v>
      </c>
      <c r="M773">
        <v>506</v>
      </c>
      <c r="N773">
        <v>20</v>
      </c>
      <c r="O773" s="14">
        <f t="shared" si="28"/>
        <v>0.25439919557566615</v>
      </c>
    </row>
    <row r="774" spans="1:15" x14ac:dyDescent="0.3">
      <c r="A774" s="15" t="s">
        <v>33</v>
      </c>
      <c r="B774" s="12" t="s">
        <v>30</v>
      </c>
      <c r="C774" s="12" t="s">
        <v>30</v>
      </c>
      <c r="D774" s="6">
        <f t="shared" si="27"/>
        <v>1</v>
      </c>
      <c r="E774">
        <v>19</v>
      </c>
      <c r="F774" s="6">
        <f>VLOOKUP($E774,Sheet3!$B$3:$D$54,2,0)</f>
        <v>5</v>
      </c>
      <c r="G774" s="6">
        <f>VLOOKUP($E774,Sheet3!$B$3:$G$54,3,0)</f>
        <v>0</v>
      </c>
      <c r="H774" s="5">
        <f>VLOOKUP($A774,Sheet3!$I$3:$J$38,2,0)</f>
        <v>19.18</v>
      </c>
      <c r="I774" s="6">
        <f>VLOOKUP($E774,Sheet3!$B$3:$G$54,5,0)</f>
        <v>139390</v>
      </c>
      <c r="J774" s="5">
        <f>VLOOKUP($E774,Sheet3!$B$3:$G$54,4,0)</f>
        <v>2.65</v>
      </c>
      <c r="K774" s="5">
        <f>VLOOKUP($E774,Sheet3!$B$3:$G$54,6,0)</f>
        <v>1.6</v>
      </c>
      <c r="L774">
        <v>2094</v>
      </c>
      <c r="M774">
        <v>850</v>
      </c>
      <c r="N774">
        <v>18</v>
      </c>
      <c r="O774" s="14">
        <f t="shared" si="28"/>
        <v>0.40592168099331422</v>
      </c>
    </row>
    <row r="775" spans="1:15" x14ac:dyDescent="0.3">
      <c r="A775" s="15" t="s">
        <v>33</v>
      </c>
      <c r="B775" s="12" t="s">
        <v>30</v>
      </c>
      <c r="C775" s="12" t="s">
        <v>30</v>
      </c>
      <c r="D775" s="6">
        <f t="shared" si="27"/>
        <v>3</v>
      </c>
      <c r="E775">
        <v>20</v>
      </c>
      <c r="F775" s="6">
        <f>VLOOKUP($E775,Sheet3!$B$3:$D$54,2,0)</f>
        <v>5</v>
      </c>
      <c r="G775" s="6">
        <f>VLOOKUP($E775,Sheet3!$B$3:$G$54,3,0)</f>
        <v>0</v>
      </c>
      <c r="H775" s="5">
        <f>VLOOKUP($A775,Sheet3!$I$3:$J$38,2,0)</f>
        <v>19.18</v>
      </c>
      <c r="I775" s="6">
        <f>VLOOKUP($E775,Sheet3!$B$3:$G$54,5,0)</f>
        <v>139390</v>
      </c>
      <c r="J775" s="5">
        <f>VLOOKUP($E775,Sheet3!$B$3:$G$54,4,0)</f>
        <v>2.65</v>
      </c>
      <c r="K775" s="5">
        <f>VLOOKUP($E775,Sheet3!$B$3:$G$54,6,0)</f>
        <v>1.6</v>
      </c>
      <c r="L775">
        <v>1626</v>
      </c>
      <c r="M775">
        <v>1200</v>
      </c>
      <c r="N775">
        <v>17</v>
      </c>
      <c r="O775" s="14">
        <f t="shared" si="28"/>
        <v>0.73800738007380073</v>
      </c>
    </row>
    <row r="776" spans="1:15" x14ac:dyDescent="0.3">
      <c r="A776" s="15" t="s">
        <v>33</v>
      </c>
      <c r="B776" s="12" t="s">
        <v>30</v>
      </c>
      <c r="C776" s="12" t="s">
        <v>30</v>
      </c>
      <c r="D776" s="6">
        <f t="shared" si="27"/>
        <v>3</v>
      </c>
      <c r="E776">
        <v>21</v>
      </c>
      <c r="F776" s="6">
        <f>VLOOKUP($E776,Sheet3!$B$3:$D$54,2,0)</f>
        <v>5</v>
      </c>
      <c r="G776" s="6">
        <f>VLOOKUP($E776,Sheet3!$B$3:$G$54,3,0)</f>
        <v>0</v>
      </c>
      <c r="H776" s="5">
        <f>VLOOKUP($A776,Sheet3!$I$3:$J$38,2,0)</f>
        <v>19.18</v>
      </c>
      <c r="I776" s="6">
        <f>VLOOKUP($E776,Sheet3!$B$3:$G$54,5,0)</f>
        <v>139390</v>
      </c>
      <c r="J776" s="5">
        <f>VLOOKUP($E776,Sheet3!$B$3:$G$54,4,0)</f>
        <v>2.65</v>
      </c>
      <c r="K776" s="5">
        <f>VLOOKUP($E776,Sheet3!$B$3:$G$54,6,0)</f>
        <v>1.6</v>
      </c>
      <c r="L776">
        <v>1620</v>
      </c>
      <c r="M776">
        <v>1350</v>
      </c>
      <c r="N776">
        <v>18</v>
      </c>
      <c r="O776" s="14">
        <f t="shared" si="28"/>
        <v>0.83333333333333337</v>
      </c>
    </row>
    <row r="777" spans="1:15" x14ac:dyDescent="0.3">
      <c r="A777" s="15" t="s">
        <v>33</v>
      </c>
      <c r="B777" s="12" t="s">
        <v>30</v>
      </c>
      <c r="C777" s="12" t="s">
        <v>30</v>
      </c>
      <c r="D777" s="6">
        <f t="shared" si="27"/>
        <v>4</v>
      </c>
      <c r="E777">
        <v>22</v>
      </c>
      <c r="F777" s="6">
        <f>VLOOKUP($E777,Sheet3!$B$3:$D$54,2,0)</f>
        <v>5</v>
      </c>
      <c r="G777" s="6">
        <f>VLOOKUP($E777,Sheet3!$B$3:$G$54,3,0)</f>
        <v>0</v>
      </c>
      <c r="H777" s="5">
        <f>VLOOKUP($A777,Sheet3!$I$3:$J$38,2,0)</f>
        <v>19.18</v>
      </c>
      <c r="I777" s="6">
        <f>VLOOKUP($E777,Sheet3!$B$3:$G$54,5,0)</f>
        <v>139390</v>
      </c>
      <c r="J777" s="5">
        <f>VLOOKUP($E777,Sheet3!$B$3:$G$54,4,0)</f>
        <v>2.65</v>
      </c>
      <c r="K777" s="5">
        <f>VLOOKUP($E777,Sheet3!$B$3:$G$54,6,0)</f>
        <v>1.6</v>
      </c>
      <c r="L777">
        <v>2439</v>
      </c>
      <c r="M777">
        <v>1500</v>
      </c>
      <c r="N777">
        <v>18</v>
      </c>
      <c r="O777" s="14">
        <f t="shared" si="28"/>
        <v>0.61500615006150061</v>
      </c>
    </row>
    <row r="778" spans="1:15" x14ac:dyDescent="0.3">
      <c r="A778" s="15" t="s">
        <v>33</v>
      </c>
      <c r="B778" s="12" t="s">
        <v>30</v>
      </c>
      <c r="C778" s="12" t="s">
        <v>30</v>
      </c>
      <c r="D778" s="6">
        <f t="shared" si="27"/>
        <v>4</v>
      </c>
      <c r="E778">
        <v>23</v>
      </c>
      <c r="F778" s="6">
        <f>VLOOKUP($E778,Sheet3!$B$3:$D$54,2,0)</f>
        <v>5</v>
      </c>
      <c r="G778" s="6">
        <f>VLOOKUP($E778,Sheet3!$B$3:$G$54,3,0)</f>
        <v>1</v>
      </c>
      <c r="H778" s="5">
        <f>VLOOKUP($A778,Sheet3!$I$3:$J$38,2,0)</f>
        <v>19.18</v>
      </c>
      <c r="I778" s="6">
        <f>VLOOKUP($E778,Sheet3!$B$3:$G$54,5,0)</f>
        <v>139390</v>
      </c>
      <c r="J778" s="5">
        <f>VLOOKUP($E778,Sheet3!$B$3:$G$54,4,0)</f>
        <v>2.4</v>
      </c>
      <c r="K778" s="5">
        <f>VLOOKUP($E778,Sheet3!$B$3:$G$54,6,0)</f>
        <v>1.6</v>
      </c>
      <c r="L778">
        <v>2430</v>
      </c>
      <c r="M778">
        <v>1300</v>
      </c>
      <c r="N778">
        <v>19</v>
      </c>
      <c r="O778" s="14">
        <f t="shared" si="28"/>
        <v>0.53497942386831276</v>
      </c>
    </row>
    <row r="779" spans="1:15" x14ac:dyDescent="0.3">
      <c r="A779" s="15" t="s">
        <v>33</v>
      </c>
      <c r="B779" s="12" t="s">
        <v>30</v>
      </c>
      <c r="C779" s="12" t="s">
        <v>30</v>
      </c>
      <c r="D779" s="6">
        <f t="shared" si="27"/>
        <v>6</v>
      </c>
      <c r="E779">
        <v>24</v>
      </c>
      <c r="F779" s="6">
        <f>VLOOKUP($E779,Sheet3!$B$3:$D$54,2,0)</f>
        <v>6</v>
      </c>
      <c r="G779" s="6">
        <f>VLOOKUP($E779,Sheet3!$B$3:$G$54,3,0)</f>
        <v>0</v>
      </c>
      <c r="H779" s="5">
        <f>VLOOKUP($A779,Sheet3!$I$3:$J$38,2,0)</f>
        <v>19.18</v>
      </c>
      <c r="I779" s="6">
        <f>VLOOKUP($E779,Sheet3!$B$3:$G$54,5,0)</f>
        <v>132191</v>
      </c>
      <c r="J779" s="5">
        <f>VLOOKUP($E779,Sheet3!$B$3:$G$54,4,0)</f>
        <v>2.4</v>
      </c>
      <c r="K779" s="5">
        <f>VLOOKUP($E779,Sheet3!$B$3:$G$54,6,0)</f>
        <v>1.7</v>
      </c>
      <c r="L779">
        <v>1959</v>
      </c>
      <c r="M779">
        <v>2000</v>
      </c>
      <c r="N779">
        <v>18</v>
      </c>
      <c r="O779" s="14">
        <f t="shared" si="28"/>
        <v>1.0209290454313424</v>
      </c>
    </row>
    <row r="780" spans="1:15" x14ac:dyDescent="0.3">
      <c r="A780" s="15" t="s">
        <v>33</v>
      </c>
      <c r="B780" s="12" t="s">
        <v>30</v>
      </c>
      <c r="C780" s="12" t="s">
        <v>30</v>
      </c>
      <c r="D780" s="6">
        <f t="shared" si="27"/>
        <v>8</v>
      </c>
      <c r="E780">
        <v>25</v>
      </c>
      <c r="F780" s="6">
        <f>VLOOKUP($E780,Sheet3!$B$3:$D$54,2,0)</f>
        <v>6</v>
      </c>
      <c r="G780" s="6">
        <f>VLOOKUP($E780,Sheet3!$B$3:$G$54,3,0)</f>
        <v>0</v>
      </c>
      <c r="H780" s="5">
        <f>VLOOKUP($A780,Sheet3!$I$3:$J$38,2,0)</f>
        <v>19.18</v>
      </c>
      <c r="I780" s="6">
        <f>VLOOKUP($E780,Sheet3!$B$3:$G$54,5,0)</f>
        <v>132191</v>
      </c>
      <c r="J780" s="5">
        <f>VLOOKUP($E780,Sheet3!$B$3:$G$54,4,0)</f>
        <v>2.4</v>
      </c>
      <c r="K780" s="5">
        <f>VLOOKUP($E780,Sheet3!$B$3:$G$54,6,0)</f>
        <v>1.7</v>
      </c>
      <c r="L780">
        <v>1683</v>
      </c>
      <c r="M780">
        <v>2500</v>
      </c>
      <c r="N780">
        <v>17</v>
      </c>
      <c r="O780" s="14">
        <f t="shared" si="28"/>
        <v>1.4854426619132501</v>
      </c>
    </row>
    <row r="781" spans="1:15" x14ac:dyDescent="0.3">
      <c r="A781" s="15" t="s">
        <v>33</v>
      </c>
      <c r="B781" s="12" t="s">
        <v>30</v>
      </c>
      <c r="C781" s="12" t="s">
        <v>30</v>
      </c>
      <c r="D781" s="6">
        <f t="shared" si="27"/>
        <v>9</v>
      </c>
      <c r="E781">
        <v>26</v>
      </c>
      <c r="F781" s="6">
        <f>VLOOKUP($E781,Sheet3!$B$3:$D$54,2,0)</f>
        <v>6</v>
      </c>
      <c r="G781" s="6">
        <f>VLOOKUP($E781,Sheet3!$B$3:$G$54,3,0)</f>
        <v>0</v>
      </c>
      <c r="H781" s="5">
        <f>VLOOKUP($A781,Sheet3!$I$3:$J$38,2,0)</f>
        <v>19.18</v>
      </c>
      <c r="I781" s="6">
        <f>VLOOKUP($E781,Sheet3!$B$3:$G$54,5,0)</f>
        <v>132191</v>
      </c>
      <c r="J781" s="5">
        <f>VLOOKUP($E781,Sheet3!$B$3:$G$54,4,0)</f>
        <v>2.4</v>
      </c>
      <c r="K781" s="5">
        <f>VLOOKUP($E781,Sheet3!$B$3:$G$54,6,0)</f>
        <v>1.7</v>
      </c>
      <c r="L781">
        <v>1683</v>
      </c>
      <c r="M781">
        <v>2500</v>
      </c>
      <c r="N781">
        <v>17</v>
      </c>
      <c r="O781" s="14">
        <f t="shared" si="28"/>
        <v>1.4854426619132501</v>
      </c>
    </row>
    <row r="782" spans="1:15" x14ac:dyDescent="0.3">
      <c r="A782" s="15" t="s">
        <v>41</v>
      </c>
      <c r="B782" s="12" t="s">
        <v>30</v>
      </c>
      <c r="C782" s="12" t="s">
        <v>33</v>
      </c>
      <c r="D782" s="6">
        <f t="shared" si="27"/>
        <v>11</v>
      </c>
      <c r="E782">
        <v>27</v>
      </c>
      <c r="F782" s="6">
        <f>VLOOKUP($E782,Sheet3!$B$3:$D$54,2,0)</f>
        <v>7</v>
      </c>
      <c r="G782" s="6">
        <f>VLOOKUP($E782,Sheet3!$B$3:$G$54,3,0)</f>
        <v>0</v>
      </c>
      <c r="H782" s="5">
        <f>VLOOKUP($A782,Sheet3!$I$3:$J$38,2,0)</f>
        <v>10.1</v>
      </c>
      <c r="I782" s="6">
        <f>VLOOKUP($E782,Sheet3!$B$3:$G$54,5,0)</f>
        <v>124806</v>
      </c>
      <c r="J782" s="5">
        <f>VLOOKUP($E782,Sheet3!$B$3:$G$54,4,0)</f>
        <v>4.5</v>
      </c>
      <c r="K782" s="5">
        <f>VLOOKUP($E782,Sheet3!$B$3:$G$54,6,0)</f>
        <v>1.3</v>
      </c>
      <c r="L782">
        <v>87</v>
      </c>
      <c r="M782">
        <v>600</v>
      </c>
      <c r="N782">
        <v>16</v>
      </c>
      <c r="O782" s="14">
        <f t="shared" si="28"/>
        <v>6.8965517241379306</v>
      </c>
    </row>
    <row r="783" spans="1:15" x14ac:dyDescent="0.3">
      <c r="A783" s="15" t="s">
        <v>41</v>
      </c>
      <c r="B783" s="12" t="s">
        <v>30</v>
      </c>
      <c r="C783" s="12" t="s">
        <v>33</v>
      </c>
      <c r="D783" s="6">
        <f t="shared" ref="D783:D833" si="29">IF(E783-N783&lt;0,E783-N783+52,E783-N783)</f>
        <v>9</v>
      </c>
      <c r="E783">
        <v>28</v>
      </c>
      <c r="F783" s="6">
        <f>VLOOKUP($E783,Sheet3!$B$3:$D$54,2,0)</f>
        <v>7</v>
      </c>
      <c r="G783" s="6">
        <f>VLOOKUP($E783,Sheet3!$B$3:$G$54,3,0)</f>
        <v>0</v>
      </c>
      <c r="H783" s="5">
        <f>VLOOKUP($A783,Sheet3!$I$3:$J$38,2,0)</f>
        <v>10.1</v>
      </c>
      <c r="I783" s="6">
        <f>VLOOKUP($E783,Sheet3!$B$3:$G$54,5,0)</f>
        <v>124806</v>
      </c>
      <c r="J783" s="5">
        <f>VLOOKUP($E783,Sheet3!$B$3:$G$54,4,0)</f>
        <v>4.5</v>
      </c>
      <c r="K783" s="5">
        <f>VLOOKUP($E783,Sheet3!$B$3:$G$54,6,0)</f>
        <v>1.3</v>
      </c>
      <c r="L783">
        <v>87</v>
      </c>
      <c r="M783">
        <v>520</v>
      </c>
      <c r="N783">
        <v>19</v>
      </c>
      <c r="O783" s="14">
        <f t="shared" si="28"/>
        <v>5.9770114942528734</v>
      </c>
    </row>
    <row r="784" spans="1:15" x14ac:dyDescent="0.3">
      <c r="A784" s="15" t="s">
        <v>41</v>
      </c>
      <c r="B784" s="12" t="s">
        <v>30</v>
      </c>
      <c r="C784" s="12" t="s">
        <v>33</v>
      </c>
      <c r="D784" s="6">
        <f t="shared" si="29"/>
        <v>9</v>
      </c>
      <c r="E784">
        <v>29</v>
      </c>
      <c r="F784" s="6">
        <f>VLOOKUP($E784,Sheet3!$B$3:$D$54,2,0)</f>
        <v>7</v>
      </c>
      <c r="G784" s="6">
        <f>VLOOKUP($E784,Sheet3!$B$3:$G$54,3,0)</f>
        <v>0</v>
      </c>
      <c r="H784" s="5">
        <f>VLOOKUP($A784,Sheet3!$I$3:$J$38,2,0)</f>
        <v>10.1</v>
      </c>
      <c r="I784" s="6">
        <f>VLOOKUP($E784,Sheet3!$B$3:$G$54,5,0)</f>
        <v>124806</v>
      </c>
      <c r="J784" s="5">
        <f>VLOOKUP($E784,Sheet3!$B$3:$G$54,4,0)</f>
        <v>4.5</v>
      </c>
      <c r="K784" s="5">
        <f>VLOOKUP($E784,Sheet3!$B$3:$G$54,6,0)</f>
        <v>1.3</v>
      </c>
      <c r="L784">
        <v>87</v>
      </c>
      <c r="M784">
        <v>680</v>
      </c>
      <c r="N784">
        <v>20</v>
      </c>
      <c r="O784" s="14">
        <f t="shared" si="28"/>
        <v>7.8160919540229887</v>
      </c>
    </row>
    <row r="785" spans="1:15" x14ac:dyDescent="0.3">
      <c r="A785" s="15" t="s">
        <v>41</v>
      </c>
      <c r="B785" s="12" t="s">
        <v>30</v>
      </c>
      <c r="C785" s="12" t="s">
        <v>33</v>
      </c>
      <c r="D785" s="6">
        <f t="shared" si="29"/>
        <v>9</v>
      </c>
      <c r="E785">
        <v>30</v>
      </c>
      <c r="F785" s="6">
        <f>VLOOKUP($E785,Sheet3!$B$3:$D$54,2,0)</f>
        <v>7</v>
      </c>
      <c r="G785" s="6">
        <f>VLOOKUP($E785,Sheet3!$B$3:$G$54,3,0)</f>
        <v>0</v>
      </c>
      <c r="H785" s="5">
        <f>VLOOKUP($A785,Sheet3!$I$3:$J$38,2,0)</f>
        <v>10.1</v>
      </c>
      <c r="I785" s="6">
        <f>VLOOKUP($E785,Sheet3!$B$3:$G$54,5,0)</f>
        <v>124806</v>
      </c>
      <c r="J785" s="5">
        <f>VLOOKUP($E785,Sheet3!$B$3:$G$54,4,0)</f>
        <v>4.5</v>
      </c>
      <c r="K785" s="5">
        <f>VLOOKUP($E785,Sheet3!$B$3:$G$54,6,0)</f>
        <v>1.3</v>
      </c>
      <c r="L785">
        <v>87</v>
      </c>
      <c r="M785">
        <v>240</v>
      </c>
      <c r="N785">
        <v>21</v>
      </c>
      <c r="O785" s="14">
        <f t="shared" si="28"/>
        <v>2.7586206896551726</v>
      </c>
    </row>
    <row r="786" spans="1:15" x14ac:dyDescent="0.3">
      <c r="A786" s="15" t="s">
        <v>41</v>
      </c>
      <c r="B786" s="12" t="s">
        <v>30</v>
      </c>
      <c r="C786" s="12" t="s">
        <v>33</v>
      </c>
      <c r="D786" s="6">
        <f t="shared" si="29"/>
        <v>23</v>
      </c>
      <c r="E786">
        <v>31</v>
      </c>
      <c r="F786" s="6">
        <f>VLOOKUP($E786,Sheet3!$B$3:$D$54,2,0)</f>
        <v>7</v>
      </c>
      <c r="G786" s="6">
        <f>VLOOKUP($E786,Sheet3!$B$3:$G$54,3,0)</f>
        <v>0</v>
      </c>
      <c r="H786" s="5">
        <f>VLOOKUP($A786,Sheet3!$I$3:$J$38,2,0)</f>
        <v>10.1</v>
      </c>
      <c r="I786" s="6">
        <f>VLOOKUP($E786,Sheet3!$B$3:$G$54,5,0)</f>
        <v>124806</v>
      </c>
      <c r="J786" s="5">
        <f>VLOOKUP($E786,Sheet3!$B$3:$G$54,4,0)</f>
        <v>4.5</v>
      </c>
      <c r="K786" s="5">
        <f>VLOOKUP($E786,Sheet3!$B$3:$G$54,6,0)</f>
        <v>1.3</v>
      </c>
      <c r="L786">
        <v>564</v>
      </c>
      <c r="M786">
        <v>450</v>
      </c>
      <c r="N786">
        <v>8</v>
      </c>
      <c r="O786" s="14">
        <f t="shared" si="28"/>
        <v>0.7978723404255319</v>
      </c>
    </row>
    <row r="787" spans="1:15" x14ac:dyDescent="0.3">
      <c r="A787" s="15" t="s">
        <v>41</v>
      </c>
      <c r="B787" s="12" t="s">
        <v>30</v>
      </c>
      <c r="C787" s="12" t="s">
        <v>33</v>
      </c>
      <c r="D787" s="6">
        <f t="shared" si="29"/>
        <v>23</v>
      </c>
      <c r="E787">
        <v>32</v>
      </c>
      <c r="F787" s="6">
        <f>VLOOKUP($E787,Sheet3!$B$3:$D$54,2,0)</f>
        <v>8</v>
      </c>
      <c r="G787" s="6">
        <f>VLOOKUP($E787,Sheet3!$B$3:$G$54,3,0)</f>
        <v>1</v>
      </c>
      <c r="H787" s="5">
        <f>VLOOKUP($A787,Sheet3!$I$3:$J$38,2,0)</f>
        <v>10.1</v>
      </c>
      <c r="I787" s="6">
        <f>VLOOKUP($E787,Sheet3!$B$3:$G$54,5,0)</f>
        <v>69121</v>
      </c>
      <c r="J787" s="5">
        <f>VLOOKUP($E787,Sheet3!$B$3:$G$54,4,0)</f>
        <v>4.5</v>
      </c>
      <c r="K787" s="5">
        <f>VLOOKUP($E787,Sheet3!$B$3:$G$54,6,0)</f>
        <v>1.1000000000000001</v>
      </c>
      <c r="L787">
        <v>562</v>
      </c>
      <c r="M787">
        <v>320</v>
      </c>
      <c r="N787">
        <v>9</v>
      </c>
      <c r="O787" s="14">
        <f t="shared" si="28"/>
        <v>0.56939501779359436</v>
      </c>
    </row>
    <row r="788" spans="1:15" x14ac:dyDescent="0.3">
      <c r="A788" s="15" t="s">
        <v>41</v>
      </c>
      <c r="B788" s="12" t="s">
        <v>30</v>
      </c>
      <c r="C788" s="12" t="s">
        <v>33</v>
      </c>
      <c r="D788" s="6">
        <f t="shared" si="29"/>
        <v>19</v>
      </c>
      <c r="E788">
        <v>33</v>
      </c>
      <c r="F788" s="6">
        <f>VLOOKUP($E788,Sheet3!$B$3:$D$54,2,0)</f>
        <v>8</v>
      </c>
      <c r="G788" s="6">
        <f>VLOOKUP($E788,Sheet3!$B$3:$G$54,3,0)</f>
        <v>1</v>
      </c>
      <c r="H788" s="5">
        <f>VLOOKUP($A788,Sheet3!$I$3:$J$38,2,0)</f>
        <v>10.1</v>
      </c>
      <c r="I788" s="6">
        <f>VLOOKUP($E788,Sheet3!$B$3:$G$54,5,0)</f>
        <v>69121</v>
      </c>
      <c r="J788" s="5">
        <f>VLOOKUP($E788,Sheet3!$B$3:$G$54,4,0)</f>
        <v>4.5</v>
      </c>
      <c r="K788" s="5">
        <f>VLOOKUP($E788,Sheet3!$B$3:$G$54,6,0)</f>
        <v>1.1000000000000001</v>
      </c>
      <c r="L788">
        <v>562</v>
      </c>
      <c r="M788">
        <v>1120</v>
      </c>
      <c r="N788">
        <v>14</v>
      </c>
      <c r="O788" s="14">
        <f t="shared" si="28"/>
        <v>1.9928825622775801</v>
      </c>
    </row>
    <row r="789" spans="1:15" x14ac:dyDescent="0.3">
      <c r="A789" s="15" t="s">
        <v>41</v>
      </c>
      <c r="B789" s="12" t="s">
        <v>30</v>
      </c>
      <c r="C789" s="12" t="s">
        <v>33</v>
      </c>
      <c r="D789" s="6">
        <f t="shared" si="29"/>
        <v>20</v>
      </c>
      <c r="E789">
        <v>34</v>
      </c>
      <c r="F789" s="6">
        <f>VLOOKUP($E789,Sheet3!$B$3:$D$54,2,0)</f>
        <v>8</v>
      </c>
      <c r="G789" s="6">
        <f>VLOOKUP($E789,Sheet3!$B$3:$G$54,3,0)</f>
        <v>0</v>
      </c>
      <c r="H789" s="5">
        <f>VLOOKUP($A789,Sheet3!$I$3:$J$38,2,0)</f>
        <v>10.1</v>
      </c>
      <c r="I789" s="6">
        <f>VLOOKUP($E789,Sheet3!$B$3:$G$54,5,0)</f>
        <v>69121</v>
      </c>
      <c r="J789" s="5">
        <f>VLOOKUP($E789,Sheet3!$B$3:$G$54,4,0)</f>
        <v>4.5</v>
      </c>
      <c r="K789" s="5">
        <f>VLOOKUP($E789,Sheet3!$B$3:$G$54,6,0)</f>
        <v>1.1000000000000001</v>
      </c>
      <c r="L789">
        <v>562</v>
      </c>
      <c r="M789">
        <v>1760</v>
      </c>
      <c r="N789">
        <v>14</v>
      </c>
      <c r="O789" s="14">
        <f t="shared" si="28"/>
        <v>3.1316725978647688</v>
      </c>
    </row>
    <row r="790" spans="1:15" x14ac:dyDescent="0.3">
      <c r="A790" s="15" t="s">
        <v>41</v>
      </c>
      <c r="B790" s="12" t="s">
        <v>30</v>
      </c>
      <c r="C790" s="12" t="s">
        <v>33</v>
      </c>
      <c r="D790" s="6">
        <f t="shared" si="29"/>
        <v>21</v>
      </c>
      <c r="E790">
        <v>35</v>
      </c>
      <c r="F790" s="6">
        <f>VLOOKUP($E790,Sheet3!$B$3:$D$54,2,0)</f>
        <v>8</v>
      </c>
      <c r="G790" s="6">
        <f>VLOOKUP($E790,Sheet3!$B$3:$G$54,3,0)</f>
        <v>0</v>
      </c>
      <c r="H790" s="5">
        <f>VLOOKUP($A790,Sheet3!$I$3:$J$38,2,0)</f>
        <v>10.1</v>
      </c>
      <c r="I790" s="6">
        <f>VLOOKUP($E790,Sheet3!$B$3:$G$54,5,0)</f>
        <v>69121</v>
      </c>
      <c r="J790" s="5">
        <f>VLOOKUP($E790,Sheet3!$B$3:$G$54,4,0)</f>
        <v>4.5</v>
      </c>
      <c r="K790" s="5">
        <f>VLOOKUP($E790,Sheet3!$B$3:$G$54,6,0)</f>
        <v>1.1000000000000001</v>
      </c>
      <c r="L790">
        <v>554</v>
      </c>
      <c r="M790">
        <v>680</v>
      </c>
      <c r="N790">
        <v>14</v>
      </c>
      <c r="O790" s="14">
        <f t="shared" si="28"/>
        <v>1.227436823104693</v>
      </c>
    </row>
    <row r="791" spans="1:15" x14ac:dyDescent="0.3">
      <c r="A791" s="15" t="s">
        <v>41</v>
      </c>
      <c r="B791" s="12" t="s">
        <v>30</v>
      </c>
      <c r="C791" s="12" t="s">
        <v>33</v>
      </c>
      <c r="D791" s="6">
        <f t="shared" si="29"/>
        <v>23</v>
      </c>
      <c r="E791">
        <v>36</v>
      </c>
      <c r="F791" s="6">
        <f>VLOOKUP($E791,Sheet3!$B$3:$D$54,2,0)</f>
        <v>9</v>
      </c>
      <c r="G791" s="6">
        <f>VLOOKUP($E791,Sheet3!$B$3:$G$54,3,0)</f>
        <v>0</v>
      </c>
      <c r="H791" s="5">
        <f>VLOOKUP($A791,Sheet3!$I$3:$J$38,2,0)</f>
        <v>10.1</v>
      </c>
      <c r="I791" s="6">
        <f>VLOOKUP($E791,Sheet3!$B$3:$G$54,5,0)</f>
        <v>121666</v>
      </c>
      <c r="J791" s="5">
        <f>VLOOKUP($E791,Sheet3!$B$3:$G$54,4,0)</f>
        <v>4.5</v>
      </c>
      <c r="K791" s="5">
        <f>VLOOKUP($E791,Sheet3!$B$3:$G$54,6,0)</f>
        <v>0.7</v>
      </c>
      <c r="L791">
        <v>378</v>
      </c>
      <c r="M791">
        <v>440</v>
      </c>
      <c r="N791">
        <v>13</v>
      </c>
      <c r="O791" s="14">
        <f t="shared" si="28"/>
        <v>1.164021164021164</v>
      </c>
    </row>
    <row r="792" spans="1:15" x14ac:dyDescent="0.3">
      <c r="A792" s="15" t="s">
        <v>41</v>
      </c>
      <c r="B792" s="12" t="s">
        <v>30</v>
      </c>
      <c r="C792" s="12" t="s">
        <v>33</v>
      </c>
      <c r="D792" s="6">
        <f t="shared" si="29"/>
        <v>20</v>
      </c>
      <c r="E792">
        <v>37</v>
      </c>
      <c r="F792" s="6">
        <f>VLOOKUP($E792,Sheet3!$B$3:$D$54,2,0)</f>
        <v>9</v>
      </c>
      <c r="G792" s="6">
        <f>VLOOKUP($E792,Sheet3!$B$3:$G$54,3,0)</f>
        <v>0</v>
      </c>
      <c r="H792" s="5">
        <f>VLOOKUP($A792,Sheet3!$I$3:$J$38,2,0)</f>
        <v>10.1</v>
      </c>
      <c r="I792" s="6">
        <f>VLOOKUP($E792,Sheet3!$B$3:$G$54,5,0)</f>
        <v>121666</v>
      </c>
      <c r="J792" s="5">
        <f>VLOOKUP($E792,Sheet3!$B$3:$G$54,4,0)</f>
        <v>4.5</v>
      </c>
      <c r="K792" s="5">
        <f>VLOOKUP($E792,Sheet3!$B$3:$G$54,6,0)</f>
        <v>0.7</v>
      </c>
      <c r="L792">
        <v>374</v>
      </c>
      <c r="M792">
        <v>0</v>
      </c>
      <c r="N792">
        <v>17</v>
      </c>
      <c r="O792" s="14">
        <f t="shared" si="28"/>
        <v>0</v>
      </c>
    </row>
    <row r="793" spans="1:15" x14ac:dyDescent="0.3">
      <c r="A793" s="15" t="s">
        <v>41</v>
      </c>
      <c r="B793" s="12" t="s">
        <v>30</v>
      </c>
      <c r="C793" s="12" t="s">
        <v>33</v>
      </c>
      <c r="D793" s="6">
        <f t="shared" si="29"/>
        <v>20</v>
      </c>
      <c r="E793">
        <v>38</v>
      </c>
      <c r="F793" s="6">
        <f>VLOOKUP($E793,Sheet3!$B$3:$D$54,2,0)</f>
        <v>9</v>
      </c>
      <c r="G793" s="6">
        <f>VLOOKUP($E793,Sheet3!$B$3:$G$54,3,0)</f>
        <v>0</v>
      </c>
      <c r="H793" s="5">
        <f>VLOOKUP($A793,Sheet3!$I$3:$J$38,2,0)</f>
        <v>10.1</v>
      </c>
      <c r="I793" s="6">
        <f>VLOOKUP($E793,Sheet3!$B$3:$G$54,5,0)</f>
        <v>121666</v>
      </c>
      <c r="J793" s="5">
        <f>VLOOKUP($E793,Sheet3!$B$3:$G$54,4,0)</f>
        <v>3.9</v>
      </c>
      <c r="K793" s="5">
        <f>VLOOKUP($E793,Sheet3!$B$3:$G$54,6,0)</f>
        <v>0.7</v>
      </c>
      <c r="L793">
        <v>374</v>
      </c>
      <c r="M793">
        <v>240</v>
      </c>
      <c r="N793">
        <v>18</v>
      </c>
      <c r="O793" s="14">
        <f t="shared" si="28"/>
        <v>0.64171122994652408</v>
      </c>
    </row>
    <row r="794" spans="1:15" x14ac:dyDescent="0.3">
      <c r="A794" s="15" t="s">
        <v>41</v>
      </c>
      <c r="B794" s="12" t="s">
        <v>30</v>
      </c>
      <c r="C794" s="12" t="s">
        <v>33</v>
      </c>
      <c r="D794" s="6">
        <f t="shared" si="29"/>
        <v>20</v>
      </c>
      <c r="E794">
        <v>39</v>
      </c>
      <c r="F794" s="6">
        <f>VLOOKUP($E794,Sheet3!$B$3:$D$54,2,0)</f>
        <v>9</v>
      </c>
      <c r="G794" s="6">
        <f>VLOOKUP($E794,Sheet3!$B$3:$G$54,3,0)</f>
        <v>0</v>
      </c>
      <c r="H794" s="5">
        <f>VLOOKUP($A794,Sheet3!$I$3:$J$38,2,0)</f>
        <v>10.1</v>
      </c>
      <c r="I794" s="6">
        <f>VLOOKUP($E794,Sheet3!$B$3:$G$54,5,0)</f>
        <v>121666</v>
      </c>
      <c r="J794" s="5">
        <f>VLOOKUP($E794,Sheet3!$B$3:$G$54,4,0)</f>
        <v>3.9</v>
      </c>
      <c r="K794" s="5">
        <f>VLOOKUP($E794,Sheet3!$B$3:$G$54,6,0)</f>
        <v>0.7</v>
      </c>
      <c r="L794">
        <v>374</v>
      </c>
      <c r="M794">
        <v>0</v>
      </c>
      <c r="N794">
        <v>19</v>
      </c>
      <c r="O794" s="14">
        <f t="shared" si="28"/>
        <v>0</v>
      </c>
    </row>
    <row r="795" spans="1:15" x14ac:dyDescent="0.3">
      <c r="A795" s="15" t="s">
        <v>41</v>
      </c>
      <c r="B795" s="12" t="s">
        <v>30</v>
      </c>
      <c r="C795" s="12" t="s">
        <v>33</v>
      </c>
      <c r="D795" s="6">
        <f t="shared" si="29"/>
        <v>21</v>
      </c>
      <c r="E795">
        <v>40</v>
      </c>
      <c r="F795" s="6">
        <f>VLOOKUP($E795,Sheet3!$B$3:$D$54,2,0)</f>
        <v>9</v>
      </c>
      <c r="G795" s="6">
        <f>VLOOKUP($E795,Sheet3!$B$3:$G$54,3,0)</f>
        <v>0</v>
      </c>
      <c r="H795" s="5">
        <f>VLOOKUP($A795,Sheet3!$I$3:$J$38,2,0)</f>
        <v>10.1</v>
      </c>
      <c r="I795" s="6">
        <f>VLOOKUP($E795,Sheet3!$B$3:$G$54,5,0)</f>
        <v>121666</v>
      </c>
      <c r="J795" s="5">
        <f>VLOOKUP($E795,Sheet3!$B$3:$G$54,4,0)</f>
        <v>3.9</v>
      </c>
      <c r="K795" s="5">
        <f>VLOOKUP($E795,Sheet3!$B$3:$G$54,6,0)</f>
        <v>0.7</v>
      </c>
      <c r="L795">
        <v>220</v>
      </c>
      <c r="M795">
        <v>520</v>
      </c>
      <c r="N795">
        <v>19</v>
      </c>
      <c r="O795" s="14">
        <f t="shared" si="28"/>
        <v>2.3636363636363638</v>
      </c>
    </row>
    <row r="796" spans="1:15" x14ac:dyDescent="0.3">
      <c r="A796" s="15" t="s">
        <v>41</v>
      </c>
      <c r="B796" s="12" t="s">
        <v>30</v>
      </c>
      <c r="C796" s="12" t="s">
        <v>33</v>
      </c>
      <c r="D796" s="6">
        <f t="shared" si="29"/>
        <v>21</v>
      </c>
      <c r="E796">
        <v>41</v>
      </c>
      <c r="F796" s="6">
        <f>VLOOKUP($E796,Sheet3!$B$3:$D$54,2,0)</f>
        <v>10</v>
      </c>
      <c r="G796" s="6">
        <f>VLOOKUP($E796,Sheet3!$B$3:$G$54,3,0)</f>
        <v>0</v>
      </c>
      <c r="H796" s="5">
        <f>VLOOKUP($A796,Sheet3!$I$3:$J$38,2,0)</f>
        <v>10.1</v>
      </c>
      <c r="I796" s="6">
        <f>VLOOKUP($E796,Sheet3!$B$3:$G$54,5,0)</f>
        <v>126488</v>
      </c>
      <c r="J796" s="5">
        <f>VLOOKUP($E796,Sheet3!$B$3:$G$54,4,0)</f>
        <v>3.9</v>
      </c>
      <c r="K796" s="5">
        <f>VLOOKUP($E796,Sheet3!$B$3:$G$54,6,0)</f>
        <v>0.9</v>
      </c>
      <c r="L796">
        <v>220</v>
      </c>
      <c r="M796">
        <v>280</v>
      </c>
      <c r="N796">
        <v>20</v>
      </c>
      <c r="O796" s="14">
        <f t="shared" si="28"/>
        <v>1.2727272727272727</v>
      </c>
    </row>
    <row r="797" spans="1:15" x14ac:dyDescent="0.3">
      <c r="A797" s="15" t="s">
        <v>41</v>
      </c>
      <c r="B797" s="12" t="s">
        <v>30</v>
      </c>
      <c r="C797" s="12" t="s">
        <v>33</v>
      </c>
      <c r="D797" s="6">
        <f t="shared" si="29"/>
        <v>21</v>
      </c>
      <c r="E797">
        <v>42</v>
      </c>
      <c r="F797" s="6">
        <f>VLOOKUP($E797,Sheet3!$B$3:$D$54,2,0)</f>
        <v>10</v>
      </c>
      <c r="G797" s="6">
        <f>VLOOKUP($E797,Sheet3!$B$3:$G$54,3,0)</f>
        <v>0</v>
      </c>
      <c r="H797" s="5">
        <f>VLOOKUP($A797,Sheet3!$I$3:$J$38,2,0)</f>
        <v>10.1</v>
      </c>
      <c r="I797" s="6">
        <f>VLOOKUP($E797,Sheet3!$B$3:$G$54,5,0)</f>
        <v>126488</v>
      </c>
      <c r="J797" s="5">
        <f>VLOOKUP($E797,Sheet3!$B$3:$G$54,4,0)</f>
        <v>3.9</v>
      </c>
      <c r="K797" s="5">
        <f>VLOOKUP($E797,Sheet3!$B$3:$G$54,6,0)</f>
        <v>0.9</v>
      </c>
      <c r="L797">
        <v>220</v>
      </c>
      <c r="M797">
        <v>520</v>
      </c>
      <c r="N797">
        <v>21</v>
      </c>
      <c r="O797" s="14">
        <f t="shared" si="28"/>
        <v>2.3636363636363638</v>
      </c>
    </row>
    <row r="798" spans="1:15" x14ac:dyDescent="0.3">
      <c r="A798" s="15" t="s">
        <v>41</v>
      </c>
      <c r="B798" s="12" t="s">
        <v>30</v>
      </c>
      <c r="C798" s="12" t="s">
        <v>33</v>
      </c>
      <c r="D798" s="6">
        <f t="shared" si="29"/>
        <v>21</v>
      </c>
      <c r="E798">
        <v>43</v>
      </c>
      <c r="F798" s="6">
        <f>VLOOKUP($E798,Sheet3!$B$3:$D$54,2,0)</f>
        <v>10</v>
      </c>
      <c r="G798" s="6">
        <f>VLOOKUP($E798,Sheet3!$B$3:$G$54,3,0)</f>
        <v>0</v>
      </c>
      <c r="H798" s="5">
        <f>VLOOKUP($A798,Sheet3!$I$3:$J$38,2,0)</f>
        <v>10.1</v>
      </c>
      <c r="I798" s="6">
        <f>VLOOKUP($E798,Sheet3!$B$3:$G$54,5,0)</f>
        <v>126488</v>
      </c>
      <c r="J798" s="5">
        <f>VLOOKUP($E798,Sheet3!$B$3:$G$54,4,0)</f>
        <v>3.65</v>
      </c>
      <c r="K798" s="5">
        <f>VLOOKUP($E798,Sheet3!$B$3:$G$54,6,0)</f>
        <v>0.9</v>
      </c>
      <c r="L798">
        <v>220</v>
      </c>
      <c r="M798">
        <v>480</v>
      </c>
      <c r="N798">
        <v>22</v>
      </c>
      <c r="O798" s="14">
        <f t="shared" si="28"/>
        <v>2.1818181818181817</v>
      </c>
    </row>
    <row r="799" spans="1:15" x14ac:dyDescent="0.3">
      <c r="A799" s="15" t="s">
        <v>41</v>
      </c>
      <c r="B799" s="12" t="s">
        <v>30</v>
      </c>
      <c r="C799" s="12" t="s">
        <v>33</v>
      </c>
      <c r="D799" s="6">
        <f t="shared" si="29"/>
        <v>21</v>
      </c>
      <c r="E799">
        <v>44</v>
      </c>
      <c r="F799" s="6">
        <f>VLOOKUP($E799,Sheet3!$B$3:$D$54,2,0)</f>
        <v>10</v>
      </c>
      <c r="G799" s="6">
        <f>VLOOKUP($E799,Sheet3!$B$3:$G$54,3,0)</f>
        <v>1</v>
      </c>
      <c r="H799" s="5">
        <f>VLOOKUP($A799,Sheet3!$I$3:$J$38,2,0)</f>
        <v>10.1</v>
      </c>
      <c r="I799" s="6">
        <f>VLOOKUP($E799,Sheet3!$B$3:$G$54,5,0)</f>
        <v>126488</v>
      </c>
      <c r="J799" s="5">
        <f>VLOOKUP($E799,Sheet3!$B$3:$G$54,4,0)</f>
        <v>3.65</v>
      </c>
      <c r="K799" s="5">
        <f>VLOOKUP($E799,Sheet3!$B$3:$G$54,6,0)</f>
        <v>0.9</v>
      </c>
      <c r="L799">
        <v>570</v>
      </c>
      <c r="M799">
        <v>560</v>
      </c>
      <c r="N799">
        <v>23</v>
      </c>
      <c r="O799" s="14">
        <f t="shared" si="28"/>
        <v>0.98245614035087714</v>
      </c>
    </row>
    <row r="800" spans="1:15" x14ac:dyDescent="0.3">
      <c r="A800" s="15" t="s">
        <v>41</v>
      </c>
      <c r="B800" s="12" t="s">
        <v>30</v>
      </c>
      <c r="C800" s="12" t="s">
        <v>33</v>
      </c>
      <c r="D800" s="6">
        <f t="shared" si="29"/>
        <v>21</v>
      </c>
      <c r="E800">
        <v>45</v>
      </c>
      <c r="F800" s="6">
        <f>VLOOKUP($E800,Sheet3!$B$3:$D$54,2,0)</f>
        <v>11</v>
      </c>
      <c r="G800" s="6">
        <f>VLOOKUP($E800,Sheet3!$B$3:$G$54,3,0)</f>
        <v>0</v>
      </c>
      <c r="H800" s="5">
        <f>VLOOKUP($A800,Sheet3!$I$3:$J$38,2,0)</f>
        <v>10.1</v>
      </c>
      <c r="I800" s="6">
        <f>VLOOKUP($E800,Sheet3!$B$3:$G$54,5,0)</f>
        <v>124251</v>
      </c>
      <c r="J800" s="5">
        <f>VLOOKUP($E800,Sheet3!$B$3:$G$54,4,0)</f>
        <v>3.65</v>
      </c>
      <c r="K800" s="5">
        <f>VLOOKUP($E800,Sheet3!$B$3:$G$54,6,0)</f>
        <v>1.3</v>
      </c>
      <c r="L800">
        <v>570</v>
      </c>
      <c r="M800">
        <v>560</v>
      </c>
      <c r="N800">
        <v>24</v>
      </c>
      <c r="O800" s="14">
        <f t="shared" si="28"/>
        <v>0.98245614035087714</v>
      </c>
    </row>
    <row r="801" spans="1:15" x14ac:dyDescent="0.3">
      <c r="A801" s="15" t="s">
        <v>41</v>
      </c>
      <c r="B801" s="12" t="s">
        <v>30</v>
      </c>
      <c r="C801" s="12" t="s">
        <v>33</v>
      </c>
      <c r="D801" s="6">
        <f t="shared" si="29"/>
        <v>21</v>
      </c>
      <c r="E801">
        <v>46</v>
      </c>
      <c r="F801" s="6">
        <f>VLOOKUP($E801,Sheet3!$B$3:$D$54,2,0)</f>
        <v>11</v>
      </c>
      <c r="G801" s="6">
        <f>VLOOKUP($E801,Sheet3!$B$3:$G$54,3,0)</f>
        <v>0</v>
      </c>
      <c r="H801" s="5">
        <f>VLOOKUP($A801,Sheet3!$I$3:$J$38,2,0)</f>
        <v>10.1</v>
      </c>
      <c r="I801" s="6">
        <f>VLOOKUP($E801,Sheet3!$B$3:$G$54,5,0)</f>
        <v>124251</v>
      </c>
      <c r="J801" s="5">
        <f>VLOOKUP($E801,Sheet3!$B$3:$G$54,4,0)</f>
        <v>3.65</v>
      </c>
      <c r="K801" s="5">
        <f>VLOOKUP($E801,Sheet3!$B$3:$G$54,6,0)</f>
        <v>1.3</v>
      </c>
      <c r="L801">
        <v>570</v>
      </c>
      <c r="M801">
        <v>1320</v>
      </c>
      <c r="N801">
        <v>25</v>
      </c>
      <c r="O801" s="14">
        <f t="shared" si="28"/>
        <v>2.3157894736842106</v>
      </c>
    </row>
    <row r="802" spans="1:15" x14ac:dyDescent="0.3">
      <c r="A802" s="15" t="s">
        <v>41</v>
      </c>
      <c r="B802" s="12" t="s">
        <v>30</v>
      </c>
      <c r="C802" s="12" t="s">
        <v>33</v>
      </c>
      <c r="D802" s="6">
        <f t="shared" si="29"/>
        <v>21</v>
      </c>
      <c r="E802">
        <v>47</v>
      </c>
      <c r="F802" s="6">
        <f>VLOOKUP($E802,Sheet3!$B$3:$D$54,2,0)</f>
        <v>11</v>
      </c>
      <c r="G802" s="6">
        <f>VLOOKUP($E802,Sheet3!$B$3:$G$54,3,0)</f>
        <v>0</v>
      </c>
      <c r="H802" s="5">
        <f>VLOOKUP($A802,Sheet3!$I$3:$J$38,2,0)</f>
        <v>10.1</v>
      </c>
      <c r="I802" s="6">
        <f>VLOOKUP($E802,Sheet3!$B$3:$G$54,5,0)</f>
        <v>124251</v>
      </c>
      <c r="J802" s="5">
        <f>VLOOKUP($E802,Sheet3!$B$3:$G$54,4,0)</f>
        <v>3.65</v>
      </c>
      <c r="K802" s="5">
        <f>VLOOKUP($E802,Sheet3!$B$3:$G$54,6,0)</f>
        <v>1.3</v>
      </c>
      <c r="L802">
        <v>570</v>
      </c>
      <c r="M802">
        <v>880</v>
      </c>
      <c r="N802">
        <v>26</v>
      </c>
      <c r="O802" s="14">
        <f t="shared" si="28"/>
        <v>1.5438596491228069</v>
      </c>
    </row>
    <row r="803" spans="1:15" x14ac:dyDescent="0.3">
      <c r="A803" s="15" t="s">
        <v>41</v>
      </c>
      <c r="B803" s="12" t="s">
        <v>30</v>
      </c>
      <c r="C803" s="12" t="s">
        <v>33</v>
      </c>
      <c r="D803" s="6">
        <f t="shared" si="29"/>
        <v>26</v>
      </c>
      <c r="E803">
        <v>48</v>
      </c>
      <c r="F803" s="6">
        <f>VLOOKUP($E803,Sheet3!$B$3:$D$54,2,0)</f>
        <v>11</v>
      </c>
      <c r="G803" s="6">
        <f>VLOOKUP($E803,Sheet3!$B$3:$G$54,3,0)</f>
        <v>0</v>
      </c>
      <c r="H803" s="5">
        <f>VLOOKUP($A803,Sheet3!$I$3:$J$38,2,0)</f>
        <v>10.1</v>
      </c>
      <c r="I803" s="6">
        <f>VLOOKUP($E803,Sheet3!$B$3:$G$54,5,0)</f>
        <v>124251</v>
      </c>
      <c r="J803" s="5">
        <f>VLOOKUP($E803,Sheet3!$B$3:$G$54,4,0)</f>
        <v>3.65</v>
      </c>
      <c r="K803" s="5">
        <f>VLOOKUP($E803,Sheet3!$B$3:$G$54,6,0)</f>
        <v>1.3</v>
      </c>
      <c r="L803">
        <v>144</v>
      </c>
      <c r="M803">
        <v>0</v>
      </c>
      <c r="N803">
        <v>22</v>
      </c>
      <c r="O803" s="14">
        <f t="shared" si="28"/>
        <v>0</v>
      </c>
    </row>
    <row r="804" spans="1:15" x14ac:dyDescent="0.3">
      <c r="A804" s="15" t="s">
        <v>41</v>
      </c>
      <c r="B804" s="12" t="s">
        <v>30</v>
      </c>
      <c r="C804" s="12" t="s">
        <v>33</v>
      </c>
      <c r="D804" s="6">
        <f t="shared" si="29"/>
        <v>26</v>
      </c>
      <c r="E804">
        <v>49</v>
      </c>
      <c r="F804" s="6">
        <f>VLOOKUP($E804,Sheet3!$B$3:$D$54,2,0)</f>
        <v>12</v>
      </c>
      <c r="G804" s="6">
        <f>VLOOKUP($E804,Sheet3!$B$3:$G$54,3,0)</f>
        <v>1</v>
      </c>
      <c r="H804" s="5">
        <f>VLOOKUP($A804,Sheet3!$I$3:$J$38,2,0)</f>
        <v>10.1</v>
      </c>
      <c r="I804" s="6">
        <f>VLOOKUP($E804,Sheet3!$B$3:$G$54,5,0)</f>
        <v>105715</v>
      </c>
      <c r="J804" s="5">
        <f>VLOOKUP($E804,Sheet3!$B$3:$G$54,4,0)</f>
        <v>3.65</v>
      </c>
      <c r="K804" s="5">
        <f>VLOOKUP($E804,Sheet3!$B$3:$G$54,6,0)</f>
        <v>1.3</v>
      </c>
      <c r="L804">
        <v>144</v>
      </c>
      <c r="M804">
        <v>520</v>
      </c>
      <c r="N804">
        <v>23</v>
      </c>
      <c r="O804" s="14">
        <f t="shared" si="28"/>
        <v>3.6111111111111112</v>
      </c>
    </row>
    <row r="805" spans="1:15" x14ac:dyDescent="0.3">
      <c r="A805" s="15" t="s">
        <v>41</v>
      </c>
      <c r="B805" s="12" t="s">
        <v>30</v>
      </c>
      <c r="C805" s="12" t="s">
        <v>33</v>
      </c>
      <c r="D805" s="6">
        <f t="shared" si="29"/>
        <v>25</v>
      </c>
      <c r="E805">
        <v>50</v>
      </c>
      <c r="F805" s="6">
        <f>VLOOKUP($E805,Sheet3!$B$3:$D$54,2,0)</f>
        <v>12</v>
      </c>
      <c r="G805" s="6">
        <f>VLOOKUP($E805,Sheet3!$B$3:$G$54,3,0)</f>
        <v>0</v>
      </c>
      <c r="H805" s="5">
        <f>VLOOKUP($A805,Sheet3!$I$3:$J$38,2,0)</f>
        <v>10.1</v>
      </c>
      <c r="I805" s="6">
        <f>VLOOKUP($E805,Sheet3!$B$3:$G$54,5,0)</f>
        <v>105715</v>
      </c>
      <c r="J805" s="5">
        <f>VLOOKUP($E805,Sheet3!$B$3:$G$54,4,0)</f>
        <v>3.4</v>
      </c>
      <c r="K805" s="5">
        <f>VLOOKUP($E805,Sheet3!$B$3:$G$54,6,0)</f>
        <v>1.3</v>
      </c>
      <c r="L805">
        <v>144</v>
      </c>
      <c r="M805">
        <v>1320</v>
      </c>
      <c r="N805">
        <v>25</v>
      </c>
      <c r="O805" s="14">
        <f t="shared" si="28"/>
        <v>9.1666666666666661</v>
      </c>
    </row>
    <row r="806" spans="1:15" x14ac:dyDescent="0.3">
      <c r="A806" s="15" t="s">
        <v>41</v>
      </c>
      <c r="B806" s="12" t="s">
        <v>30</v>
      </c>
      <c r="C806" s="12" t="s">
        <v>33</v>
      </c>
      <c r="D806" s="6">
        <f t="shared" si="29"/>
        <v>26</v>
      </c>
      <c r="E806">
        <v>51</v>
      </c>
      <c r="F806" s="6">
        <f>VLOOKUP($E806,Sheet3!$B$3:$D$54,2,0)</f>
        <v>12</v>
      </c>
      <c r="G806" s="6">
        <f>VLOOKUP($E806,Sheet3!$B$3:$G$54,3,0)</f>
        <v>0</v>
      </c>
      <c r="H806" s="5">
        <f>VLOOKUP($A806,Sheet3!$I$3:$J$38,2,0)</f>
        <v>10.1</v>
      </c>
      <c r="I806" s="6">
        <f>VLOOKUP($E806,Sheet3!$B$3:$G$54,5,0)</f>
        <v>105715</v>
      </c>
      <c r="J806" s="5">
        <f>VLOOKUP($E806,Sheet3!$B$3:$G$54,4,0)</f>
        <v>3.4</v>
      </c>
      <c r="K806" s="5">
        <f>VLOOKUP($E806,Sheet3!$B$3:$G$54,6,0)</f>
        <v>1.3</v>
      </c>
      <c r="L806">
        <v>144</v>
      </c>
      <c r="M806">
        <v>0</v>
      </c>
      <c r="N806">
        <v>25</v>
      </c>
      <c r="O806" s="14">
        <f t="shared" si="28"/>
        <v>0</v>
      </c>
    </row>
    <row r="807" spans="1:15" x14ac:dyDescent="0.3">
      <c r="A807" s="15" t="s">
        <v>41</v>
      </c>
      <c r="B807" s="12" t="s">
        <v>30</v>
      </c>
      <c r="C807" s="12" t="s">
        <v>33</v>
      </c>
      <c r="D807" s="6">
        <f t="shared" si="29"/>
        <v>27</v>
      </c>
      <c r="E807">
        <v>52</v>
      </c>
      <c r="F807" s="6">
        <f>VLOOKUP($E807,Sheet3!$B$3:$D$54,2,0)</f>
        <v>12</v>
      </c>
      <c r="G807" s="6">
        <f>VLOOKUP($E807,Sheet3!$B$3:$G$54,3,0)</f>
        <v>1</v>
      </c>
      <c r="H807" s="5">
        <f>VLOOKUP($A807,Sheet3!$I$3:$J$38,2,0)</f>
        <v>10.1</v>
      </c>
      <c r="I807" s="6">
        <f>VLOOKUP($E807,Sheet3!$B$3:$G$54,5,0)</f>
        <v>105715</v>
      </c>
      <c r="J807" s="5">
        <f>VLOOKUP($E807,Sheet3!$B$3:$G$54,4,0)</f>
        <v>3.4</v>
      </c>
      <c r="K807" s="5">
        <f>VLOOKUP($E807,Sheet3!$B$3:$G$54,6,0)</f>
        <v>1.3</v>
      </c>
      <c r="L807">
        <v>144</v>
      </c>
      <c r="M807">
        <v>0</v>
      </c>
      <c r="N807">
        <v>25</v>
      </c>
      <c r="O807" s="14">
        <f t="shared" si="28"/>
        <v>0</v>
      </c>
    </row>
    <row r="808" spans="1:15" x14ac:dyDescent="0.3">
      <c r="A808" s="15" t="s">
        <v>41</v>
      </c>
      <c r="B808" s="12" t="s">
        <v>30</v>
      </c>
      <c r="C808" s="12" t="s">
        <v>33</v>
      </c>
      <c r="D808" s="6">
        <f t="shared" si="29"/>
        <v>28</v>
      </c>
      <c r="E808">
        <v>1</v>
      </c>
      <c r="F808" s="6">
        <f>VLOOKUP($E808,Sheet3!$B$3:$D$54,2,0)</f>
        <v>12</v>
      </c>
      <c r="G808" s="6">
        <f>VLOOKUP($E808,Sheet3!$B$3:$G$54,3,0)</f>
        <v>1</v>
      </c>
      <c r="H808" s="5">
        <f>VLOOKUP($A808,Sheet3!$I$3:$J$38,2,0)</f>
        <v>10.1</v>
      </c>
      <c r="I808" s="6">
        <f>VLOOKUP($E808,Sheet3!$B$3:$G$54,5,0)</f>
        <v>105715</v>
      </c>
      <c r="J808" s="5">
        <f>VLOOKUP($E808,Sheet3!$B$3:$G$54,4,0)</f>
        <v>3.4</v>
      </c>
      <c r="K808" s="5">
        <f>VLOOKUP($E808,Sheet3!$B$3:$G$54,6,0)</f>
        <v>1.3</v>
      </c>
      <c r="L808">
        <v>280</v>
      </c>
      <c r="M808">
        <v>1240</v>
      </c>
      <c r="N808">
        <v>25</v>
      </c>
      <c r="O808" s="14">
        <f t="shared" si="28"/>
        <v>4.4285714285714288</v>
      </c>
    </row>
    <row r="809" spans="1:15" x14ac:dyDescent="0.3">
      <c r="A809" s="15" t="s">
        <v>41</v>
      </c>
      <c r="B809" s="12" t="s">
        <v>30</v>
      </c>
      <c r="C809" s="12" t="s">
        <v>33</v>
      </c>
      <c r="D809" s="6">
        <f t="shared" si="29"/>
        <v>28</v>
      </c>
      <c r="E809">
        <v>2</v>
      </c>
      <c r="F809" s="6">
        <f>VLOOKUP($E809,Sheet3!$B$3:$D$54,2,0)</f>
        <v>1</v>
      </c>
      <c r="G809" s="6">
        <f>VLOOKUP($E809,Sheet3!$B$3:$G$54,3,0)</f>
        <v>1</v>
      </c>
      <c r="H809" s="5">
        <f>VLOOKUP($A809,Sheet3!$I$3:$J$38,2,0)</f>
        <v>10.1</v>
      </c>
      <c r="I809" s="6">
        <f>VLOOKUP($E809,Sheet3!$B$3:$G$54,5,0)</f>
        <v>133692</v>
      </c>
      <c r="J809" s="5">
        <f>VLOOKUP($E809,Sheet3!$B$3:$G$54,4,0)</f>
        <v>3.4</v>
      </c>
      <c r="K809" s="5">
        <f>VLOOKUP($E809,Sheet3!$B$3:$G$54,6,0)</f>
        <v>1.5</v>
      </c>
      <c r="L809">
        <v>280</v>
      </c>
      <c r="M809">
        <v>960</v>
      </c>
      <c r="N809">
        <v>26</v>
      </c>
      <c r="O809" s="14">
        <f t="shared" si="28"/>
        <v>3.4285714285714284</v>
      </c>
    </row>
    <row r="810" spans="1:15" x14ac:dyDescent="0.3">
      <c r="A810" s="15" t="s">
        <v>41</v>
      </c>
      <c r="B810" s="12" t="s">
        <v>30</v>
      </c>
      <c r="C810" s="12" t="s">
        <v>33</v>
      </c>
      <c r="D810" s="6">
        <f t="shared" si="29"/>
        <v>29</v>
      </c>
      <c r="E810">
        <v>3</v>
      </c>
      <c r="F810" s="6">
        <f>VLOOKUP($E810,Sheet3!$B$3:$D$54,2,0)</f>
        <v>1</v>
      </c>
      <c r="G810" s="6">
        <f>VLOOKUP($E810,Sheet3!$B$3:$G$54,3,0)</f>
        <v>0</v>
      </c>
      <c r="H810" s="5">
        <f>VLOOKUP($A810,Sheet3!$I$3:$J$38,2,0)</f>
        <v>10.1</v>
      </c>
      <c r="I810" s="6">
        <f>VLOOKUP($E810,Sheet3!$B$3:$G$54,5,0)</f>
        <v>133692</v>
      </c>
      <c r="J810" s="5">
        <f>VLOOKUP($E810,Sheet3!$B$3:$G$54,4,0)</f>
        <v>3.4</v>
      </c>
      <c r="K810" s="5">
        <f>VLOOKUP($E810,Sheet3!$B$3:$G$54,6,0)</f>
        <v>1.5</v>
      </c>
      <c r="L810">
        <v>280</v>
      </c>
      <c r="M810">
        <v>1320</v>
      </c>
      <c r="N810">
        <v>26</v>
      </c>
      <c r="O810" s="14">
        <f t="shared" si="28"/>
        <v>4.7142857142857144</v>
      </c>
    </row>
    <row r="811" spans="1:15" x14ac:dyDescent="0.3">
      <c r="A811" s="15" t="s">
        <v>41</v>
      </c>
      <c r="B811" s="12" t="s">
        <v>30</v>
      </c>
      <c r="C811" s="12" t="s">
        <v>33</v>
      </c>
      <c r="D811" s="6">
        <f t="shared" si="29"/>
        <v>29</v>
      </c>
      <c r="E811">
        <v>4</v>
      </c>
      <c r="F811" s="6">
        <f>VLOOKUP($E811,Sheet3!$B$3:$D$54,2,0)</f>
        <v>1</v>
      </c>
      <c r="G811" s="6">
        <f>VLOOKUP($E811,Sheet3!$B$3:$G$54,3,0)</f>
        <v>0</v>
      </c>
      <c r="H811" s="5">
        <f>VLOOKUP($A811,Sheet3!$I$3:$J$38,2,0)</f>
        <v>10.1</v>
      </c>
      <c r="I811" s="6">
        <f>VLOOKUP($E811,Sheet3!$B$3:$G$54,5,0)</f>
        <v>133692</v>
      </c>
      <c r="J811" s="5">
        <f>VLOOKUP($E811,Sheet3!$B$3:$G$54,4,0)</f>
        <v>3.4</v>
      </c>
      <c r="K811" s="5">
        <f>VLOOKUP($E811,Sheet3!$B$3:$G$54,6,0)</f>
        <v>1.5</v>
      </c>
      <c r="L811">
        <v>280</v>
      </c>
      <c r="M811">
        <v>160</v>
      </c>
      <c r="N811">
        <v>27</v>
      </c>
      <c r="O811" s="14">
        <f t="shared" si="28"/>
        <v>0.5714285714285714</v>
      </c>
    </row>
    <row r="812" spans="1:15" x14ac:dyDescent="0.3">
      <c r="A812" s="15" t="s">
        <v>41</v>
      </c>
      <c r="B812" s="12" t="s">
        <v>30</v>
      </c>
      <c r="C812" s="12" t="s">
        <v>33</v>
      </c>
      <c r="D812" s="6">
        <f t="shared" si="29"/>
        <v>37</v>
      </c>
      <c r="E812">
        <v>5</v>
      </c>
      <c r="F812" s="6">
        <f>VLOOKUP($E812,Sheet3!$B$3:$D$54,2,0)</f>
        <v>1</v>
      </c>
      <c r="G812" s="6">
        <f>VLOOKUP($E812,Sheet3!$B$3:$G$54,3,0)</f>
        <v>0</v>
      </c>
      <c r="H812" s="5">
        <f>VLOOKUP($A812,Sheet3!$I$3:$J$38,2,0)</f>
        <v>10.1</v>
      </c>
      <c r="I812" s="6">
        <f>VLOOKUP($E812,Sheet3!$B$3:$G$54,5,0)</f>
        <v>133692</v>
      </c>
      <c r="J812" s="5">
        <f>VLOOKUP($E812,Sheet3!$B$3:$G$54,4,0)</f>
        <v>3.4</v>
      </c>
      <c r="K812" s="5">
        <f>VLOOKUP($E812,Sheet3!$B$3:$G$54,6,0)</f>
        <v>1.5</v>
      </c>
      <c r="L812">
        <v>380</v>
      </c>
      <c r="M812">
        <v>1640</v>
      </c>
      <c r="N812">
        <v>20</v>
      </c>
      <c r="O812" s="14">
        <f t="shared" si="28"/>
        <v>4.3157894736842106</v>
      </c>
    </row>
    <row r="813" spans="1:15" x14ac:dyDescent="0.3">
      <c r="A813" s="15" t="s">
        <v>41</v>
      </c>
      <c r="B813" s="12" t="s">
        <v>30</v>
      </c>
      <c r="C813" s="12" t="s">
        <v>33</v>
      </c>
      <c r="D813" s="6">
        <f t="shared" si="29"/>
        <v>37</v>
      </c>
      <c r="E813">
        <v>6</v>
      </c>
      <c r="F813" s="6">
        <f>VLOOKUP($E813,Sheet3!$B$3:$D$54,2,0)</f>
        <v>2</v>
      </c>
      <c r="G813" s="6">
        <f>VLOOKUP($E813,Sheet3!$B$3:$G$54,3,0)</f>
        <v>0</v>
      </c>
      <c r="H813" s="5">
        <f>VLOOKUP($A813,Sheet3!$I$3:$J$38,2,0)</f>
        <v>10.1</v>
      </c>
      <c r="I813" s="6">
        <f>VLOOKUP($E813,Sheet3!$B$3:$G$54,5,0)</f>
        <v>137922</v>
      </c>
      <c r="J813" s="5">
        <f>VLOOKUP($E813,Sheet3!$B$3:$G$54,4,0)</f>
        <v>3.15</v>
      </c>
      <c r="K813" s="5">
        <f>VLOOKUP($E813,Sheet3!$B$3:$G$54,6,0)</f>
        <v>1.6</v>
      </c>
      <c r="L813">
        <v>380</v>
      </c>
      <c r="M813">
        <v>0</v>
      </c>
      <c r="N813">
        <v>21</v>
      </c>
      <c r="O813" s="14">
        <f t="shared" si="28"/>
        <v>0</v>
      </c>
    </row>
    <row r="814" spans="1:15" x14ac:dyDescent="0.3">
      <c r="A814" s="15" t="s">
        <v>41</v>
      </c>
      <c r="B814" s="12" t="s">
        <v>30</v>
      </c>
      <c r="C814" s="12" t="s">
        <v>33</v>
      </c>
      <c r="D814" s="6">
        <f t="shared" si="29"/>
        <v>37</v>
      </c>
      <c r="E814">
        <v>7</v>
      </c>
      <c r="F814" s="6">
        <f>VLOOKUP($E814,Sheet3!$B$3:$D$54,2,0)</f>
        <v>2</v>
      </c>
      <c r="G814" s="6">
        <f>VLOOKUP($E814,Sheet3!$B$3:$G$54,3,0)</f>
        <v>0</v>
      </c>
      <c r="H814" s="5">
        <f>VLOOKUP($A814,Sheet3!$I$3:$J$38,2,0)</f>
        <v>10.1</v>
      </c>
      <c r="I814" s="6">
        <f>VLOOKUP($E814,Sheet3!$B$3:$G$54,5,0)</f>
        <v>137922</v>
      </c>
      <c r="J814" s="5">
        <f>VLOOKUP($E814,Sheet3!$B$3:$G$54,4,0)</f>
        <v>3.15</v>
      </c>
      <c r="K814" s="5">
        <f>VLOOKUP($E814,Sheet3!$B$3:$G$54,6,0)</f>
        <v>1.6</v>
      </c>
      <c r="L814">
        <v>380</v>
      </c>
      <c r="M814">
        <v>80</v>
      </c>
      <c r="N814">
        <v>22</v>
      </c>
      <c r="O814" s="14">
        <f t="shared" si="28"/>
        <v>0.21052631578947367</v>
      </c>
    </row>
    <row r="815" spans="1:15" x14ac:dyDescent="0.3">
      <c r="A815" s="15" t="s">
        <v>41</v>
      </c>
      <c r="B815" s="12" t="s">
        <v>30</v>
      </c>
      <c r="C815" s="12" t="s">
        <v>33</v>
      </c>
      <c r="D815" s="6">
        <f t="shared" si="29"/>
        <v>37</v>
      </c>
      <c r="E815">
        <v>8</v>
      </c>
      <c r="F815" s="6">
        <f>VLOOKUP($E815,Sheet3!$B$3:$D$54,2,0)</f>
        <v>2</v>
      </c>
      <c r="G815" s="6">
        <f>VLOOKUP($E815,Sheet3!$B$3:$G$54,3,0)</f>
        <v>0</v>
      </c>
      <c r="H815" s="5">
        <f>VLOOKUP($A815,Sheet3!$I$3:$J$38,2,0)</f>
        <v>10.1</v>
      </c>
      <c r="I815" s="6">
        <f>VLOOKUP($E815,Sheet3!$B$3:$G$54,5,0)</f>
        <v>137922</v>
      </c>
      <c r="J815" s="5">
        <f>VLOOKUP($E815,Sheet3!$B$3:$G$54,4,0)</f>
        <v>3.15</v>
      </c>
      <c r="K815" s="5">
        <f>VLOOKUP($E815,Sheet3!$B$3:$G$54,6,0)</f>
        <v>1.6</v>
      </c>
      <c r="L815">
        <v>380</v>
      </c>
      <c r="M815">
        <v>80</v>
      </c>
      <c r="N815">
        <v>23</v>
      </c>
      <c r="O815" s="14">
        <f t="shared" si="28"/>
        <v>0.21052631578947367</v>
      </c>
    </row>
    <row r="816" spans="1:15" x14ac:dyDescent="0.3">
      <c r="A816" s="15" t="s">
        <v>41</v>
      </c>
      <c r="B816" s="12" t="s">
        <v>30</v>
      </c>
      <c r="C816" s="12" t="s">
        <v>33</v>
      </c>
      <c r="D816" s="6">
        <f t="shared" si="29"/>
        <v>38</v>
      </c>
      <c r="E816">
        <v>9</v>
      </c>
      <c r="F816" s="6">
        <f>VLOOKUP($E816,Sheet3!$B$3:$D$54,2,0)</f>
        <v>2</v>
      </c>
      <c r="G816" s="6">
        <f>VLOOKUP($E816,Sheet3!$B$3:$G$54,3,0)</f>
        <v>0</v>
      </c>
      <c r="H816" s="5">
        <f>VLOOKUP($A816,Sheet3!$I$3:$J$38,2,0)</f>
        <v>10.1</v>
      </c>
      <c r="I816" s="6">
        <f>VLOOKUP($E816,Sheet3!$B$3:$G$54,5,0)</f>
        <v>137922</v>
      </c>
      <c r="J816" s="5">
        <f>VLOOKUP($E816,Sheet3!$B$3:$G$54,4,0)</f>
        <v>3.15</v>
      </c>
      <c r="K816" s="5">
        <f>VLOOKUP($E816,Sheet3!$B$3:$G$54,6,0)</f>
        <v>1.6</v>
      </c>
      <c r="L816">
        <v>320</v>
      </c>
      <c r="M816">
        <v>480</v>
      </c>
      <c r="N816">
        <v>23</v>
      </c>
      <c r="O816" s="14">
        <f t="shared" si="28"/>
        <v>1.5</v>
      </c>
    </row>
    <row r="817" spans="1:15" x14ac:dyDescent="0.3">
      <c r="A817" s="15" t="s">
        <v>41</v>
      </c>
      <c r="B817" s="12" t="s">
        <v>30</v>
      </c>
      <c r="C817" s="12" t="s">
        <v>33</v>
      </c>
      <c r="D817" s="6">
        <f t="shared" si="29"/>
        <v>38</v>
      </c>
      <c r="E817">
        <v>10</v>
      </c>
      <c r="F817" s="6">
        <f>VLOOKUP($E817,Sheet3!$B$3:$D$54,2,0)</f>
        <v>3</v>
      </c>
      <c r="G817" s="6">
        <f>VLOOKUP($E817,Sheet3!$B$3:$G$54,3,0)</f>
        <v>0</v>
      </c>
      <c r="H817" s="5">
        <f>VLOOKUP($A817,Sheet3!$I$3:$J$38,2,0)</f>
        <v>10.1</v>
      </c>
      <c r="I817" s="6">
        <f>VLOOKUP($E817,Sheet3!$B$3:$G$54,5,0)</f>
        <v>172223</v>
      </c>
      <c r="J817" s="5">
        <f>VLOOKUP($E817,Sheet3!$B$3:$G$54,4,0)</f>
        <v>3.15</v>
      </c>
      <c r="K817" s="5">
        <f>VLOOKUP($E817,Sheet3!$B$3:$G$54,6,0)</f>
        <v>1.9</v>
      </c>
      <c r="L817">
        <v>320</v>
      </c>
      <c r="M817">
        <v>1040</v>
      </c>
      <c r="N817">
        <v>24</v>
      </c>
      <c r="O817" s="14">
        <f t="shared" si="28"/>
        <v>3.25</v>
      </c>
    </row>
    <row r="818" spans="1:15" x14ac:dyDescent="0.3">
      <c r="A818" s="15" t="s">
        <v>41</v>
      </c>
      <c r="B818" s="12" t="s">
        <v>30</v>
      </c>
      <c r="C818" s="12" t="s">
        <v>33</v>
      </c>
      <c r="D818" s="6">
        <f t="shared" si="29"/>
        <v>38</v>
      </c>
      <c r="E818">
        <v>11</v>
      </c>
      <c r="F818" s="6">
        <f>VLOOKUP($E818,Sheet3!$B$3:$D$54,2,0)</f>
        <v>3</v>
      </c>
      <c r="G818" s="6">
        <f>VLOOKUP($E818,Sheet3!$B$3:$G$54,3,0)</f>
        <v>0</v>
      </c>
      <c r="H818" s="5">
        <f>VLOOKUP($A818,Sheet3!$I$3:$J$38,2,0)</f>
        <v>10.1</v>
      </c>
      <c r="I818" s="6">
        <f>VLOOKUP($E818,Sheet3!$B$3:$G$54,5,0)</f>
        <v>172223</v>
      </c>
      <c r="J818" s="5">
        <f>VLOOKUP($E818,Sheet3!$B$3:$G$54,4,0)</f>
        <v>2.9</v>
      </c>
      <c r="K818" s="5">
        <f>VLOOKUP($E818,Sheet3!$B$3:$G$54,6,0)</f>
        <v>1.9</v>
      </c>
      <c r="L818">
        <v>320</v>
      </c>
      <c r="M818">
        <v>160</v>
      </c>
      <c r="N818">
        <v>25</v>
      </c>
      <c r="O818" s="14">
        <f t="shared" si="28"/>
        <v>0.5</v>
      </c>
    </row>
    <row r="819" spans="1:15" x14ac:dyDescent="0.3">
      <c r="A819" s="15" t="s">
        <v>41</v>
      </c>
      <c r="B819" s="12" t="s">
        <v>30</v>
      </c>
      <c r="C819" s="12" t="s">
        <v>33</v>
      </c>
      <c r="D819" s="6">
        <f t="shared" si="29"/>
        <v>39</v>
      </c>
      <c r="E819">
        <v>12</v>
      </c>
      <c r="F819" s="6">
        <f>VLOOKUP($E819,Sheet3!$B$3:$D$54,2,0)</f>
        <v>3</v>
      </c>
      <c r="G819" s="6">
        <f>VLOOKUP($E819,Sheet3!$B$3:$G$54,3,0)</f>
        <v>0</v>
      </c>
      <c r="H819" s="5">
        <f>VLOOKUP($A819,Sheet3!$I$3:$J$38,2,0)</f>
        <v>10.1</v>
      </c>
      <c r="I819" s="6">
        <f>VLOOKUP($E819,Sheet3!$B$3:$G$54,5,0)</f>
        <v>172223</v>
      </c>
      <c r="J819" s="5">
        <f>VLOOKUP($E819,Sheet3!$B$3:$G$54,4,0)</f>
        <v>2.9</v>
      </c>
      <c r="K819" s="5">
        <f>VLOOKUP($E819,Sheet3!$B$3:$G$54,6,0)</f>
        <v>1.9</v>
      </c>
      <c r="L819">
        <v>320</v>
      </c>
      <c r="M819">
        <v>680</v>
      </c>
      <c r="N819">
        <v>25</v>
      </c>
      <c r="O819" s="14">
        <f t="shared" ref="O819:O881" si="30">M819/L819</f>
        <v>2.125</v>
      </c>
    </row>
    <row r="820" spans="1:15" x14ac:dyDescent="0.3">
      <c r="A820" s="15" t="s">
        <v>41</v>
      </c>
      <c r="B820" s="12" t="s">
        <v>30</v>
      </c>
      <c r="C820" s="12" t="s">
        <v>33</v>
      </c>
      <c r="D820" s="6">
        <f t="shared" si="29"/>
        <v>44</v>
      </c>
      <c r="E820">
        <v>13</v>
      </c>
      <c r="F820" s="6">
        <f>VLOOKUP($E820,Sheet3!$B$3:$D$54,2,0)</f>
        <v>3</v>
      </c>
      <c r="G820" s="6">
        <f>VLOOKUP($E820,Sheet3!$B$3:$G$54,3,0)</f>
        <v>0</v>
      </c>
      <c r="H820" s="5">
        <f>VLOOKUP($A820,Sheet3!$I$3:$J$38,2,0)</f>
        <v>10.1</v>
      </c>
      <c r="I820" s="6">
        <f>VLOOKUP($E820,Sheet3!$B$3:$G$54,5,0)</f>
        <v>172223</v>
      </c>
      <c r="J820" s="5">
        <f>VLOOKUP($E820,Sheet3!$B$3:$G$54,4,0)</f>
        <v>2.9</v>
      </c>
      <c r="K820" s="5">
        <f>VLOOKUP($E820,Sheet3!$B$3:$G$54,6,0)</f>
        <v>1.9</v>
      </c>
      <c r="L820">
        <v>510</v>
      </c>
      <c r="M820">
        <v>640</v>
      </c>
      <c r="N820">
        <v>21</v>
      </c>
      <c r="O820" s="14">
        <f t="shared" si="30"/>
        <v>1.2549019607843137</v>
      </c>
    </row>
    <row r="821" spans="1:15" x14ac:dyDescent="0.3">
      <c r="A821" s="15" t="s">
        <v>41</v>
      </c>
      <c r="B821" s="12" t="s">
        <v>30</v>
      </c>
      <c r="C821" s="12" t="s">
        <v>33</v>
      </c>
      <c r="D821" s="6">
        <f t="shared" si="29"/>
        <v>45</v>
      </c>
      <c r="E821">
        <v>14</v>
      </c>
      <c r="F821" s="6">
        <f>VLOOKUP($E821,Sheet3!$B$3:$D$54,2,0)</f>
        <v>3</v>
      </c>
      <c r="G821" s="6">
        <f>VLOOKUP($E821,Sheet3!$B$3:$G$54,3,0)</f>
        <v>0</v>
      </c>
      <c r="H821" s="5">
        <f>VLOOKUP($A821,Sheet3!$I$3:$J$38,2,0)</f>
        <v>10.1</v>
      </c>
      <c r="I821" s="6">
        <f>VLOOKUP($E821,Sheet3!$B$3:$G$54,5,0)</f>
        <v>172223</v>
      </c>
      <c r="J821" s="5">
        <f>VLOOKUP($E821,Sheet3!$B$3:$G$54,4,0)</f>
        <v>2.9</v>
      </c>
      <c r="K821" s="5">
        <f>VLOOKUP($E821,Sheet3!$B$3:$G$54,6,0)</f>
        <v>1.9</v>
      </c>
      <c r="L821">
        <v>510</v>
      </c>
      <c r="M821">
        <v>760</v>
      </c>
      <c r="N821">
        <v>21</v>
      </c>
      <c r="O821" s="14">
        <f t="shared" si="30"/>
        <v>1.4901960784313726</v>
      </c>
    </row>
    <row r="822" spans="1:15" x14ac:dyDescent="0.3">
      <c r="A822" s="15" t="s">
        <v>41</v>
      </c>
      <c r="B822" s="12" t="s">
        <v>30</v>
      </c>
      <c r="C822" s="12" t="s">
        <v>33</v>
      </c>
      <c r="D822" s="6">
        <f t="shared" si="29"/>
        <v>46</v>
      </c>
      <c r="E822">
        <v>15</v>
      </c>
      <c r="F822" s="6">
        <f>VLOOKUP($E822,Sheet3!$B$3:$D$54,2,0)</f>
        <v>4</v>
      </c>
      <c r="G822" s="6">
        <f>VLOOKUP($E822,Sheet3!$B$3:$G$54,3,0)</f>
        <v>0</v>
      </c>
      <c r="H822" s="5">
        <f>VLOOKUP($A822,Sheet3!$I$3:$J$38,2,0)</f>
        <v>10.1</v>
      </c>
      <c r="I822" s="6">
        <f>VLOOKUP($E822,Sheet3!$B$3:$G$54,5,0)</f>
        <v>139084</v>
      </c>
      <c r="J822" s="5">
        <f>VLOOKUP($E822,Sheet3!$B$3:$G$54,4,0)</f>
        <v>2.9</v>
      </c>
      <c r="K822" s="5">
        <f>VLOOKUP($E822,Sheet3!$B$3:$G$54,6,0)</f>
        <v>1.9</v>
      </c>
      <c r="L822">
        <v>510</v>
      </c>
      <c r="M822">
        <v>880</v>
      </c>
      <c r="N822">
        <v>21</v>
      </c>
      <c r="O822" s="14">
        <f t="shared" si="30"/>
        <v>1.7254901960784315</v>
      </c>
    </row>
    <row r="823" spans="1:15" x14ac:dyDescent="0.3">
      <c r="A823" s="15" t="s">
        <v>41</v>
      </c>
      <c r="B823" s="12" t="s">
        <v>30</v>
      </c>
      <c r="C823" s="12" t="s">
        <v>33</v>
      </c>
      <c r="D823" s="6">
        <f t="shared" si="29"/>
        <v>47</v>
      </c>
      <c r="E823">
        <v>16</v>
      </c>
      <c r="F823" s="6">
        <f>VLOOKUP($E823,Sheet3!$B$3:$D$54,2,0)</f>
        <v>4</v>
      </c>
      <c r="G823" s="6">
        <f>VLOOKUP($E823,Sheet3!$B$3:$G$54,3,0)</f>
        <v>0</v>
      </c>
      <c r="H823" s="5">
        <f>VLOOKUP($A823,Sheet3!$I$3:$J$38,2,0)</f>
        <v>10.1</v>
      </c>
      <c r="I823" s="6">
        <f>VLOOKUP($E823,Sheet3!$B$3:$G$54,5,0)</f>
        <v>139084</v>
      </c>
      <c r="J823" s="5">
        <f>VLOOKUP($E823,Sheet3!$B$3:$G$54,4,0)</f>
        <v>2.9</v>
      </c>
      <c r="K823" s="5">
        <f>VLOOKUP($E823,Sheet3!$B$3:$G$54,6,0)</f>
        <v>1.9</v>
      </c>
      <c r="L823">
        <v>510</v>
      </c>
      <c r="M823">
        <v>720</v>
      </c>
      <c r="N823">
        <v>21</v>
      </c>
      <c r="O823" s="14">
        <f t="shared" si="30"/>
        <v>1.411764705882353</v>
      </c>
    </row>
    <row r="824" spans="1:15" x14ac:dyDescent="0.3">
      <c r="A824" s="15" t="s">
        <v>41</v>
      </c>
      <c r="B824" s="12" t="s">
        <v>30</v>
      </c>
      <c r="C824" s="12" t="s">
        <v>33</v>
      </c>
      <c r="D824" s="6">
        <f t="shared" si="29"/>
        <v>1</v>
      </c>
      <c r="E824">
        <v>17</v>
      </c>
      <c r="F824" s="6">
        <f>VLOOKUP($E824,Sheet3!$B$3:$D$54,2,0)</f>
        <v>4</v>
      </c>
      <c r="G824" s="6">
        <f>VLOOKUP($E824,Sheet3!$B$3:$G$54,3,0)</f>
        <v>1</v>
      </c>
      <c r="H824" s="5">
        <f>VLOOKUP($A824,Sheet3!$I$3:$J$38,2,0)</f>
        <v>10.1</v>
      </c>
      <c r="I824" s="6">
        <f>VLOOKUP($E824,Sheet3!$B$3:$G$54,5,0)</f>
        <v>139084</v>
      </c>
      <c r="J824" s="5">
        <f>VLOOKUP($E824,Sheet3!$B$3:$G$54,4,0)</f>
        <v>2.65</v>
      </c>
      <c r="K824" s="5">
        <f>VLOOKUP($E824,Sheet3!$B$3:$G$54,6,0)</f>
        <v>1.9</v>
      </c>
      <c r="L824">
        <v>450</v>
      </c>
      <c r="M824">
        <v>920</v>
      </c>
      <c r="N824">
        <v>16</v>
      </c>
      <c r="O824" s="14">
        <f t="shared" si="30"/>
        <v>2.0444444444444443</v>
      </c>
    </row>
    <row r="825" spans="1:15" x14ac:dyDescent="0.3">
      <c r="A825" s="15" t="s">
        <v>41</v>
      </c>
      <c r="B825" s="12" t="s">
        <v>30</v>
      </c>
      <c r="C825" s="12" t="s">
        <v>33</v>
      </c>
      <c r="D825" s="6">
        <f t="shared" si="29"/>
        <v>1</v>
      </c>
      <c r="E825">
        <v>18</v>
      </c>
      <c r="F825" s="6">
        <f>VLOOKUP($E825,Sheet3!$B$3:$D$54,2,0)</f>
        <v>4</v>
      </c>
      <c r="G825" s="6">
        <f>VLOOKUP($E825,Sheet3!$B$3:$G$54,3,0)</f>
        <v>1</v>
      </c>
      <c r="H825" s="5">
        <f>VLOOKUP($A825,Sheet3!$I$3:$J$38,2,0)</f>
        <v>10.1</v>
      </c>
      <c r="I825" s="6">
        <f>VLOOKUP($E825,Sheet3!$B$3:$G$54,5,0)</f>
        <v>139084</v>
      </c>
      <c r="J825" s="5">
        <f>VLOOKUP($E825,Sheet3!$B$3:$G$54,4,0)</f>
        <v>2.65</v>
      </c>
      <c r="K825" s="5">
        <f>VLOOKUP($E825,Sheet3!$B$3:$G$54,6,0)</f>
        <v>1.9</v>
      </c>
      <c r="L825">
        <v>420</v>
      </c>
      <c r="M825">
        <v>600</v>
      </c>
      <c r="N825">
        <v>17</v>
      </c>
      <c r="O825" s="14">
        <f t="shared" si="30"/>
        <v>1.4285714285714286</v>
      </c>
    </row>
    <row r="826" spans="1:15" x14ac:dyDescent="0.3">
      <c r="A826" s="15" t="s">
        <v>41</v>
      </c>
      <c r="B826" s="12" t="s">
        <v>30</v>
      </c>
      <c r="C826" s="12" t="s">
        <v>33</v>
      </c>
      <c r="D826" s="6">
        <f t="shared" si="29"/>
        <v>2</v>
      </c>
      <c r="E826">
        <v>19</v>
      </c>
      <c r="F826" s="6">
        <f>VLOOKUP($E826,Sheet3!$B$3:$D$54,2,0)</f>
        <v>5</v>
      </c>
      <c r="G826" s="6">
        <f>VLOOKUP($E826,Sheet3!$B$3:$G$54,3,0)</f>
        <v>0</v>
      </c>
      <c r="H826" s="5">
        <f>VLOOKUP($A826,Sheet3!$I$3:$J$38,2,0)</f>
        <v>10.1</v>
      </c>
      <c r="I826" s="6">
        <f>VLOOKUP($E826,Sheet3!$B$3:$G$54,5,0)</f>
        <v>139390</v>
      </c>
      <c r="J826" s="5">
        <f>VLOOKUP($E826,Sheet3!$B$3:$G$54,4,0)</f>
        <v>2.65</v>
      </c>
      <c r="K826" s="5">
        <f>VLOOKUP($E826,Sheet3!$B$3:$G$54,6,0)</f>
        <v>1.6</v>
      </c>
      <c r="L826">
        <v>420</v>
      </c>
      <c r="M826">
        <v>560</v>
      </c>
      <c r="N826">
        <v>17</v>
      </c>
      <c r="O826" s="14">
        <f t="shared" si="30"/>
        <v>1.3333333333333333</v>
      </c>
    </row>
    <row r="827" spans="1:15" x14ac:dyDescent="0.3">
      <c r="A827" s="15" t="s">
        <v>41</v>
      </c>
      <c r="B827" s="12" t="s">
        <v>30</v>
      </c>
      <c r="C827" s="12" t="s">
        <v>33</v>
      </c>
      <c r="D827" s="6">
        <f t="shared" si="29"/>
        <v>2</v>
      </c>
      <c r="E827">
        <v>20</v>
      </c>
      <c r="F827" s="6">
        <f>VLOOKUP($E827,Sheet3!$B$3:$D$54,2,0)</f>
        <v>5</v>
      </c>
      <c r="G827" s="6">
        <f>VLOOKUP($E827,Sheet3!$B$3:$G$54,3,0)</f>
        <v>0</v>
      </c>
      <c r="H827" s="5">
        <f>VLOOKUP($A827,Sheet3!$I$3:$J$38,2,0)</f>
        <v>10.1</v>
      </c>
      <c r="I827" s="6">
        <f>VLOOKUP($E827,Sheet3!$B$3:$G$54,5,0)</f>
        <v>139390</v>
      </c>
      <c r="J827" s="5">
        <f>VLOOKUP($E827,Sheet3!$B$3:$G$54,4,0)</f>
        <v>2.65</v>
      </c>
      <c r="K827" s="5">
        <f>VLOOKUP($E827,Sheet3!$B$3:$G$54,6,0)</f>
        <v>1.6</v>
      </c>
      <c r="L827">
        <v>420</v>
      </c>
      <c r="M827">
        <v>0</v>
      </c>
      <c r="N827">
        <v>18</v>
      </c>
      <c r="O827" s="14">
        <f t="shared" si="30"/>
        <v>0</v>
      </c>
    </row>
    <row r="828" spans="1:15" x14ac:dyDescent="0.3">
      <c r="A828" s="15" t="s">
        <v>41</v>
      </c>
      <c r="B828" s="12" t="s">
        <v>30</v>
      </c>
      <c r="C828" s="12" t="s">
        <v>33</v>
      </c>
      <c r="D828" s="6">
        <f t="shared" si="29"/>
        <v>2</v>
      </c>
      <c r="E828">
        <v>21</v>
      </c>
      <c r="F828" s="6">
        <f>VLOOKUP($E828,Sheet3!$B$3:$D$54,2,0)</f>
        <v>5</v>
      </c>
      <c r="G828" s="6">
        <f>VLOOKUP($E828,Sheet3!$B$3:$G$54,3,0)</f>
        <v>0</v>
      </c>
      <c r="H828" s="5">
        <f>VLOOKUP($A828,Sheet3!$I$3:$J$38,2,0)</f>
        <v>10.1</v>
      </c>
      <c r="I828" s="6">
        <f>VLOOKUP($E828,Sheet3!$B$3:$G$54,5,0)</f>
        <v>139390</v>
      </c>
      <c r="J828" s="5">
        <f>VLOOKUP($E828,Sheet3!$B$3:$G$54,4,0)</f>
        <v>2.65</v>
      </c>
      <c r="K828" s="5">
        <f>VLOOKUP($E828,Sheet3!$B$3:$G$54,6,0)</f>
        <v>1.6</v>
      </c>
      <c r="L828">
        <v>420</v>
      </c>
      <c r="M828">
        <v>400</v>
      </c>
      <c r="N828">
        <v>19</v>
      </c>
      <c r="O828" s="14">
        <f t="shared" si="30"/>
        <v>0.95238095238095233</v>
      </c>
    </row>
    <row r="829" spans="1:15" x14ac:dyDescent="0.3">
      <c r="A829" s="15" t="s">
        <v>41</v>
      </c>
      <c r="B829" s="12" t="s">
        <v>30</v>
      </c>
      <c r="C829" s="12" t="s">
        <v>33</v>
      </c>
      <c r="D829" s="6">
        <f t="shared" si="29"/>
        <v>6</v>
      </c>
      <c r="E829">
        <v>22</v>
      </c>
      <c r="F829" s="6">
        <f>VLOOKUP($E829,Sheet3!$B$3:$D$54,2,0)</f>
        <v>5</v>
      </c>
      <c r="G829" s="6">
        <f>VLOOKUP($E829,Sheet3!$B$3:$G$54,3,0)</f>
        <v>0</v>
      </c>
      <c r="H829" s="5">
        <f>VLOOKUP($A829,Sheet3!$I$3:$J$38,2,0)</f>
        <v>10.1</v>
      </c>
      <c r="I829" s="6">
        <f>VLOOKUP($E829,Sheet3!$B$3:$G$54,5,0)</f>
        <v>139390</v>
      </c>
      <c r="J829" s="5">
        <f>VLOOKUP($E829,Sheet3!$B$3:$G$54,4,0)</f>
        <v>2.65</v>
      </c>
      <c r="K829" s="5">
        <f>VLOOKUP($E829,Sheet3!$B$3:$G$54,6,0)</f>
        <v>1.6</v>
      </c>
      <c r="L829">
        <v>448</v>
      </c>
      <c r="M829">
        <v>1240</v>
      </c>
      <c r="N829">
        <v>16</v>
      </c>
      <c r="O829" s="14">
        <f t="shared" si="30"/>
        <v>2.7678571428571428</v>
      </c>
    </row>
    <row r="830" spans="1:15" x14ac:dyDescent="0.3">
      <c r="A830" s="15" t="s">
        <v>41</v>
      </c>
      <c r="B830" s="12" t="s">
        <v>30</v>
      </c>
      <c r="C830" s="12" t="s">
        <v>33</v>
      </c>
      <c r="D830" s="6">
        <f t="shared" si="29"/>
        <v>6</v>
      </c>
      <c r="E830">
        <v>23</v>
      </c>
      <c r="F830" s="6">
        <f>VLOOKUP($E830,Sheet3!$B$3:$D$54,2,0)</f>
        <v>5</v>
      </c>
      <c r="G830" s="6">
        <f>VLOOKUP($E830,Sheet3!$B$3:$G$54,3,0)</f>
        <v>1</v>
      </c>
      <c r="H830" s="5">
        <f>VLOOKUP($A830,Sheet3!$I$3:$J$38,2,0)</f>
        <v>10.1</v>
      </c>
      <c r="I830" s="6">
        <f>VLOOKUP($E830,Sheet3!$B$3:$G$54,5,0)</f>
        <v>139390</v>
      </c>
      <c r="J830" s="5">
        <f>VLOOKUP($E830,Sheet3!$B$3:$G$54,4,0)</f>
        <v>2.4</v>
      </c>
      <c r="K830" s="5">
        <f>VLOOKUP($E830,Sheet3!$B$3:$G$54,6,0)</f>
        <v>1.6</v>
      </c>
      <c r="L830">
        <v>448</v>
      </c>
      <c r="M830">
        <v>760</v>
      </c>
      <c r="N830">
        <v>17</v>
      </c>
      <c r="O830" s="14">
        <f t="shared" si="30"/>
        <v>1.6964285714285714</v>
      </c>
    </row>
    <row r="831" spans="1:15" x14ac:dyDescent="0.3">
      <c r="A831" s="15" t="s">
        <v>41</v>
      </c>
      <c r="B831" s="12" t="s">
        <v>30</v>
      </c>
      <c r="C831" s="12" t="s">
        <v>33</v>
      </c>
      <c r="D831" s="6">
        <f t="shared" si="29"/>
        <v>6</v>
      </c>
      <c r="E831">
        <v>24</v>
      </c>
      <c r="F831" s="6">
        <f>VLOOKUP($E831,Sheet3!$B$3:$D$54,2,0)</f>
        <v>6</v>
      </c>
      <c r="G831" s="6">
        <f>VLOOKUP($E831,Sheet3!$B$3:$G$54,3,0)</f>
        <v>0</v>
      </c>
      <c r="H831" s="5">
        <f>VLOOKUP($A831,Sheet3!$I$3:$J$38,2,0)</f>
        <v>10.1</v>
      </c>
      <c r="I831" s="6">
        <f>VLOOKUP($E831,Sheet3!$B$3:$G$54,5,0)</f>
        <v>132191</v>
      </c>
      <c r="J831" s="5">
        <f>VLOOKUP($E831,Sheet3!$B$3:$G$54,4,0)</f>
        <v>2.4</v>
      </c>
      <c r="K831" s="5">
        <f>VLOOKUP($E831,Sheet3!$B$3:$G$54,6,0)</f>
        <v>1.7</v>
      </c>
      <c r="L831">
        <v>448</v>
      </c>
      <c r="M831">
        <v>640</v>
      </c>
      <c r="N831">
        <v>18</v>
      </c>
      <c r="O831" s="14">
        <f t="shared" si="30"/>
        <v>1.4285714285714286</v>
      </c>
    </row>
    <row r="832" spans="1:15" x14ac:dyDescent="0.3">
      <c r="A832" s="15" t="s">
        <v>41</v>
      </c>
      <c r="B832" s="12" t="s">
        <v>30</v>
      </c>
      <c r="C832" s="12" t="s">
        <v>33</v>
      </c>
      <c r="D832" s="6">
        <f t="shared" si="29"/>
        <v>6</v>
      </c>
      <c r="E832">
        <v>25</v>
      </c>
      <c r="F832" s="6">
        <f>VLOOKUP($E832,Sheet3!$B$3:$D$54,2,0)</f>
        <v>6</v>
      </c>
      <c r="G832" s="6">
        <f>VLOOKUP($E832,Sheet3!$B$3:$G$54,3,0)</f>
        <v>0</v>
      </c>
      <c r="H832" s="5">
        <f>VLOOKUP($A832,Sheet3!$I$3:$J$38,2,0)</f>
        <v>10.1</v>
      </c>
      <c r="I832" s="6">
        <f>VLOOKUP($E832,Sheet3!$B$3:$G$54,5,0)</f>
        <v>132191</v>
      </c>
      <c r="J832" s="5">
        <f>VLOOKUP($E832,Sheet3!$B$3:$G$54,4,0)</f>
        <v>2.4</v>
      </c>
      <c r="K832" s="5">
        <f>VLOOKUP($E832,Sheet3!$B$3:$G$54,6,0)</f>
        <v>1.7</v>
      </c>
      <c r="L832">
        <v>448</v>
      </c>
      <c r="M832">
        <v>760</v>
      </c>
      <c r="N832">
        <v>19</v>
      </c>
      <c r="O832" s="14">
        <f t="shared" si="30"/>
        <v>1.6964285714285714</v>
      </c>
    </row>
    <row r="833" spans="1:15" x14ac:dyDescent="0.3">
      <c r="A833" s="15" t="s">
        <v>41</v>
      </c>
      <c r="B833" s="12" t="s">
        <v>30</v>
      </c>
      <c r="C833" s="12" t="s">
        <v>33</v>
      </c>
      <c r="D833" s="6">
        <f t="shared" si="29"/>
        <v>7</v>
      </c>
      <c r="E833">
        <v>26</v>
      </c>
      <c r="F833" s="6">
        <f>VLOOKUP($E833,Sheet3!$B$3:$D$54,2,0)</f>
        <v>6</v>
      </c>
      <c r="G833" s="6">
        <f>VLOOKUP($E833,Sheet3!$B$3:$G$54,3,0)</f>
        <v>0</v>
      </c>
      <c r="H833" s="5">
        <f>VLOOKUP($A833,Sheet3!$I$3:$J$38,2,0)</f>
        <v>10.1</v>
      </c>
      <c r="I833" s="6">
        <f>VLOOKUP($E833,Sheet3!$B$3:$G$54,5,0)</f>
        <v>132191</v>
      </c>
      <c r="J833" s="5">
        <f>VLOOKUP($E833,Sheet3!$B$3:$G$54,4,0)</f>
        <v>2.4</v>
      </c>
      <c r="K833" s="5">
        <f>VLOOKUP($E833,Sheet3!$B$3:$G$54,6,0)</f>
        <v>1.7</v>
      </c>
      <c r="L833">
        <v>448</v>
      </c>
      <c r="M833">
        <v>760</v>
      </c>
      <c r="N833">
        <v>19</v>
      </c>
      <c r="O833" s="14">
        <f t="shared" si="30"/>
        <v>1.6964285714285714</v>
      </c>
    </row>
    <row r="834" spans="1:15" x14ac:dyDescent="0.3">
      <c r="A834" s="17" t="s">
        <v>42</v>
      </c>
      <c r="B834" s="12" t="s">
        <v>30</v>
      </c>
      <c r="C834" s="12" t="s">
        <v>33</v>
      </c>
      <c r="D834" s="6">
        <f t="shared" ref="D834" si="31">IF(E834-N834&lt;0,E834-N834+52,E834-N834)</f>
        <v>11</v>
      </c>
      <c r="E834">
        <v>27</v>
      </c>
      <c r="F834" s="6">
        <f>VLOOKUP($E834,Sheet3!$B$3:$D$54,2,0)</f>
        <v>7</v>
      </c>
      <c r="G834" s="6">
        <f>VLOOKUP($E834,Sheet3!$B$3:$G$54,3,0)</f>
        <v>0</v>
      </c>
      <c r="H834" s="5">
        <f>VLOOKUP($A834,Sheet3!$I$3:$J$38,2,0)</f>
        <v>22.25</v>
      </c>
      <c r="I834" s="6">
        <f>VLOOKUP($E834,Sheet3!$B$3:$G$54,5,0)</f>
        <v>124806</v>
      </c>
      <c r="J834" s="5">
        <f>VLOOKUP($E834,Sheet3!$B$3:$G$54,4,0)</f>
        <v>4.5</v>
      </c>
      <c r="K834" s="5">
        <f>VLOOKUP($E834,Sheet3!$B$3:$G$54,6,0)</f>
        <v>1.3</v>
      </c>
      <c r="L834">
        <v>91</v>
      </c>
      <c r="M834">
        <v>600</v>
      </c>
      <c r="N834">
        <v>16</v>
      </c>
      <c r="O834" s="14">
        <f t="shared" si="30"/>
        <v>6.5934065934065931</v>
      </c>
    </row>
    <row r="835" spans="1:15" x14ac:dyDescent="0.3">
      <c r="A835" s="17" t="s">
        <v>42</v>
      </c>
      <c r="B835" s="12" t="s">
        <v>30</v>
      </c>
      <c r="C835" s="12" t="s">
        <v>33</v>
      </c>
      <c r="D835" s="6">
        <f t="shared" ref="D835:D897" si="32">IF(E835-N835&lt;0,E835-N835+52,E835-N835)</f>
        <v>9</v>
      </c>
      <c r="E835">
        <v>28</v>
      </c>
      <c r="F835" s="6">
        <f>VLOOKUP($E835,Sheet3!$B$3:$D$54,2,0)</f>
        <v>7</v>
      </c>
      <c r="G835" s="6">
        <f>VLOOKUP($E835,Sheet3!$B$3:$G$54,3,0)</f>
        <v>0</v>
      </c>
      <c r="H835" s="5">
        <f>VLOOKUP($A835,Sheet3!$I$3:$J$38,2,0)</f>
        <v>22.25</v>
      </c>
      <c r="I835" s="6">
        <f>VLOOKUP($E835,Sheet3!$B$3:$G$54,5,0)</f>
        <v>124806</v>
      </c>
      <c r="J835" s="5">
        <f>VLOOKUP($E835,Sheet3!$B$3:$G$54,4,0)</f>
        <v>4.5</v>
      </c>
      <c r="K835" s="5">
        <f>VLOOKUP($E835,Sheet3!$B$3:$G$54,6,0)</f>
        <v>1.3</v>
      </c>
      <c r="L835">
        <v>91</v>
      </c>
      <c r="M835">
        <v>520</v>
      </c>
      <c r="N835">
        <v>19</v>
      </c>
      <c r="O835" s="14">
        <f t="shared" si="30"/>
        <v>5.7142857142857144</v>
      </c>
    </row>
    <row r="836" spans="1:15" x14ac:dyDescent="0.3">
      <c r="A836" s="17" t="s">
        <v>42</v>
      </c>
      <c r="B836" s="12" t="s">
        <v>30</v>
      </c>
      <c r="C836" s="12" t="s">
        <v>33</v>
      </c>
      <c r="D836" s="6">
        <f t="shared" si="32"/>
        <v>9</v>
      </c>
      <c r="E836">
        <v>29</v>
      </c>
      <c r="F836" s="6">
        <f>VLOOKUP($E836,Sheet3!$B$3:$D$54,2,0)</f>
        <v>7</v>
      </c>
      <c r="G836" s="6">
        <f>VLOOKUP($E836,Sheet3!$B$3:$G$54,3,0)</f>
        <v>0</v>
      </c>
      <c r="H836" s="5">
        <f>VLOOKUP($A836,Sheet3!$I$3:$J$38,2,0)</f>
        <v>22.25</v>
      </c>
      <c r="I836" s="6">
        <f>VLOOKUP($E836,Sheet3!$B$3:$G$54,5,0)</f>
        <v>124806</v>
      </c>
      <c r="J836" s="5">
        <f>VLOOKUP($E836,Sheet3!$B$3:$G$54,4,0)</f>
        <v>4.5</v>
      </c>
      <c r="K836" s="5">
        <f>VLOOKUP($E836,Sheet3!$B$3:$G$54,6,0)</f>
        <v>1.3</v>
      </c>
      <c r="L836">
        <v>91</v>
      </c>
      <c r="M836">
        <v>680</v>
      </c>
      <c r="N836">
        <v>20</v>
      </c>
      <c r="O836" s="14">
        <f t="shared" si="30"/>
        <v>7.4725274725274726</v>
      </c>
    </row>
    <row r="837" spans="1:15" x14ac:dyDescent="0.3">
      <c r="A837" s="17" t="s">
        <v>42</v>
      </c>
      <c r="B837" s="12" t="s">
        <v>30</v>
      </c>
      <c r="C837" s="12" t="s">
        <v>33</v>
      </c>
      <c r="D837" s="6">
        <f t="shared" si="32"/>
        <v>9</v>
      </c>
      <c r="E837">
        <v>30</v>
      </c>
      <c r="F837" s="6">
        <f>VLOOKUP($E837,Sheet3!$B$3:$D$54,2,0)</f>
        <v>7</v>
      </c>
      <c r="G837" s="6">
        <f>VLOOKUP($E837,Sheet3!$B$3:$G$54,3,0)</f>
        <v>0</v>
      </c>
      <c r="H837" s="5">
        <f>VLOOKUP($A837,Sheet3!$I$3:$J$38,2,0)</f>
        <v>22.25</v>
      </c>
      <c r="I837" s="6">
        <f>VLOOKUP($E837,Sheet3!$B$3:$G$54,5,0)</f>
        <v>124806</v>
      </c>
      <c r="J837" s="5">
        <f>VLOOKUP($E837,Sheet3!$B$3:$G$54,4,0)</f>
        <v>4.5</v>
      </c>
      <c r="K837" s="5">
        <f>VLOOKUP($E837,Sheet3!$B$3:$G$54,6,0)</f>
        <v>1.3</v>
      </c>
      <c r="L837">
        <v>91</v>
      </c>
      <c r="M837">
        <v>240</v>
      </c>
      <c r="N837">
        <v>21</v>
      </c>
      <c r="O837" s="14">
        <f t="shared" si="30"/>
        <v>2.6373626373626373</v>
      </c>
    </row>
    <row r="838" spans="1:15" x14ac:dyDescent="0.3">
      <c r="A838" s="17" t="s">
        <v>42</v>
      </c>
      <c r="B838" s="12" t="s">
        <v>30</v>
      </c>
      <c r="C838" s="12" t="s">
        <v>33</v>
      </c>
      <c r="D838" s="6">
        <f t="shared" si="32"/>
        <v>23</v>
      </c>
      <c r="E838">
        <v>31</v>
      </c>
      <c r="F838" s="6">
        <f>VLOOKUP($E838,Sheet3!$B$3:$D$54,2,0)</f>
        <v>7</v>
      </c>
      <c r="G838" s="6">
        <f>VLOOKUP($E838,Sheet3!$B$3:$G$54,3,0)</f>
        <v>0</v>
      </c>
      <c r="H838" s="5">
        <f>VLOOKUP($A838,Sheet3!$I$3:$J$38,2,0)</f>
        <v>22.25</v>
      </c>
      <c r="I838" s="6">
        <f>VLOOKUP($E838,Sheet3!$B$3:$G$54,5,0)</f>
        <v>124806</v>
      </c>
      <c r="J838" s="5">
        <f>VLOOKUP($E838,Sheet3!$B$3:$G$54,4,0)</f>
        <v>4.5</v>
      </c>
      <c r="K838" s="5">
        <f>VLOOKUP($E838,Sheet3!$B$3:$G$54,6,0)</f>
        <v>1.3</v>
      </c>
      <c r="L838">
        <v>581</v>
      </c>
      <c r="M838">
        <v>450</v>
      </c>
      <c r="N838">
        <v>8</v>
      </c>
      <c r="O838" s="14">
        <f t="shared" si="30"/>
        <v>0.77452667814113596</v>
      </c>
    </row>
    <row r="839" spans="1:15" x14ac:dyDescent="0.3">
      <c r="A839" s="17" t="s">
        <v>42</v>
      </c>
      <c r="B839" s="12" t="s">
        <v>30</v>
      </c>
      <c r="C839" s="12" t="s">
        <v>33</v>
      </c>
      <c r="D839" s="6">
        <f t="shared" si="32"/>
        <v>23</v>
      </c>
      <c r="E839">
        <v>32</v>
      </c>
      <c r="F839" s="6">
        <f>VLOOKUP($E839,Sheet3!$B$3:$D$54,2,0)</f>
        <v>8</v>
      </c>
      <c r="G839" s="6">
        <f>VLOOKUP($E839,Sheet3!$B$3:$G$54,3,0)</f>
        <v>1</v>
      </c>
      <c r="H839" s="5">
        <f>VLOOKUP($A839,Sheet3!$I$3:$J$38,2,0)</f>
        <v>22.25</v>
      </c>
      <c r="I839" s="6">
        <f>VLOOKUP($E839,Sheet3!$B$3:$G$54,5,0)</f>
        <v>69121</v>
      </c>
      <c r="J839" s="5">
        <f>VLOOKUP($E839,Sheet3!$B$3:$G$54,4,0)</f>
        <v>4.5</v>
      </c>
      <c r="K839" s="5">
        <f>VLOOKUP($E839,Sheet3!$B$3:$G$54,6,0)</f>
        <v>1.1000000000000001</v>
      </c>
      <c r="L839">
        <v>581</v>
      </c>
      <c r="M839">
        <v>320</v>
      </c>
      <c r="N839">
        <v>9</v>
      </c>
      <c r="O839" s="14">
        <f t="shared" si="30"/>
        <v>0.55077452667814109</v>
      </c>
    </row>
    <row r="840" spans="1:15" x14ac:dyDescent="0.3">
      <c r="A840" s="17" t="s">
        <v>42</v>
      </c>
      <c r="B840" s="12" t="s">
        <v>30</v>
      </c>
      <c r="C840" s="12" t="s">
        <v>33</v>
      </c>
      <c r="D840" s="6">
        <f t="shared" si="32"/>
        <v>15</v>
      </c>
      <c r="E840">
        <v>33</v>
      </c>
      <c r="F840" s="6">
        <f>VLOOKUP($E840,Sheet3!$B$3:$D$54,2,0)</f>
        <v>8</v>
      </c>
      <c r="G840" s="6">
        <f>VLOOKUP($E840,Sheet3!$B$3:$G$54,3,0)</f>
        <v>1</v>
      </c>
      <c r="H840" s="5">
        <f>VLOOKUP($A840,Sheet3!$I$3:$J$38,2,0)</f>
        <v>22.25</v>
      </c>
      <c r="I840" s="6">
        <f>VLOOKUP($E840,Sheet3!$B$3:$G$54,5,0)</f>
        <v>69121</v>
      </c>
      <c r="J840" s="5">
        <f>VLOOKUP($E840,Sheet3!$B$3:$G$54,4,0)</f>
        <v>4.5</v>
      </c>
      <c r="K840" s="5">
        <f>VLOOKUP($E840,Sheet3!$B$3:$G$54,6,0)</f>
        <v>1.1000000000000001</v>
      </c>
      <c r="L840">
        <v>581</v>
      </c>
      <c r="M840">
        <v>680</v>
      </c>
      <c r="N840">
        <v>18</v>
      </c>
      <c r="O840" s="14">
        <f t="shared" si="30"/>
        <v>1.1703958691910499</v>
      </c>
    </row>
    <row r="841" spans="1:15" x14ac:dyDescent="0.3">
      <c r="A841" s="17" t="s">
        <v>42</v>
      </c>
      <c r="B841" s="12" t="s">
        <v>30</v>
      </c>
      <c r="C841" s="12" t="s">
        <v>33</v>
      </c>
      <c r="D841" s="6">
        <f t="shared" si="32"/>
        <v>17</v>
      </c>
      <c r="E841">
        <v>34</v>
      </c>
      <c r="F841" s="6">
        <f>VLOOKUP($E841,Sheet3!$B$3:$D$54,2,0)</f>
        <v>8</v>
      </c>
      <c r="G841" s="6">
        <f>VLOOKUP($E841,Sheet3!$B$3:$G$54,3,0)</f>
        <v>0</v>
      </c>
      <c r="H841" s="5">
        <f>VLOOKUP($A841,Sheet3!$I$3:$J$38,2,0)</f>
        <v>22.25</v>
      </c>
      <c r="I841" s="6">
        <f>VLOOKUP($E841,Sheet3!$B$3:$G$54,5,0)</f>
        <v>69121</v>
      </c>
      <c r="J841" s="5">
        <f>VLOOKUP($E841,Sheet3!$B$3:$G$54,4,0)</f>
        <v>4.5</v>
      </c>
      <c r="K841" s="5">
        <f>VLOOKUP($E841,Sheet3!$B$3:$G$54,6,0)</f>
        <v>1.1000000000000001</v>
      </c>
      <c r="L841">
        <v>581</v>
      </c>
      <c r="M841">
        <v>1080</v>
      </c>
      <c r="N841">
        <v>17</v>
      </c>
      <c r="O841" s="14">
        <f t="shared" si="30"/>
        <v>1.8588640275387263</v>
      </c>
    </row>
    <row r="842" spans="1:15" x14ac:dyDescent="0.3">
      <c r="A842" s="17" t="s">
        <v>42</v>
      </c>
      <c r="B842" s="12" t="s">
        <v>30</v>
      </c>
      <c r="C842" s="12" t="s">
        <v>33</v>
      </c>
      <c r="D842" s="6">
        <f t="shared" si="32"/>
        <v>20</v>
      </c>
      <c r="E842">
        <v>35</v>
      </c>
      <c r="F842" s="6">
        <f>VLOOKUP($E842,Sheet3!$B$3:$D$54,2,0)</f>
        <v>8</v>
      </c>
      <c r="G842" s="6">
        <f>VLOOKUP($E842,Sheet3!$B$3:$G$54,3,0)</f>
        <v>0</v>
      </c>
      <c r="H842" s="5">
        <f>VLOOKUP($A842,Sheet3!$I$3:$J$38,2,0)</f>
        <v>22.25</v>
      </c>
      <c r="I842" s="6">
        <f>VLOOKUP($E842,Sheet3!$B$3:$G$54,5,0)</f>
        <v>69121</v>
      </c>
      <c r="J842" s="5">
        <f>VLOOKUP($E842,Sheet3!$B$3:$G$54,4,0)</f>
        <v>4.5</v>
      </c>
      <c r="K842" s="5">
        <f>VLOOKUP($E842,Sheet3!$B$3:$G$54,6,0)</f>
        <v>1.1000000000000001</v>
      </c>
      <c r="L842">
        <v>570</v>
      </c>
      <c r="M842">
        <v>680</v>
      </c>
      <c r="N842">
        <v>15</v>
      </c>
      <c r="O842" s="14">
        <f t="shared" si="30"/>
        <v>1.1929824561403508</v>
      </c>
    </row>
    <row r="843" spans="1:15" x14ac:dyDescent="0.3">
      <c r="A843" s="17" t="s">
        <v>42</v>
      </c>
      <c r="B843" s="12" t="s">
        <v>30</v>
      </c>
      <c r="C843" s="12" t="s">
        <v>33</v>
      </c>
      <c r="D843" s="6">
        <f t="shared" si="32"/>
        <v>20</v>
      </c>
      <c r="E843">
        <v>36</v>
      </c>
      <c r="F843" s="6">
        <f>VLOOKUP($E843,Sheet3!$B$3:$D$54,2,0)</f>
        <v>9</v>
      </c>
      <c r="G843" s="6">
        <f>VLOOKUP($E843,Sheet3!$B$3:$G$54,3,0)</f>
        <v>0</v>
      </c>
      <c r="H843" s="5">
        <f>VLOOKUP($A843,Sheet3!$I$3:$J$38,2,0)</f>
        <v>22.25</v>
      </c>
      <c r="I843" s="6">
        <f>VLOOKUP($E843,Sheet3!$B$3:$G$54,5,0)</f>
        <v>121666</v>
      </c>
      <c r="J843" s="5">
        <f>VLOOKUP($E843,Sheet3!$B$3:$G$54,4,0)</f>
        <v>4.5</v>
      </c>
      <c r="K843" s="5">
        <f>VLOOKUP($E843,Sheet3!$B$3:$G$54,6,0)</f>
        <v>0.7</v>
      </c>
      <c r="L843">
        <v>378</v>
      </c>
      <c r="M843">
        <v>360</v>
      </c>
      <c r="N843">
        <v>16</v>
      </c>
      <c r="O843" s="14">
        <f t="shared" si="30"/>
        <v>0.95238095238095233</v>
      </c>
    </row>
    <row r="844" spans="1:15" x14ac:dyDescent="0.3">
      <c r="A844" s="17" t="s">
        <v>42</v>
      </c>
      <c r="B844" s="12" t="s">
        <v>30</v>
      </c>
      <c r="C844" s="12" t="s">
        <v>33</v>
      </c>
      <c r="D844" s="6">
        <f t="shared" si="32"/>
        <v>20</v>
      </c>
      <c r="E844">
        <v>37</v>
      </c>
      <c r="F844" s="6">
        <f>VLOOKUP($E844,Sheet3!$B$3:$D$54,2,0)</f>
        <v>9</v>
      </c>
      <c r="G844" s="6">
        <f>VLOOKUP($E844,Sheet3!$B$3:$G$54,3,0)</f>
        <v>0</v>
      </c>
      <c r="H844" s="5">
        <f>VLOOKUP($A844,Sheet3!$I$3:$J$38,2,0)</f>
        <v>22.25</v>
      </c>
      <c r="I844" s="6">
        <f>VLOOKUP($E844,Sheet3!$B$3:$G$54,5,0)</f>
        <v>121666</v>
      </c>
      <c r="J844" s="5">
        <f>VLOOKUP($E844,Sheet3!$B$3:$G$54,4,0)</f>
        <v>4.5</v>
      </c>
      <c r="K844" s="5">
        <f>VLOOKUP($E844,Sheet3!$B$3:$G$54,6,0)</f>
        <v>0.7</v>
      </c>
      <c r="L844">
        <v>374</v>
      </c>
      <c r="M844">
        <v>40</v>
      </c>
      <c r="N844">
        <v>17</v>
      </c>
      <c r="O844" s="14">
        <f t="shared" si="30"/>
        <v>0.10695187165775401</v>
      </c>
    </row>
    <row r="845" spans="1:15" x14ac:dyDescent="0.3">
      <c r="A845" s="17" t="s">
        <v>42</v>
      </c>
      <c r="B845" s="12" t="s">
        <v>30</v>
      </c>
      <c r="C845" s="12" t="s">
        <v>33</v>
      </c>
      <c r="D845" s="6">
        <f t="shared" si="32"/>
        <v>20</v>
      </c>
      <c r="E845">
        <v>38</v>
      </c>
      <c r="F845" s="6">
        <f>VLOOKUP($E845,Sheet3!$B$3:$D$54,2,0)</f>
        <v>9</v>
      </c>
      <c r="G845" s="6">
        <f>VLOOKUP($E845,Sheet3!$B$3:$G$54,3,0)</f>
        <v>0</v>
      </c>
      <c r="H845" s="5">
        <f>VLOOKUP($A845,Sheet3!$I$3:$J$38,2,0)</f>
        <v>22.25</v>
      </c>
      <c r="I845" s="6">
        <f>VLOOKUP($E845,Sheet3!$B$3:$G$54,5,0)</f>
        <v>121666</v>
      </c>
      <c r="J845" s="5">
        <f>VLOOKUP($E845,Sheet3!$B$3:$G$54,4,0)</f>
        <v>3.9</v>
      </c>
      <c r="K845" s="5">
        <f>VLOOKUP($E845,Sheet3!$B$3:$G$54,6,0)</f>
        <v>0.7</v>
      </c>
      <c r="L845">
        <v>374</v>
      </c>
      <c r="M845">
        <v>280</v>
      </c>
      <c r="N845">
        <v>18</v>
      </c>
      <c r="O845" s="14">
        <f t="shared" si="30"/>
        <v>0.74866310160427807</v>
      </c>
    </row>
    <row r="846" spans="1:15" x14ac:dyDescent="0.3">
      <c r="A846" s="17" t="s">
        <v>42</v>
      </c>
      <c r="B846" s="12" t="s">
        <v>30</v>
      </c>
      <c r="C846" s="12" t="s">
        <v>33</v>
      </c>
      <c r="D846" s="6">
        <f t="shared" si="32"/>
        <v>20</v>
      </c>
      <c r="E846">
        <v>39</v>
      </c>
      <c r="F846" s="6">
        <f>VLOOKUP($E846,Sheet3!$B$3:$D$54,2,0)</f>
        <v>9</v>
      </c>
      <c r="G846" s="6">
        <f>VLOOKUP($E846,Sheet3!$B$3:$G$54,3,0)</f>
        <v>0</v>
      </c>
      <c r="H846" s="5">
        <f>VLOOKUP($A846,Sheet3!$I$3:$J$38,2,0)</f>
        <v>22.25</v>
      </c>
      <c r="I846" s="6">
        <f>VLOOKUP($E846,Sheet3!$B$3:$G$54,5,0)</f>
        <v>121666</v>
      </c>
      <c r="J846" s="5">
        <f>VLOOKUP($E846,Sheet3!$B$3:$G$54,4,0)</f>
        <v>3.9</v>
      </c>
      <c r="K846" s="5">
        <f>VLOOKUP($E846,Sheet3!$B$3:$G$54,6,0)</f>
        <v>0.7</v>
      </c>
      <c r="L846">
        <v>374</v>
      </c>
      <c r="M846">
        <v>360</v>
      </c>
      <c r="N846">
        <v>19</v>
      </c>
      <c r="O846" s="14">
        <f t="shared" si="30"/>
        <v>0.96256684491978606</v>
      </c>
    </row>
    <row r="847" spans="1:15" x14ac:dyDescent="0.3">
      <c r="A847" s="17" t="s">
        <v>42</v>
      </c>
      <c r="B847" s="12" t="s">
        <v>30</v>
      </c>
      <c r="C847" s="12" t="s">
        <v>33</v>
      </c>
      <c r="D847" s="6">
        <f t="shared" si="32"/>
        <v>21</v>
      </c>
      <c r="E847">
        <v>40</v>
      </c>
      <c r="F847" s="6">
        <f>VLOOKUP($E847,Sheet3!$B$3:$D$54,2,0)</f>
        <v>9</v>
      </c>
      <c r="G847" s="6">
        <f>VLOOKUP($E847,Sheet3!$B$3:$G$54,3,0)</f>
        <v>0</v>
      </c>
      <c r="H847" s="5">
        <f>VLOOKUP($A847,Sheet3!$I$3:$J$38,2,0)</f>
        <v>22.25</v>
      </c>
      <c r="I847" s="6">
        <f>VLOOKUP($E847,Sheet3!$B$3:$G$54,5,0)</f>
        <v>121666</v>
      </c>
      <c r="J847" s="5">
        <f>VLOOKUP($E847,Sheet3!$B$3:$G$54,4,0)</f>
        <v>3.9</v>
      </c>
      <c r="K847" s="5">
        <f>VLOOKUP($E847,Sheet3!$B$3:$G$54,6,0)</f>
        <v>0.7</v>
      </c>
      <c r="L847">
        <v>210</v>
      </c>
      <c r="M847">
        <v>200</v>
      </c>
      <c r="N847">
        <v>19</v>
      </c>
      <c r="O847" s="14">
        <f t="shared" si="30"/>
        <v>0.95238095238095233</v>
      </c>
    </row>
    <row r="848" spans="1:15" x14ac:dyDescent="0.3">
      <c r="A848" s="17" t="s">
        <v>42</v>
      </c>
      <c r="B848" s="12" t="s">
        <v>30</v>
      </c>
      <c r="C848" s="12" t="s">
        <v>33</v>
      </c>
      <c r="D848" s="6">
        <f t="shared" si="32"/>
        <v>21</v>
      </c>
      <c r="E848">
        <v>41</v>
      </c>
      <c r="F848" s="6">
        <f>VLOOKUP($E848,Sheet3!$B$3:$D$54,2,0)</f>
        <v>10</v>
      </c>
      <c r="G848" s="6">
        <f>VLOOKUP($E848,Sheet3!$B$3:$G$54,3,0)</f>
        <v>0</v>
      </c>
      <c r="H848" s="5">
        <f>VLOOKUP($A848,Sheet3!$I$3:$J$38,2,0)</f>
        <v>22.25</v>
      </c>
      <c r="I848" s="6">
        <f>VLOOKUP($E848,Sheet3!$B$3:$G$54,5,0)</f>
        <v>126488</v>
      </c>
      <c r="J848" s="5">
        <f>VLOOKUP($E848,Sheet3!$B$3:$G$54,4,0)</f>
        <v>3.9</v>
      </c>
      <c r="K848" s="5">
        <f>VLOOKUP($E848,Sheet3!$B$3:$G$54,6,0)</f>
        <v>0.9</v>
      </c>
      <c r="L848">
        <v>210</v>
      </c>
      <c r="M848">
        <v>240</v>
      </c>
      <c r="N848">
        <v>20</v>
      </c>
      <c r="O848" s="14">
        <f t="shared" si="30"/>
        <v>1.1428571428571428</v>
      </c>
    </row>
    <row r="849" spans="1:15" x14ac:dyDescent="0.3">
      <c r="A849" s="17" t="s">
        <v>42</v>
      </c>
      <c r="B849" s="12" t="s">
        <v>30</v>
      </c>
      <c r="C849" s="12" t="s">
        <v>33</v>
      </c>
      <c r="D849" s="6">
        <f t="shared" si="32"/>
        <v>21</v>
      </c>
      <c r="E849">
        <v>42</v>
      </c>
      <c r="F849" s="6">
        <f>VLOOKUP($E849,Sheet3!$B$3:$D$54,2,0)</f>
        <v>10</v>
      </c>
      <c r="G849" s="6">
        <f>VLOOKUP($E849,Sheet3!$B$3:$G$54,3,0)</f>
        <v>0</v>
      </c>
      <c r="H849" s="5">
        <f>VLOOKUP($A849,Sheet3!$I$3:$J$38,2,0)</f>
        <v>22.25</v>
      </c>
      <c r="I849" s="6">
        <f>VLOOKUP($E849,Sheet3!$B$3:$G$54,5,0)</f>
        <v>126488</v>
      </c>
      <c r="J849" s="5">
        <f>VLOOKUP($E849,Sheet3!$B$3:$G$54,4,0)</f>
        <v>3.9</v>
      </c>
      <c r="K849" s="5">
        <f>VLOOKUP($E849,Sheet3!$B$3:$G$54,6,0)</f>
        <v>0.9</v>
      </c>
      <c r="L849">
        <v>210</v>
      </c>
      <c r="M849">
        <v>600</v>
      </c>
      <c r="N849">
        <v>21</v>
      </c>
      <c r="O849" s="14">
        <f t="shared" si="30"/>
        <v>2.8571428571428572</v>
      </c>
    </row>
    <row r="850" spans="1:15" x14ac:dyDescent="0.3">
      <c r="A850" s="17" t="s">
        <v>42</v>
      </c>
      <c r="B850" s="12" t="s">
        <v>30</v>
      </c>
      <c r="C850" s="12" t="s">
        <v>33</v>
      </c>
      <c r="D850" s="6">
        <f t="shared" si="32"/>
        <v>21</v>
      </c>
      <c r="E850">
        <v>43</v>
      </c>
      <c r="F850" s="6">
        <f>VLOOKUP($E850,Sheet3!$B$3:$D$54,2,0)</f>
        <v>10</v>
      </c>
      <c r="G850" s="6">
        <f>VLOOKUP($E850,Sheet3!$B$3:$G$54,3,0)</f>
        <v>0</v>
      </c>
      <c r="H850" s="5">
        <f>VLOOKUP($A850,Sheet3!$I$3:$J$38,2,0)</f>
        <v>22.25</v>
      </c>
      <c r="I850" s="6">
        <f>VLOOKUP($E850,Sheet3!$B$3:$G$54,5,0)</f>
        <v>126488</v>
      </c>
      <c r="J850" s="5">
        <f>VLOOKUP($E850,Sheet3!$B$3:$G$54,4,0)</f>
        <v>3.65</v>
      </c>
      <c r="K850" s="5">
        <f>VLOOKUP($E850,Sheet3!$B$3:$G$54,6,0)</f>
        <v>0.9</v>
      </c>
      <c r="L850">
        <v>210</v>
      </c>
      <c r="M850">
        <v>400</v>
      </c>
      <c r="N850">
        <v>22</v>
      </c>
      <c r="O850" s="14">
        <f t="shared" si="30"/>
        <v>1.9047619047619047</v>
      </c>
    </row>
    <row r="851" spans="1:15" x14ac:dyDescent="0.3">
      <c r="A851" s="17" t="s">
        <v>42</v>
      </c>
      <c r="B851" s="12" t="s">
        <v>30</v>
      </c>
      <c r="C851" s="12" t="s">
        <v>33</v>
      </c>
      <c r="D851" s="6">
        <f t="shared" si="32"/>
        <v>21</v>
      </c>
      <c r="E851">
        <v>44</v>
      </c>
      <c r="F851" s="6">
        <f>VLOOKUP($E851,Sheet3!$B$3:$D$54,2,0)</f>
        <v>10</v>
      </c>
      <c r="G851" s="6">
        <f>VLOOKUP($E851,Sheet3!$B$3:$G$54,3,0)</f>
        <v>1</v>
      </c>
      <c r="H851" s="5">
        <f>VLOOKUP($A851,Sheet3!$I$3:$J$38,2,0)</f>
        <v>22.25</v>
      </c>
      <c r="I851" s="6">
        <f>VLOOKUP($E851,Sheet3!$B$3:$G$54,5,0)</f>
        <v>126488</v>
      </c>
      <c r="J851" s="5">
        <f>VLOOKUP($E851,Sheet3!$B$3:$G$54,4,0)</f>
        <v>3.65</v>
      </c>
      <c r="K851" s="5">
        <f>VLOOKUP($E851,Sheet3!$B$3:$G$54,6,0)</f>
        <v>0.9</v>
      </c>
      <c r="L851">
        <v>580</v>
      </c>
      <c r="M851">
        <v>560</v>
      </c>
      <c r="N851">
        <v>23</v>
      </c>
      <c r="O851" s="14">
        <f t="shared" si="30"/>
        <v>0.96551724137931039</v>
      </c>
    </row>
    <row r="852" spans="1:15" x14ac:dyDescent="0.3">
      <c r="A852" s="17" t="s">
        <v>42</v>
      </c>
      <c r="B852" s="12" t="s">
        <v>30</v>
      </c>
      <c r="C852" s="12" t="s">
        <v>33</v>
      </c>
      <c r="D852" s="6">
        <f t="shared" si="32"/>
        <v>21</v>
      </c>
      <c r="E852">
        <v>45</v>
      </c>
      <c r="F852" s="6">
        <f>VLOOKUP($E852,Sheet3!$B$3:$D$54,2,0)</f>
        <v>11</v>
      </c>
      <c r="G852" s="6">
        <f>VLOOKUP($E852,Sheet3!$B$3:$G$54,3,0)</f>
        <v>0</v>
      </c>
      <c r="H852" s="5">
        <f>VLOOKUP($A852,Sheet3!$I$3:$J$38,2,0)</f>
        <v>22.25</v>
      </c>
      <c r="I852" s="6">
        <f>VLOOKUP($E852,Sheet3!$B$3:$G$54,5,0)</f>
        <v>124251</v>
      </c>
      <c r="J852" s="5">
        <f>VLOOKUP($E852,Sheet3!$B$3:$G$54,4,0)</f>
        <v>3.65</v>
      </c>
      <c r="K852" s="5">
        <f>VLOOKUP($E852,Sheet3!$B$3:$G$54,6,0)</f>
        <v>1.3</v>
      </c>
      <c r="L852">
        <v>580</v>
      </c>
      <c r="M852">
        <v>560</v>
      </c>
      <c r="N852">
        <v>24</v>
      </c>
      <c r="O852" s="14">
        <f t="shared" si="30"/>
        <v>0.96551724137931039</v>
      </c>
    </row>
    <row r="853" spans="1:15" x14ac:dyDescent="0.3">
      <c r="A853" s="17" t="s">
        <v>42</v>
      </c>
      <c r="B853" s="12" t="s">
        <v>30</v>
      </c>
      <c r="C853" s="12" t="s">
        <v>33</v>
      </c>
      <c r="D853" s="6">
        <f t="shared" si="32"/>
        <v>21</v>
      </c>
      <c r="E853">
        <v>46</v>
      </c>
      <c r="F853" s="6">
        <f>VLOOKUP($E853,Sheet3!$B$3:$D$54,2,0)</f>
        <v>11</v>
      </c>
      <c r="G853" s="6">
        <f>VLOOKUP($E853,Sheet3!$B$3:$G$54,3,0)</f>
        <v>0</v>
      </c>
      <c r="H853" s="5">
        <f>VLOOKUP($A853,Sheet3!$I$3:$J$38,2,0)</f>
        <v>22.25</v>
      </c>
      <c r="I853" s="6">
        <f>VLOOKUP($E853,Sheet3!$B$3:$G$54,5,0)</f>
        <v>124251</v>
      </c>
      <c r="J853" s="5">
        <f>VLOOKUP($E853,Sheet3!$B$3:$G$54,4,0)</f>
        <v>3.65</v>
      </c>
      <c r="K853" s="5">
        <f>VLOOKUP($E853,Sheet3!$B$3:$G$54,6,0)</f>
        <v>1.3</v>
      </c>
      <c r="L853">
        <v>580</v>
      </c>
      <c r="M853">
        <v>1720</v>
      </c>
      <c r="N853">
        <v>25</v>
      </c>
      <c r="O853" s="14">
        <f t="shared" si="30"/>
        <v>2.9655172413793105</v>
      </c>
    </row>
    <row r="854" spans="1:15" x14ac:dyDescent="0.3">
      <c r="A854" s="17" t="s">
        <v>42</v>
      </c>
      <c r="B854" s="12" t="s">
        <v>30</v>
      </c>
      <c r="C854" s="12" t="s">
        <v>33</v>
      </c>
      <c r="D854" s="6">
        <f t="shared" si="32"/>
        <v>21</v>
      </c>
      <c r="E854">
        <v>47</v>
      </c>
      <c r="F854" s="6">
        <f>VLOOKUP($E854,Sheet3!$B$3:$D$54,2,0)</f>
        <v>11</v>
      </c>
      <c r="G854" s="6">
        <f>VLOOKUP($E854,Sheet3!$B$3:$G$54,3,0)</f>
        <v>0</v>
      </c>
      <c r="H854" s="5">
        <f>VLOOKUP($A854,Sheet3!$I$3:$J$38,2,0)</f>
        <v>22.25</v>
      </c>
      <c r="I854" s="6">
        <f>VLOOKUP($E854,Sheet3!$B$3:$G$54,5,0)</f>
        <v>124251</v>
      </c>
      <c r="J854" s="5">
        <f>VLOOKUP($E854,Sheet3!$B$3:$G$54,4,0)</f>
        <v>3.65</v>
      </c>
      <c r="K854" s="5">
        <f>VLOOKUP($E854,Sheet3!$B$3:$G$54,6,0)</f>
        <v>1.3</v>
      </c>
      <c r="L854">
        <v>580</v>
      </c>
      <c r="M854">
        <v>0</v>
      </c>
      <c r="N854">
        <v>26</v>
      </c>
      <c r="O854" s="14">
        <f t="shared" si="30"/>
        <v>0</v>
      </c>
    </row>
    <row r="855" spans="1:15" x14ac:dyDescent="0.3">
      <c r="A855" s="17" t="s">
        <v>42</v>
      </c>
      <c r="B855" s="12" t="s">
        <v>30</v>
      </c>
      <c r="C855" s="12" t="s">
        <v>33</v>
      </c>
      <c r="D855" s="6">
        <f t="shared" si="32"/>
        <v>26</v>
      </c>
      <c r="E855">
        <v>48</v>
      </c>
      <c r="F855" s="6">
        <f>VLOOKUP($E855,Sheet3!$B$3:$D$54,2,0)</f>
        <v>11</v>
      </c>
      <c r="G855" s="6">
        <f>VLOOKUP($E855,Sheet3!$B$3:$G$54,3,0)</f>
        <v>0</v>
      </c>
      <c r="H855" s="5">
        <f>VLOOKUP($A855,Sheet3!$I$3:$J$38,2,0)</f>
        <v>22.25</v>
      </c>
      <c r="I855" s="6">
        <f>VLOOKUP($E855,Sheet3!$B$3:$G$54,5,0)</f>
        <v>124251</v>
      </c>
      <c r="J855" s="5">
        <f>VLOOKUP($E855,Sheet3!$B$3:$G$54,4,0)</f>
        <v>3.65</v>
      </c>
      <c r="K855" s="5">
        <f>VLOOKUP($E855,Sheet3!$B$3:$G$54,6,0)</f>
        <v>1.3</v>
      </c>
      <c r="L855">
        <v>144</v>
      </c>
      <c r="M855">
        <v>0</v>
      </c>
      <c r="N855">
        <v>22</v>
      </c>
      <c r="O855" s="14">
        <f t="shared" si="30"/>
        <v>0</v>
      </c>
    </row>
    <row r="856" spans="1:15" x14ac:dyDescent="0.3">
      <c r="A856" s="17" t="s">
        <v>42</v>
      </c>
      <c r="B856" s="12" t="s">
        <v>30</v>
      </c>
      <c r="C856" s="12" t="s">
        <v>33</v>
      </c>
      <c r="D856" s="6">
        <f t="shared" si="32"/>
        <v>26</v>
      </c>
      <c r="E856">
        <v>49</v>
      </c>
      <c r="F856" s="6">
        <f>VLOOKUP($E856,Sheet3!$B$3:$D$54,2,0)</f>
        <v>12</v>
      </c>
      <c r="G856" s="6">
        <f>VLOOKUP($E856,Sheet3!$B$3:$G$54,3,0)</f>
        <v>1</v>
      </c>
      <c r="H856" s="5">
        <f>VLOOKUP($A856,Sheet3!$I$3:$J$38,2,0)</f>
        <v>22.25</v>
      </c>
      <c r="I856" s="6">
        <f>VLOOKUP($E856,Sheet3!$B$3:$G$54,5,0)</f>
        <v>105715</v>
      </c>
      <c r="J856" s="5">
        <f>VLOOKUP($E856,Sheet3!$B$3:$G$54,4,0)</f>
        <v>3.65</v>
      </c>
      <c r="K856" s="5">
        <f>VLOOKUP($E856,Sheet3!$B$3:$G$54,6,0)</f>
        <v>1.3</v>
      </c>
      <c r="L856">
        <v>144</v>
      </c>
      <c r="M856">
        <v>320</v>
      </c>
      <c r="N856">
        <v>23</v>
      </c>
      <c r="O856" s="14">
        <f t="shared" si="30"/>
        <v>2.2222222222222223</v>
      </c>
    </row>
    <row r="857" spans="1:15" x14ac:dyDescent="0.3">
      <c r="A857" s="17" t="s">
        <v>42</v>
      </c>
      <c r="B857" s="12" t="s">
        <v>30</v>
      </c>
      <c r="C857" s="12" t="s">
        <v>33</v>
      </c>
      <c r="D857" s="6">
        <f t="shared" si="32"/>
        <v>25</v>
      </c>
      <c r="E857">
        <v>50</v>
      </c>
      <c r="F857" s="6">
        <f>VLOOKUP($E857,Sheet3!$B$3:$D$54,2,0)</f>
        <v>12</v>
      </c>
      <c r="G857" s="6">
        <f>VLOOKUP($E857,Sheet3!$B$3:$G$54,3,0)</f>
        <v>0</v>
      </c>
      <c r="H857" s="5">
        <f>VLOOKUP($A857,Sheet3!$I$3:$J$38,2,0)</f>
        <v>22.25</v>
      </c>
      <c r="I857" s="6">
        <f>VLOOKUP($E857,Sheet3!$B$3:$G$54,5,0)</f>
        <v>105715</v>
      </c>
      <c r="J857" s="5">
        <f>VLOOKUP($E857,Sheet3!$B$3:$G$54,4,0)</f>
        <v>3.4</v>
      </c>
      <c r="K857" s="5">
        <f>VLOOKUP($E857,Sheet3!$B$3:$G$54,6,0)</f>
        <v>1.3</v>
      </c>
      <c r="L857">
        <v>144</v>
      </c>
      <c r="M857">
        <v>840</v>
      </c>
      <c r="N857">
        <v>25</v>
      </c>
      <c r="O857" s="14">
        <f t="shared" si="30"/>
        <v>5.833333333333333</v>
      </c>
    </row>
    <row r="858" spans="1:15" x14ac:dyDescent="0.3">
      <c r="A858" s="17" t="s">
        <v>42</v>
      </c>
      <c r="B858" s="12" t="s">
        <v>30</v>
      </c>
      <c r="C858" s="12" t="s">
        <v>33</v>
      </c>
      <c r="D858" s="6">
        <f t="shared" si="32"/>
        <v>26</v>
      </c>
      <c r="E858">
        <v>51</v>
      </c>
      <c r="F858" s="6">
        <f>VLOOKUP($E858,Sheet3!$B$3:$D$54,2,0)</f>
        <v>12</v>
      </c>
      <c r="G858" s="6">
        <f>VLOOKUP($E858,Sheet3!$B$3:$G$54,3,0)</f>
        <v>0</v>
      </c>
      <c r="H858" s="5">
        <f>VLOOKUP($A858,Sheet3!$I$3:$J$38,2,0)</f>
        <v>22.25</v>
      </c>
      <c r="I858" s="6">
        <f>VLOOKUP($E858,Sheet3!$B$3:$G$54,5,0)</f>
        <v>105715</v>
      </c>
      <c r="J858" s="5">
        <f>VLOOKUP($E858,Sheet3!$B$3:$G$54,4,0)</f>
        <v>3.4</v>
      </c>
      <c r="K858" s="5">
        <f>VLOOKUP($E858,Sheet3!$B$3:$G$54,6,0)</f>
        <v>1.3</v>
      </c>
      <c r="L858">
        <v>144</v>
      </c>
      <c r="M858">
        <v>0</v>
      </c>
      <c r="N858">
        <v>25</v>
      </c>
      <c r="O858" s="14">
        <f t="shared" si="30"/>
        <v>0</v>
      </c>
    </row>
    <row r="859" spans="1:15" x14ac:dyDescent="0.3">
      <c r="A859" s="17" t="s">
        <v>42</v>
      </c>
      <c r="B859" s="12" t="s">
        <v>30</v>
      </c>
      <c r="C859" s="12" t="s">
        <v>33</v>
      </c>
      <c r="D859" s="6">
        <f t="shared" si="32"/>
        <v>27</v>
      </c>
      <c r="E859">
        <v>52</v>
      </c>
      <c r="F859" s="6">
        <f>VLOOKUP($E859,Sheet3!$B$3:$D$54,2,0)</f>
        <v>12</v>
      </c>
      <c r="G859" s="6">
        <f>VLOOKUP($E859,Sheet3!$B$3:$G$54,3,0)</f>
        <v>1</v>
      </c>
      <c r="H859" s="5">
        <f>VLOOKUP($A859,Sheet3!$I$3:$J$38,2,0)</f>
        <v>22.25</v>
      </c>
      <c r="I859" s="6">
        <f>VLOOKUP($E859,Sheet3!$B$3:$G$54,5,0)</f>
        <v>105715</v>
      </c>
      <c r="J859" s="5">
        <f>VLOOKUP($E859,Sheet3!$B$3:$G$54,4,0)</f>
        <v>3.4</v>
      </c>
      <c r="K859" s="5">
        <f>VLOOKUP($E859,Sheet3!$B$3:$G$54,6,0)</f>
        <v>1.3</v>
      </c>
      <c r="L859">
        <v>144</v>
      </c>
      <c r="M859">
        <v>0</v>
      </c>
      <c r="N859">
        <v>25</v>
      </c>
      <c r="O859" s="14">
        <f t="shared" si="30"/>
        <v>0</v>
      </c>
    </row>
    <row r="860" spans="1:15" x14ac:dyDescent="0.3">
      <c r="A860" s="17" t="s">
        <v>42</v>
      </c>
      <c r="B860" s="12" t="s">
        <v>30</v>
      </c>
      <c r="C860" s="12" t="s">
        <v>33</v>
      </c>
      <c r="D860" s="6">
        <f t="shared" si="32"/>
        <v>27</v>
      </c>
      <c r="E860">
        <v>1</v>
      </c>
      <c r="F860" s="6">
        <f>VLOOKUP($E860,Sheet3!$B$3:$D$54,2,0)</f>
        <v>12</v>
      </c>
      <c r="G860" s="6">
        <f>VLOOKUP($E860,Sheet3!$B$3:$G$54,3,0)</f>
        <v>1</v>
      </c>
      <c r="H860" s="5">
        <f>VLOOKUP($A860,Sheet3!$I$3:$J$38,2,0)</f>
        <v>22.25</v>
      </c>
      <c r="I860" s="6">
        <f>VLOOKUP($E860,Sheet3!$B$3:$G$54,5,0)</f>
        <v>105715</v>
      </c>
      <c r="J860" s="5">
        <f>VLOOKUP($E860,Sheet3!$B$3:$G$54,4,0)</f>
        <v>3.4</v>
      </c>
      <c r="K860" s="5">
        <f>VLOOKUP($E860,Sheet3!$B$3:$G$54,6,0)</f>
        <v>1.3</v>
      </c>
      <c r="L860">
        <v>280</v>
      </c>
      <c r="M860">
        <v>1160</v>
      </c>
      <c r="N860">
        <v>26</v>
      </c>
      <c r="O860" s="14">
        <f t="shared" si="30"/>
        <v>4.1428571428571432</v>
      </c>
    </row>
    <row r="861" spans="1:15" x14ac:dyDescent="0.3">
      <c r="A861" s="17" t="s">
        <v>42</v>
      </c>
      <c r="B861" s="12" t="s">
        <v>30</v>
      </c>
      <c r="C861" s="12" t="s">
        <v>33</v>
      </c>
      <c r="D861" s="6">
        <f t="shared" si="32"/>
        <v>27</v>
      </c>
      <c r="E861">
        <v>2</v>
      </c>
      <c r="F861" s="6">
        <f>VLOOKUP($E861,Sheet3!$B$3:$D$54,2,0)</f>
        <v>1</v>
      </c>
      <c r="G861" s="6">
        <f>VLOOKUP($E861,Sheet3!$B$3:$G$54,3,0)</f>
        <v>1</v>
      </c>
      <c r="H861" s="5">
        <f>VLOOKUP($A861,Sheet3!$I$3:$J$38,2,0)</f>
        <v>22.25</v>
      </c>
      <c r="I861" s="6">
        <f>VLOOKUP($E861,Sheet3!$B$3:$G$54,5,0)</f>
        <v>133692</v>
      </c>
      <c r="J861" s="5">
        <f>VLOOKUP($E861,Sheet3!$B$3:$G$54,4,0)</f>
        <v>3.4</v>
      </c>
      <c r="K861" s="5">
        <f>VLOOKUP($E861,Sheet3!$B$3:$G$54,6,0)</f>
        <v>1.5</v>
      </c>
      <c r="L861">
        <v>280</v>
      </c>
      <c r="M861">
        <v>1000</v>
      </c>
      <c r="N861">
        <v>27</v>
      </c>
      <c r="O861" s="14">
        <f t="shared" si="30"/>
        <v>3.5714285714285716</v>
      </c>
    </row>
    <row r="862" spans="1:15" x14ac:dyDescent="0.3">
      <c r="A862" s="17" t="s">
        <v>42</v>
      </c>
      <c r="B862" s="12" t="s">
        <v>30</v>
      </c>
      <c r="C862" s="12" t="s">
        <v>33</v>
      </c>
      <c r="D862" s="6">
        <f t="shared" si="32"/>
        <v>28</v>
      </c>
      <c r="E862">
        <v>3</v>
      </c>
      <c r="F862" s="6">
        <f>VLOOKUP($E862,Sheet3!$B$3:$D$54,2,0)</f>
        <v>1</v>
      </c>
      <c r="G862" s="6">
        <f>VLOOKUP($E862,Sheet3!$B$3:$G$54,3,0)</f>
        <v>0</v>
      </c>
      <c r="H862" s="5">
        <f>VLOOKUP($A862,Sheet3!$I$3:$J$38,2,0)</f>
        <v>22.25</v>
      </c>
      <c r="I862" s="6">
        <f>VLOOKUP($E862,Sheet3!$B$3:$G$54,5,0)</f>
        <v>133692</v>
      </c>
      <c r="J862" s="5">
        <f>VLOOKUP($E862,Sheet3!$B$3:$G$54,4,0)</f>
        <v>3.4</v>
      </c>
      <c r="K862" s="5">
        <f>VLOOKUP($E862,Sheet3!$B$3:$G$54,6,0)</f>
        <v>1.5</v>
      </c>
      <c r="L862">
        <v>280</v>
      </c>
      <c r="M862">
        <v>560</v>
      </c>
      <c r="N862">
        <v>27</v>
      </c>
      <c r="O862" s="14">
        <f t="shared" si="30"/>
        <v>2</v>
      </c>
    </row>
    <row r="863" spans="1:15" x14ac:dyDescent="0.3">
      <c r="A863" s="17" t="s">
        <v>42</v>
      </c>
      <c r="B863" s="12" t="s">
        <v>30</v>
      </c>
      <c r="C863" s="12" t="s">
        <v>33</v>
      </c>
      <c r="D863" s="6">
        <f t="shared" si="32"/>
        <v>29</v>
      </c>
      <c r="E863">
        <v>4</v>
      </c>
      <c r="F863" s="6">
        <f>VLOOKUP($E863,Sheet3!$B$3:$D$54,2,0)</f>
        <v>1</v>
      </c>
      <c r="G863" s="6">
        <f>VLOOKUP($E863,Sheet3!$B$3:$G$54,3,0)</f>
        <v>0</v>
      </c>
      <c r="H863" s="5">
        <f>VLOOKUP($A863,Sheet3!$I$3:$J$38,2,0)</f>
        <v>22.25</v>
      </c>
      <c r="I863" s="6">
        <f>VLOOKUP($E863,Sheet3!$B$3:$G$54,5,0)</f>
        <v>133692</v>
      </c>
      <c r="J863" s="5">
        <f>VLOOKUP($E863,Sheet3!$B$3:$G$54,4,0)</f>
        <v>3.4</v>
      </c>
      <c r="K863" s="5">
        <f>VLOOKUP($E863,Sheet3!$B$3:$G$54,6,0)</f>
        <v>1.5</v>
      </c>
      <c r="L863">
        <v>280</v>
      </c>
      <c r="M863">
        <v>480</v>
      </c>
      <c r="N863">
        <v>27</v>
      </c>
      <c r="O863" s="14">
        <f t="shared" si="30"/>
        <v>1.7142857142857142</v>
      </c>
    </row>
    <row r="864" spans="1:15" x14ac:dyDescent="0.3">
      <c r="A864" s="17" t="s">
        <v>42</v>
      </c>
      <c r="B864" s="12" t="s">
        <v>30</v>
      </c>
      <c r="C864" s="12" t="s">
        <v>33</v>
      </c>
      <c r="D864" s="6">
        <f t="shared" si="32"/>
        <v>36</v>
      </c>
      <c r="E864">
        <v>5</v>
      </c>
      <c r="F864" s="6">
        <f>VLOOKUP($E864,Sheet3!$B$3:$D$54,2,0)</f>
        <v>1</v>
      </c>
      <c r="G864" s="6">
        <f>VLOOKUP($E864,Sheet3!$B$3:$G$54,3,0)</f>
        <v>0</v>
      </c>
      <c r="H864" s="5">
        <f>VLOOKUP($A864,Sheet3!$I$3:$J$38,2,0)</f>
        <v>22.25</v>
      </c>
      <c r="I864" s="6">
        <f>VLOOKUP($E864,Sheet3!$B$3:$G$54,5,0)</f>
        <v>133692</v>
      </c>
      <c r="J864" s="5">
        <f>VLOOKUP($E864,Sheet3!$B$3:$G$54,4,0)</f>
        <v>3.4</v>
      </c>
      <c r="K864" s="5">
        <f>VLOOKUP($E864,Sheet3!$B$3:$G$54,6,0)</f>
        <v>1.5</v>
      </c>
      <c r="L864">
        <v>380</v>
      </c>
      <c r="M864">
        <v>600</v>
      </c>
      <c r="N864">
        <v>21</v>
      </c>
      <c r="O864" s="14">
        <f t="shared" si="30"/>
        <v>1.5789473684210527</v>
      </c>
    </row>
    <row r="865" spans="1:15" x14ac:dyDescent="0.3">
      <c r="A865" s="17" t="s">
        <v>42</v>
      </c>
      <c r="B865" s="12" t="s">
        <v>30</v>
      </c>
      <c r="C865" s="12" t="s">
        <v>33</v>
      </c>
      <c r="D865" s="6">
        <f t="shared" si="32"/>
        <v>36</v>
      </c>
      <c r="E865">
        <v>6</v>
      </c>
      <c r="F865" s="6">
        <f>VLOOKUP($E865,Sheet3!$B$3:$D$54,2,0)</f>
        <v>2</v>
      </c>
      <c r="G865" s="6">
        <f>VLOOKUP($E865,Sheet3!$B$3:$G$54,3,0)</f>
        <v>0</v>
      </c>
      <c r="H865" s="5">
        <f>VLOOKUP($A865,Sheet3!$I$3:$J$38,2,0)</f>
        <v>22.25</v>
      </c>
      <c r="I865" s="6">
        <f>VLOOKUP($E865,Sheet3!$B$3:$G$54,5,0)</f>
        <v>137922</v>
      </c>
      <c r="J865" s="5">
        <f>VLOOKUP($E865,Sheet3!$B$3:$G$54,4,0)</f>
        <v>3.15</v>
      </c>
      <c r="K865" s="5">
        <f>VLOOKUP($E865,Sheet3!$B$3:$G$54,6,0)</f>
        <v>1.6</v>
      </c>
      <c r="L865">
        <v>380</v>
      </c>
      <c r="M865">
        <v>600</v>
      </c>
      <c r="N865">
        <v>22</v>
      </c>
      <c r="O865" s="14">
        <f t="shared" si="30"/>
        <v>1.5789473684210527</v>
      </c>
    </row>
    <row r="866" spans="1:15" x14ac:dyDescent="0.3">
      <c r="A866" s="17" t="s">
        <v>42</v>
      </c>
      <c r="B866" s="12" t="s">
        <v>30</v>
      </c>
      <c r="C866" s="12" t="s">
        <v>33</v>
      </c>
      <c r="D866" s="6">
        <f t="shared" si="32"/>
        <v>36</v>
      </c>
      <c r="E866">
        <v>7</v>
      </c>
      <c r="F866" s="6">
        <f>VLOOKUP($E866,Sheet3!$B$3:$D$54,2,0)</f>
        <v>2</v>
      </c>
      <c r="G866" s="6">
        <f>VLOOKUP($E866,Sheet3!$B$3:$G$54,3,0)</f>
        <v>0</v>
      </c>
      <c r="H866" s="5">
        <f>VLOOKUP($A866,Sheet3!$I$3:$J$38,2,0)</f>
        <v>22.25</v>
      </c>
      <c r="I866" s="6">
        <f>VLOOKUP($E866,Sheet3!$B$3:$G$54,5,0)</f>
        <v>137922</v>
      </c>
      <c r="J866" s="5">
        <f>VLOOKUP($E866,Sheet3!$B$3:$G$54,4,0)</f>
        <v>3.15</v>
      </c>
      <c r="K866" s="5">
        <f>VLOOKUP($E866,Sheet3!$B$3:$G$54,6,0)</f>
        <v>1.6</v>
      </c>
      <c r="L866">
        <v>380</v>
      </c>
      <c r="M866">
        <v>600</v>
      </c>
      <c r="N866">
        <v>23</v>
      </c>
      <c r="O866" s="14">
        <f t="shared" si="30"/>
        <v>1.5789473684210527</v>
      </c>
    </row>
    <row r="867" spans="1:15" x14ac:dyDescent="0.3">
      <c r="A867" s="17" t="s">
        <v>42</v>
      </c>
      <c r="B867" s="12" t="s">
        <v>30</v>
      </c>
      <c r="C867" s="12" t="s">
        <v>33</v>
      </c>
      <c r="D867" s="6">
        <f t="shared" si="32"/>
        <v>36</v>
      </c>
      <c r="E867">
        <v>8</v>
      </c>
      <c r="F867" s="6">
        <f>VLOOKUP($E867,Sheet3!$B$3:$D$54,2,0)</f>
        <v>2</v>
      </c>
      <c r="G867" s="6">
        <f>VLOOKUP($E867,Sheet3!$B$3:$G$54,3,0)</f>
        <v>0</v>
      </c>
      <c r="H867" s="5">
        <f>VLOOKUP($A867,Sheet3!$I$3:$J$38,2,0)</f>
        <v>22.25</v>
      </c>
      <c r="I867" s="6">
        <f>VLOOKUP($E867,Sheet3!$B$3:$G$54,5,0)</f>
        <v>137922</v>
      </c>
      <c r="J867" s="5">
        <f>VLOOKUP($E867,Sheet3!$B$3:$G$54,4,0)</f>
        <v>3.15</v>
      </c>
      <c r="K867" s="5">
        <f>VLOOKUP($E867,Sheet3!$B$3:$G$54,6,0)</f>
        <v>1.6</v>
      </c>
      <c r="L867">
        <v>380</v>
      </c>
      <c r="M867">
        <v>320</v>
      </c>
      <c r="N867">
        <v>24</v>
      </c>
      <c r="O867" s="14">
        <f t="shared" si="30"/>
        <v>0.84210526315789469</v>
      </c>
    </row>
    <row r="868" spans="1:15" x14ac:dyDescent="0.3">
      <c r="A868" s="17" t="s">
        <v>42</v>
      </c>
      <c r="B868" s="12" t="s">
        <v>30</v>
      </c>
      <c r="C868" s="12" t="s">
        <v>33</v>
      </c>
      <c r="D868" s="6">
        <f t="shared" si="32"/>
        <v>37</v>
      </c>
      <c r="E868">
        <v>9</v>
      </c>
      <c r="F868" s="6">
        <f>VLOOKUP($E868,Sheet3!$B$3:$D$54,2,0)</f>
        <v>2</v>
      </c>
      <c r="G868" s="6">
        <f>VLOOKUP($E868,Sheet3!$B$3:$G$54,3,0)</f>
        <v>0</v>
      </c>
      <c r="H868" s="5">
        <f>VLOOKUP($A868,Sheet3!$I$3:$J$38,2,0)</f>
        <v>22.25</v>
      </c>
      <c r="I868" s="6">
        <f>VLOOKUP($E868,Sheet3!$B$3:$G$54,5,0)</f>
        <v>137922</v>
      </c>
      <c r="J868" s="5">
        <f>VLOOKUP($E868,Sheet3!$B$3:$G$54,4,0)</f>
        <v>3.15</v>
      </c>
      <c r="K868" s="5">
        <f>VLOOKUP($E868,Sheet3!$B$3:$G$54,6,0)</f>
        <v>1.6</v>
      </c>
      <c r="L868">
        <v>392</v>
      </c>
      <c r="M868">
        <v>464</v>
      </c>
      <c r="N868">
        <v>24</v>
      </c>
      <c r="O868" s="14">
        <f t="shared" si="30"/>
        <v>1.1836734693877551</v>
      </c>
    </row>
    <row r="869" spans="1:15" x14ac:dyDescent="0.3">
      <c r="A869" s="17" t="s">
        <v>42</v>
      </c>
      <c r="B869" s="12" t="s">
        <v>30</v>
      </c>
      <c r="C869" s="12" t="s">
        <v>33</v>
      </c>
      <c r="D869" s="6">
        <f t="shared" si="32"/>
        <v>37</v>
      </c>
      <c r="E869">
        <v>10</v>
      </c>
      <c r="F869" s="6">
        <f>VLOOKUP($E869,Sheet3!$B$3:$D$54,2,0)</f>
        <v>3</v>
      </c>
      <c r="G869" s="6">
        <f>VLOOKUP($E869,Sheet3!$B$3:$G$54,3,0)</f>
        <v>0</v>
      </c>
      <c r="H869" s="5">
        <f>VLOOKUP($A869,Sheet3!$I$3:$J$38,2,0)</f>
        <v>22.25</v>
      </c>
      <c r="I869" s="6">
        <f>VLOOKUP($E869,Sheet3!$B$3:$G$54,5,0)</f>
        <v>172223</v>
      </c>
      <c r="J869" s="5">
        <f>VLOOKUP($E869,Sheet3!$B$3:$G$54,4,0)</f>
        <v>3.15</v>
      </c>
      <c r="K869" s="5">
        <f>VLOOKUP($E869,Sheet3!$B$3:$G$54,6,0)</f>
        <v>1.9</v>
      </c>
      <c r="L869">
        <v>392</v>
      </c>
      <c r="M869">
        <v>464</v>
      </c>
      <c r="N869">
        <v>25</v>
      </c>
      <c r="O869" s="14">
        <f t="shared" si="30"/>
        <v>1.1836734693877551</v>
      </c>
    </row>
    <row r="870" spans="1:15" x14ac:dyDescent="0.3">
      <c r="A870" s="17" t="s">
        <v>42</v>
      </c>
      <c r="B870" s="12" t="s">
        <v>30</v>
      </c>
      <c r="C870" s="12" t="s">
        <v>33</v>
      </c>
      <c r="D870" s="6">
        <f t="shared" si="32"/>
        <v>37</v>
      </c>
      <c r="E870">
        <v>11</v>
      </c>
      <c r="F870" s="6">
        <f>VLOOKUP($E870,Sheet3!$B$3:$D$54,2,0)</f>
        <v>3</v>
      </c>
      <c r="G870" s="6">
        <f>VLOOKUP($E870,Sheet3!$B$3:$G$54,3,0)</f>
        <v>0</v>
      </c>
      <c r="H870" s="5">
        <f>VLOOKUP($A870,Sheet3!$I$3:$J$38,2,0)</f>
        <v>22.25</v>
      </c>
      <c r="I870" s="6">
        <f>VLOOKUP($E870,Sheet3!$B$3:$G$54,5,0)</f>
        <v>172223</v>
      </c>
      <c r="J870" s="5">
        <f>VLOOKUP($E870,Sheet3!$B$3:$G$54,4,0)</f>
        <v>2.9</v>
      </c>
      <c r="K870" s="5">
        <f>VLOOKUP($E870,Sheet3!$B$3:$G$54,6,0)</f>
        <v>1.9</v>
      </c>
      <c r="L870">
        <v>392</v>
      </c>
      <c r="M870">
        <v>464</v>
      </c>
      <c r="N870">
        <v>26</v>
      </c>
      <c r="O870" s="14">
        <f t="shared" si="30"/>
        <v>1.1836734693877551</v>
      </c>
    </row>
    <row r="871" spans="1:15" x14ac:dyDescent="0.3">
      <c r="A871" s="17" t="s">
        <v>42</v>
      </c>
      <c r="B871" s="12" t="s">
        <v>30</v>
      </c>
      <c r="C871" s="12" t="s">
        <v>33</v>
      </c>
      <c r="D871" s="6">
        <f t="shared" si="32"/>
        <v>38</v>
      </c>
      <c r="E871">
        <v>12</v>
      </c>
      <c r="F871" s="6">
        <f>VLOOKUP($E871,Sheet3!$B$3:$D$54,2,0)</f>
        <v>3</v>
      </c>
      <c r="G871" s="6">
        <f>VLOOKUP($E871,Sheet3!$B$3:$G$54,3,0)</f>
        <v>0</v>
      </c>
      <c r="H871" s="5">
        <f>VLOOKUP($A871,Sheet3!$I$3:$J$38,2,0)</f>
        <v>22.25</v>
      </c>
      <c r="I871" s="6">
        <f>VLOOKUP($E871,Sheet3!$B$3:$G$54,5,0)</f>
        <v>172223</v>
      </c>
      <c r="J871" s="5">
        <f>VLOOKUP($E871,Sheet3!$B$3:$G$54,4,0)</f>
        <v>2.9</v>
      </c>
      <c r="K871" s="5">
        <f>VLOOKUP($E871,Sheet3!$B$3:$G$54,6,0)</f>
        <v>1.9</v>
      </c>
      <c r="L871">
        <v>392</v>
      </c>
      <c r="M871">
        <v>464</v>
      </c>
      <c r="N871">
        <v>26</v>
      </c>
      <c r="O871" s="14">
        <f t="shared" si="30"/>
        <v>1.1836734693877551</v>
      </c>
    </row>
    <row r="872" spans="1:15" x14ac:dyDescent="0.3">
      <c r="A872" s="17" t="s">
        <v>42</v>
      </c>
      <c r="B872" s="12" t="s">
        <v>30</v>
      </c>
      <c r="C872" s="12" t="s">
        <v>33</v>
      </c>
      <c r="D872" s="6">
        <f t="shared" si="32"/>
        <v>43</v>
      </c>
      <c r="E872">
        <v>13</v>
      </c>
      <c r="F872" s="6">
        <f>VLOOKUP($E872,Sheet3!$B$3:$D$54,2,0)</f>
        <v>3</v>
      </c>
      <c r="G872" s="6">
        <f>VLOOKUP($E872,Sheet3!$B$3:$G$54,3,0)</f>
        <v>0</v>
      </c>
      <c r="H872" s="5">
        <f>VLOOKUP($A872,Sheet3!$I$3:$J$38,2,0)</f>
        <v>22.25</v>
      </c>
      <c r="I872" s="6">
        <f>VLOOKUP($E872,Sheet3!$B$3:$G$54,5,0)</f>
        <v>172223</v>
      </c>
      <c r="J872" s="5">
        <f>VLOOKUP($E872,Sheet3!$B$3:$G$54,4,0)</f>
        <v>2.9</v>
      </c>
      <c r="K872" s="5">
        <f>VLOOKUP($E872,Sheet3!$B$3:$G$54,6,0)</f>
        <v>1.9</v>
      </c>
      <c r="L872">
        <v>510</v>
      </c>
      <c r="M872">
        <v>390</v>
      </c>
      <c r="N872">
        <v>22</v>
      </c>
      <c r="O872" s="14">
        <f t="shared" si="30"/>
        <v>0.76470588235294112</v>
      </c>
    </row>
    <row r="873" spans="1:15" x14ac:dyDescent="0.3">
      <c r="A873" s="17" t="s">
        <v>42</v>
      </c>
      <c r="B873" s="12" t="s">
        <v>30</v>
      </c>
      <c r="C873" s="12" t="s">
        <v>33</v>
      </c>
      <c r="D873" s="6">
        <f t="shared" si="32"/>
        <v>44</v>
      </c>
      <c r="E873">
        <v>14</v>
      </c>
      <c r="F873" s="6">
        <f>VLOOKUP($E873,Sheet3!$B$3:$D$54,2,0)</f>
        <v>3</v>
      </c>
      <c r="G873" s="6">
        <f>VLOOKUP($E873,Sheet3!$B$3:$G$54,3,0)</f>
        <v>0</v>
      </c>
      <c r="H873" s="5">
        <f>VLOOKUP($A873,Sheet3!$I$3:$J$38,2,0)</f>
        <v>22.25</v>
      </c>
      <c r="I873" s="6">
        <f>VLOOKUP($E873,Sheet3!$B$3:$G$54,5,0)</f>
        <v>172223</v>
      </c>
      <c r="J873" s="5">
        <f>VLOOKUP($E873,Sheet3!$B$3:$G$54,4,0)</f>
        <v>2.9</v>
      </c>
      <c r="K873" s="5">
        <f>VLOOKUP($E873,Sheet3!$B$3:$G$54,6,0)</f>
        <v>1.9</v>
      </c>
      <c r="L873">
        <v>510</v>
      </c>
      <c r="M873">
        <v>390</v>
      </c>
      <c r="N873">
        <v>22</v>
      </c>
      <c r="O873" s="14">
        <f t="shared" si="30"/>
        <v>0.76470588235294112</v>
      </c>
    </row>
    <row r="874" spans="1:15" x14ac:dyDescent="0.3">
      <c r="A874" s="17" t="s">
        <v>42</v>
      </c>
      <c r="B874" s="12" t="s">
        <v>30</v>
      </c>
      <c r="C874" s="12" t="s">
        <v>33</v>
      </c>
      <c r="D874" s="6">
        <f t="shared" si="32"/>
        <v>45</v>
      </c>
      <c r="E874">
        <v>15</v>
      </c>
      <c r="F874" s="6">
        <f>VLOOKUP($E874,Sheet3!$B$3:$D$54,2,0)</f>
        <v>4</v>
      </c>
      <c r="G874" s="6">
        <f>VLOOKUP($E874,Sheet3!$B$3:$G$54,3,0)</f>
        <v>0</v>
      </c>
      <c r="H874" s="5">
        <f>VLOOKUP($A874,Sheet3!$I$3:$J$38,2,0)</f>
        <v>22.25</v>
      </c>
      <c r="I874" s="6">
        <f>VLOOKUP($E874,Sheet3!$B$3:$G$54,5,0)</f>
        <v>139084</v>
      </c>
      <c r="J874" s="5">
        <f>VLOOKUP($E874,Sheet3!$B$3:$G$54,4,0)</f>
        <v>2.9</v>
      </c>
      <c r="K874" s="5">
        <f>VLOOKUP($E874,Sheet3!$B$3:$G$54,6,0)</f>
        <v>1.9</v>
      </c>
      <c r="L874">
        <v>510</v>
      </c>
      <c r="M874">
        <v>390</v>
      </c>
      <c r="N874">
        <v>22</v>
      </c>
      <c r="O874" s="14">
        <f t="shared" si="30"/>
        <v>0.76470588235294112</v>
      </c>
    </row>
    <row r="875" spans="1:15" x14ac:dyDescent="0.3">
      <c r="A875" s="17" t="s">
        <v>42</v>
      </c>
      <c r="B875" s="12" t="s">
        <v>30</v>
      </c>
      <c r="C875" s="12" t="s">
        <v>33</v>
      </c>
      <c r="D875" s="6">
        <f t="shared" si="32"/>
        <v>46</v>
      </c>
      <c r="E875">
        <v>16</v>
      </c>
      <c r="F875" s="6">
        <f>VLOOKUP($E875,Sheet3!$B$3:$D$54,2,0)</f>
        <v>4</v>
      </c>
      <c r="G875" s="6">
        <f>VLOOKUP($E875,Sheet3!$B$3:$G$54,3,0)</f>
        <v>0</v>
      </c>
      <c r="H875" s="5">
        <f>VLOOKUP($A875,Sheet3!$I$3:$J$38,2,0)</f>
        <v>22.25</v>
      </c>
      <c r="I875" s="6">
        <f>VLOOKUP($E875,Sheet3!$B$3:$G$54,5,0)</f>
        <v>139084</v>
      </c>
      <c r="J875" s="5">
        <f>VLOOKUP($E875,Sheet3!$B$3:$G$54,4,0)</f>
        <v>2.9</v>
      </c>
      <c r="K875" s="5">
        <f>VLOOKUP($E875,Sheet3!$B$3:$G$54,6,0)</f>
        <v>1.9</v>
      </c>
      <c r="L875">
        <v>510</v>
      </c>
      <c r="M875">
        <v>390</v>
      </c>
      <c r="N875">
        <v>22</v>
      </c>
      <c r="O875" s="14">
        <f t="shared" si="30"/>
        <v>0.76470588235294112</v>
      </c>
    </row>
    <row r="876" spans="1:15" x14ac:dyDescent="0.3">
      <c r="A876" s="17" t="s">
        <v>42</v>
      </c>
      <c r="B876" s="12" t="s">
        <v>30</v>
      </c>
      <c r="C876" s="12" t="s">
        <v>33</v>
      </c>
      <c r="D876" s="6">
        <f t="shared" si="32"/>
        <v>0</v>
      </c>
      <c r="E876">
        <v>17</v>
      </c>
      <c r="F876" s="6">
        <f>VLOOKUP($E876,Sheet3!$B$3:$D$54,2,0)</f>
        <v>4</v>
      </c>
      <c r="G876" s="6">
        <f>VLOOKUP($E876,Sheet3!$B$3:$G$54,3,0)</f>
        <v>1</v>
      </c>
      <c r="H876" s="5">
        <f>VLOOKUP($A876,Sheet3!$I$3:$J$38,2,0)</f>
        <v>22.25</v>
      </c>
      <c r="I876" s="6">
        <f>VLOOKUP($E876,Sheet3!$B$3:$G$54,5,0)</f>
        <v>139084</v>
      </c>
      <c r="J876" s="5">
        <f>VLOOKUP($E876,Sheet3!$B$3:$G$54,4,0)</f>
        <v>2.65</v>
      </c>
      <c r="K876" s="5">
        <f>VLOOKUP($E876,Sheet3!$B$3:$G$54,6,0)</f>
        <v>1.9</v>
      </c>
      <c r="L876">
        <v>450</v>
      </c>
      <c r="M876">
        <v>390</v>
      </c>
      <c r="N876">
        <v>17</v>
      </c>
      <c r="O876" s="14">
        <f t="shared" si="30"/>
        <v>0.8666666666666667</v>
      </c>
    </row>
    <row r="877" spans="1:15" x14ac:dyDescent="0.3">
      <c r="A877" s="17" t="s">
        <v>42</v>
      </c>
      <c r="B877" s="12" t="s">
        <v>30</v>
      </c>
      <c r="C877" s="12" t="s">
        <v>33</v>
      </c>
      <c r="D877" s="6">
        <f t="shared" si="32"/>
        <v>0</v>
      </c>
      <c r="E877">
        <v>18</v>
      </c>
      <c r="F877" s="6">
        <f>VLOOKUP($E877,Sheet3!$B$3:$D$54,2,0)</f>
        <v>4</v>
      </c>
      <c r="G877" s="6">
        <f>VLOOKUP($E877,Sheet3!$B$3:$G$54,3,0)</f>
        <v>1</v>
      </c>
      <c r="H877" s="5">
        <f>VLOOKUP($A877,Sheet3!$I$3:$J$38,2,0)</f>
        <v>22.25</v>
      </c>
      <c r="I877" s="6">
        <f>VLOOKUP($E877,Sheet3!$B$3:$G$54,5,0)</f>
        <v>139084</v>
      </c>
      <c r="J877" s="5">
        <f>VLOOKUP($E877,Sheet3!$B$3:$G$54,4,0)</f>
        <v>2.65</v>
      </c>
      <c r="K877" s="5">
        <f>VLOOKUP($E877,Sheet3!$B$3:$G$54,6,0)</f>
        <v>1.9</v>
      </c>
      <c r="L877">
        <v>420</v>
      </c>
      <c r="M877">
        <v>610</v>
      </c>
      <c r="N877">
        <v>18</v>
      </c>
      <c r="O877" s="14">
        <f t="shared" si="30"/>
        <v>1.4523809523809523</v>
      </c>
    </row>
    <row r="878" spans="1:15" x14ac:dyDescent="0.3">
      <c r="A878" s="17" t="s">
        <v>42</v>
      </c>
      <c r="B878" s="12" t="s">
        <v>30</v>
      </c>
      <c r="C878" s="12" t="s">
        <v>33</v>
      </c>
      <c r="D878" s="6">
        <f t="shared" si="32"/>
        <v>1</v>
      </c>
      <c r="E878">
        <v>19</v>
      </c>
      <c r="F878" s="6">
        <f>VLOOKUP($E878,Sheet3!$B$3:$D$54,2,0)</f>
        <v>5</v>
      </c>
      <c r="G878" s="6">
        <f>VLOOKUP($E878,Sheet3!$B$3:$G$54,3,0)</f>
        <v>0</v>
      </c>
      <c r="H878" s="5">
        <f>VLOOKUP($A878,Sheet3!$I$3:$J$38,2,0)</f>
        <v>22.25</v>
      </c>
      <c r="I878" s="6">
        <f>VLOOKUP($E878,Sheet3!$B$3:$G$54,5,0)</f>
        <v>139390</v>
      </c>
      <c r="J878" s="5">
        <f>VLOOKUP($E878,Sheet3!$B$3:$G$54,4,0)</f>
        <v>2.65</v>
      </c>
      <c r="K878" s="5">
        <f>VLOOKUP($E878,Sheet3!$B$3:$G$54,6,0)</f>
        <v>1.6</v>
      </c>
      <c r="L878">
        <v>420</v>
      </c>
      <c r="M878">
        <v>610</v>
      </c>
      <c r="N878">
        <v>18</v>
      </c>
      <c r="O878" s="14">
        <f t="shared" si="30"/>
        <v>1.4523809523809523</v>
      </c>
    </row>
    <row r="879" spans="1:15" x14ac:dyDescent="0.3">
      <c r="A879" s="17" t="s">
        <v>42</v>
      </c>
      <c r="B879" s="12" t="s">
        <v>30</v>
      </c>
      <c r="C879" s="12" t="s">
        <v>33</v>
      </c>
      <c r="D879" s="6">
        <f t="shared" si="32"/>
        <v>1</v>
      </c>
      <c r="E879">
        <v>20</v>
      </c>
      <c r="F879" s="6">
        <f>VLOOKUP($E879,Sheet3!$B$3:$D$54,2,0)</f>
        <v>5</v>
      </c>
      <c r="G879" s="6">
        <f>VLOOKUP($E879,Sheet3!$B$3:$G$54,3,0)</f>
        <v>0</v>
      </c>
      <c r="H879" s="5">
        <f>VLOOKUP($A879,Sheet3!$I$3:$J$38,2,0)</f>
        <v>22.25</v>
      </c>
      <c r="I879" s="6">
        <f>VLOOKUP($E879,Sheet3!$B$3:$G$54,5,0)</f>
        <v>139390</v>
      </c>
      <c r="J879" s="5">
        <f>VLOOKUP($E879,Sheet3!$B$3:$G$54,4,0)</f>
        <v>2.65</v>
      </c>
      <c r="K879" s="5">
        <f>VLOOKUP($E879,Sheet3!$B$3:$G$54,6,0)</f>
        <v>1.6</v>
      </c>
      <c r="L879">
        <v>420</v>
      </c>
      <c r="M879">
        <v>610</v>
      </c>
      <c r="N879">
        <v>19</v>
      </c>
      <c r="O879" s="14">
        <f t="shared" si="30"/>
        <v>1.4523809523809523</v>
      </c>
    </row>
    <row r="880" spans="1:15" x14ac:dyDescent="0.3">
      <c r="A880" s="17" t="s">
        <v>42</v>
      </c>
      <c r="B880" s="12" t="s">
        <v>30</v>
      </c>
      <c r="C880" s="12" t="s">
        <v>33</v>
      </c>
      <c r="D880" s="6">
        <f t="shared" si="32"/>
        <v>1</v>
      </c>
      <c r="E880">
        <v>21</v>
      </c>
      <c r="F880" s="6">
        <f>VLOOKUP($E880,Sheet3!$B$3:$D$54,2,0)</f>
        <v>5</v>
      </c>
      <c r="G880" s="6">
        <f>VLOOKUP($E880,Sheet3!$B$3:$G$54,3,0)</f>
        <v>0</v>
      </c>
      <c r="H880" s="5">
        <f>VLOOKUP($A880,Sheet3!$I$3:$J$38,2,0)</f>
        <v>22.25</v>
      </c>
      <c r="I880" s="6">
        <f>VLOOKUP($E880,Sheet3!$B$3:$G$54,5,0)</f>
        <v>139390</v>
      </c>
      <c r="J880" s="5">
        <f>VLOOKUP($E880,Sheet3!$B$3:$G$54,4,0)</f>
        <v>2.65</v>
      </c>
      <c r="K880" s="5">
        <f>VLOOKUP($E880,Sheet3!$B$3:$G$54,6,0)</f>
        <v>1.6</v>
      </c>
      <c r="L880">
        <v>420</v>
      </c>
      <c r="M880">
        <v>610</v>
      </c>
      <c r="N880">
        <v>20</v>
      </c>
      <c r="O880" s="14">
        <f t="shared" si="30"/>
        <v>1.4523809523809523</v>
      </c>
    </row>
    <row r="881" spans="1:15" x14ac:dyDescent="0.3">
      <c r="A881" s="17" t="s">
        <v>42</v>
      </c>
      <c r="B881" s="12" t="s">
        <v>30</v>
      </c>
      <c r="C881" s="12" t="s">
        <v>33</v>
      </c>
      <c r="D881" s="6">
        <f t="shared" si="32"/>
        <v>5</v>
      </c>
      <c r="E881">
        <v>22</v>
      </c>
      <c r="F881" s="6">
        <f>VLOOKUP($E881,Sheet3!$B$3:$D$54,2,0)</f>
        <v>5</v>
      </c>
      <c r="G881" s="6">
        <f>VLOOKUP($E881,Sheet3!$B$3:$G$54,3,0)</f>
        <v>0</v>
      </c>
      <c r="H881" s="5">
        <f>VLOOKUP($A881,Sheet3!$I$3:$J$38,2,0)</f>
        <v>22.25</v>
      </c>
      <c r="I881" s="6">
        <f>VLOOKUP($E881,Sheet3!$B$3:$G$54,5,0)</f>
        <v>139390</v>
      </c>
      <c r="J881" s="5">
        <f>VLOOKUP($E881,Sheet3!$B$3:$G$54,4,0)</f>
        <v>2.65</v>
      </c>
      <c r="K881" s="5">
        <f>VLOOKUP($E881,Sheet3!$B$3:$G$54,6,0)</f>
        <v>1.6</v>
      </c>
      <c r="L881">
        <v>440</v>
      </c>
      <c r="M881">
        <v>456</v>
      </c>
      <c r="N881">
        <v>17</v>
      </c>
      <c r="O881" s="14">
        <f t="shared" si="30"/>
        <v>1.0363636363636364</v>
      </c>
    </row>
    <row r="882" spans="1:15" x14ac:dyDescent="0.3">
      <c r="A882" s="17" t="s">
        <v>42</v>
      </c>
      <c r="B882" s="12" t="s">
        <v>30</v>
      </c>
      <c r="C882" s="12" t="s">
        <v>33</v>
      </c>
      <c r="D882" s="6">
        <f t="shared" si="32"/>
        <v>5</v>
      </c>
      <c r="E882">
        <v>23</v>
      </c>
      <c r="F882" s="6">
        <f>VLOOKUP($E882,Sheet3!$B$3:$D$54,2,0)</f>
        <v>5</v>
      </c>
      <c r="G882" s="6">
        <f>VLOOKUP($E882,Sheet3!$B$3:$G$54,3,0)</f>
        <v>1</v>
      </c>
      <c r="H882" s="5">
        <f>VLOOKUP($A882,Sheet3!$I$3:$J$38,2,0)</f>
        <v>22.25</v>
      </c>
      <c r="I882" s="6">
        <f>VLOOKUP($E882,Sheet3!$B$3:$G$54,5,0)</f>
        <v>139390</v>
      </c>
      <c r="J882" s="5">
        <f>VLOOKUP($E882,Sheet3!$B$3:$G$54,4,0)</f>
        <v>2.4</v>
      </c>
      <c r="K882" s="5">
        <f>VLOOKUP($E882,Sheet3!$B$3:$G$54,6,0)</f>
        <v>1.6</v>
      </c>
      <c r="L882">
        <v>440</v>
      </c>
      <c r="M882">
        <v>456</v>
      </c>
      <c r="N882">
        <v>18</v>
      </c>
      <c r="O882" s="14">
        <f t="shared" ref="O882:O943" si="33">M882/L882</f>
        <v>1.0363636363636364</v>
      </c>
    </row>
    <row r="883" spans="1:15" x14ac:dyDescent="0.3">
      <c r="A883" s="17" t="s">
        <v>42</v>
      </c>
      <c r="B883" s="12" t="s">
        <v>30</v>
      </c>
      <c r="C883" s="12" t="s">
        <v>33</v>
      </c>
      <c r="D883" s="6">
        <f t="shared" si="32"/>
        <v>5</v>
      </c>
      <c r="E883">
        <v>24</v>
      </c>
      <c r="F883" s="6">
        <f>VLOOKUP($E883,Sheet3!$B$3:$D$54,2,0)</f>
        <v>6</v>
      </c>
      <c r="G883" s="6">
        <f>VLOOKUP($E883,Sheet3!$B$3:$G$54,3,0)</f>
        <v>0</v>
      </c>
      <c r="H883" s="5">
        <f>VLOOKUP($A883,Sheet3!$I$3:$J$38,2,0)</f>
        <v>22.25</v>
      </c>
      <c r="I883" s="6">
        <f>VLOOKUP($E883,Sheet3!$B$3:$G$54,5,0)</f>
        <v>132191</v>
      </c>
      <c r="J883" s="5">
        <f>VLOOKUP($E883,Sheet3!$B$3:$G$54,4,0)</f>
        <v>2.4</v>
      </c>
      <c r="K883" s="5">
        <f>VLOOKUP($E883,Sheet3!$B$3:$G$54,6,0)</f>
        <v>1.7</v>
      </c>
      <c r="L883">
        <v>440</v>
      </c>
      <c r="M883">
        <v>456</v>
      </c>
      <c r="N883">
        <v>19</v>
      </c>
      <c r="O883" s="14">
        <f t="shared" si="33"/>
        <v>1.0363636363636364</v>
      </c>
    </row>
    <row r="884" spans="1:15" x14ac:dyDescent="0.3">
      <c r="A884" s="17" t="s">
        <v>42</v>
      </c>
      <c r="B884" s="12" t="s">
        <v>30</v>
      </c>
      <c r="C884" s="12" t="s">
        <v>33</v>
      </c>
      <c r="D884" s="6">
        <f t="shared" si="32"/>
        <v>5</v>
      </c>
      <c r="E884">
        <v>25</v>
      </c>
      <c r="F884" s="6">
        <f>VLOOKUP($E884,Sheet3!$B$3:$D$54,2,0)</f>
        <v>6</v>
      </c>
      <c r="G884" s="6">
        <f>VLOOKUP($E884,Sheet3!$B$3:$G$54,3,0)</f>
        <v>0</v>
      </c>
      <c r="H884" s="5">
        <f>VLOOKUP($A884,Sheet3!$I$3:$J$38,2,0)</f>
        <v>22.25</v>
      </c>
      <c r="I884" s="6">
        <f>VLOOKUP($E884,Sheet3!$B$3:$G$54,5,0)</f>
        <v>132191</v>
      </c>
      <c r="J884" s="5">
        <f>VLOOKUP($E884,Sheet3!$B$3:$G$54,4,0)</f>
        <v>2.4</v>
      </c>
      <c r="K884" s="5">
        <f>VLOOKUP($E884,Sheet3!$B$3:$G$54,6,0)</f>
        <v>1.7</v>
      </c>
      <c r="L884">
        <v>440</v>
      </c>
      <c r="M884">
        <v>456</v>
      </c>
      <c r="N884">
        <v>20</v>
      </c>
      <c r="O884" s="14">
        <f t="shared" si="33"/>
        <v>1.0363636363636364</v>
      </c>
    </row>
    <row r="885" spans="1:15" x14ac:dyDescent="0.3">
      <c r="A885" s="17" t="s">
        <v>42</v>
      </c>
      <c r="B885" s="12" t="s">
        <v>30</v>
      </c>
      <c r="C885" s="12" t="s">
        <v>33</v>
      </c>
      <c r="D885" s="6">
        <f t="shared" si="32"/>
        <v>6</v>
      </c>
      <c r="E885">
        <v>26</v>
      </c>
      <c r="F885" s="6">
        <f>VLOOKUP($E885,Sheet3!$B$3:$D$54,2,0)</f>
        <v>6</v>
      </c>
      <c r="G885" s="6">
        <f>VLOOKUP($E885,Sheet3!$B$3:$G$54,3,0)</f>
        <v>0</v>
      </c>
      <c r="H885" s="5">
        <f>VLOOKUP($A885,Sheet3!$I$3:$J$38,2,0)</f>
        <v>22.25</v>
      </c>
      <c r="I885" s="6">
        <f>VLOOKUP($E885,Sheet3!$B$3:$G$54,5,0)</f>
        <v>132191</v>
      </c>
      <c r="J885" s="5">
        <f>VLOOKUP($E885,Sheet3!$B$3:$G$54,4,0)</f>
        <v>2.4</v>
      </c>
      <c r="K885" s="5">
        <f>VLOOKUP($E885,Sheet3!$B$3:$G$54,6,0)</f>
        <v>1.7</v>
      </c>
      <c r="L885">
        <v>440</v>
      </c>
      <c r="M885">
        <v>456</v>
      </c>
      <c r="N885">
        <v>20</v>
      </c>
      <c r="O885" s="14">
        <f t="shared" si="33"/>
        <v>1.0363636363636364</v>
      </c>
    </row>
    <row r="886" spans="1:15" x14ac:dyDescent="0.3">
      <c r="A886" s="15" t="s">
        <v>38</v>
      </c>
      <c r="B886" s="12" t="s">
        <v>32</v>
      </c>
      <c r="C886" s="12" t="s">
        <v>33</v>
      </c>
      <c r="D886" s="6">
        <f t="shared" si="32"/>
        <v>10</v>
      </c>
      <c r="E886">
        <v>27</v>
      </c>
      <c r="F886" s="6">
        <f>VLOOKUP($E886,Sheet3!$B$3:$D$54,2,0)</f>
        <v>7</v>
      </c>
      <c r="G886" s="6">
        <f>VLOOKUP($E886,Sheet3!$B$3:$G$54,3,0)</f>
        <v>0</v>
      </c>
      <c r="H886" s="5">
        <f>VLOOKUP($A886,Sheet3!$I$3:$J$38,2,0)</f>
        <v>24.18</v>
      </c>
      <c r="I886" s="6">
        <f>VLOOKUP($E886,Sheet3!$B$3:$G$54,5,0)</f>
        <v>124806</v>
      </c>
      <c r="J886" s="5">
        <f>VLOOKUP($E886,Sheet3!$B$3:$G$54,4,0)</f>
        <v>4.5</v>
      </c>
      <c r="K886" s="5">
        <f>VLOOKUP($E886,Sheet3!$B$3:$G$54,6,0)</f>
        <v>1.3</v>
      </c>
      <c r="L886">
        <v>753</v>
      </c>
      <c r="M886">
        <v>0</v>
      </c>
      <c r="N886">
        <v>17</v>
      </c>
      <c r="O886" s="14">
        <f t="shared" si="33"/>
        <v>0</v>
      </c>
    </row>
    <row r="887" spans="1:15" x14ac:dyDescent="0.3">
      <c r="A887" s="15" t="s">
        <v>38</v>
      </c>
      <c r="B887" s="12" t="s">
        <v>32</v>
      </c>
      <c r="C887" s="12" t="s">
        <v>33</v>
      </c>
      <c r="D887" s="6">
        <f t="shared" si="32"/>
        <v>11</v>
      </c>
      <c r="E887">
        <v>28</v>
      </c>
      <c r="F887" s="6">
        <f>VLOOKUP($E887,Sheet3!$B$3:$D$54,2,0)</f>
        <v>7</v>
      </c>
      <c r="G887" s="6">
        <f>VLOOKUP($E887,Sheet3!$B$3:$G$54,3,0)</f>
        <v>0</v>
      </c>
      <c r="H887" s="5">
        <f>VLOOKUP($A887,Sheet3!$I$3:$J$38,2,0)</f>
        <v>24.18</v>
      </c>
      <c r="I887" s="6">
        <f>VLOOKUP($E887,Sheet3!$B$3:$G$54,5,0)</f>
        <v>124806</v>
      </c>
      <c r="J887" s="5">
        <f>VLOOKUP($E887,Sheet3!$B$3:$G$54,4,0)</f>
        <v>4.5</v>
      </c>
      <c r="K887" s="5">
        <f>VLOOKUP($E887,Sheet3!$B$3:$G$54,6,0)</f>
        <v>1.3</v>
      </c>
      <c r="L887">
        <v>753</v>
      </c>
      <c r="M887">
        <v>0</v>
      </c>
      <c r="N887">
        <v>17</v>
      </c>
      <c r="O887" s="14">
        <f t="shared" si="33"/>
        <v>0</v>
      </c>
    </row>
    <row r="888" spans="1:15" x14ac:dyDescent="0.3">
      <c r="A888" s="15" t="s">
        <v>38</v>
      </c>
      <c r="B888" s="12" t="s">
        <v>32</v>
      </c>
      <c r="C888" s="12" t="s">
        <v>33</v>
      </c>
      <c r="D888" s="6">
        <f t="shared" si="32"/>
        <v>11</v>
      </c>
      <c r="E888">
        <v>29</v>
      </c>
      <c r="F888" s="6">
        <f>VLOOKUP($E888,Sheet3!$B$3:$D$54,2,0)</f>
        <v>7</v>
      </c>
      <c r="G888" s="6">
        <f>VLOOKUP($E888,Sheet3!$B$3:$G$54,3,0)</f>
        <v>0</v>
      </c>
      <c r="H888" s="5">
        <f>VLOOKUP($A888,Sheet3!$I$3:$J$38,2,0)</f>
        <v>24.18</v>
      </c>
      <c r="I888" s="6">
        <f>VLOOKUP($E888,Sheet3!$B$3:$G$54,5,0)</f>
        <v>124806</v>
      </c>
      <c r="J888" s="5">
        <f>VLOOKUP($E888,Sheet3!$B$3:$G$54,4,0)</f>
        <v>4.5</v>
      </c>
      <c r="K888" s="5">
        <f>VLOOKUP($E888,Sheet3!$B$3:$G$54,6,0)</f>
        <v>1.3</v>
      </c>
      <c r="L888">
        <v>753</v>
      </c>
      <c r="M888">
        <v>12420</v>
      </c>
      <c r="N888">
        <v>18</v>
      </c>
      <c r="O888" s="14">
        <f t="shared" si="33"/>
        <v>16.49402390438247</v>
      </c>
    </row>
    <row r="889" spans="1:15" x14ac:dyDescent="0.3">
      <c r="A889" s="15" t="s">
        <v>38</v>
      </c>
      <c r="B889" s="12" t="s">
        <v>32</v>
      </c>
      <c r="C889" s="12" t="s">
        <v>33</v>
      </c>
      <c r="D889" s="6">
        <f t="shared" si="32"/>
        <v>11</v>
      </c>
      <c r="E889">
        <v>30</v>
      </c>
      <c r="F889" s="6">
        <f>VLOOKUP($E889,Sheet3!$B$3:$D$54,2,0)</f>
        <v>7</v>
      </c>
      <c r="G889" s="6">
        <f>VLOOKUP($E889,Sheet3!$B$3:$G$54,3,0)</f>
        <v>0</v>
      </c>
      <c r="H889" s="5">
        <f>VLOOKUP($A889,Sheet3!$I$3:$J$38,2,0)</f>
        <v>24.18</v>
      </c>
      <c r="I889" s="6">
        <f>VLOOKUP($E889,Sheet3!$B$3:$G$54,5,0)</f>
        <v>124806</v>
      </c>
      <c r="J889" s="5">
        <f>VLOOKUP($E889,Sheet3!$B$3:$G$54,4,0)</f>
        <v>4.5</v>
      </c>
      <c r="K889" s="5">
        <f>VLOOKUP($E889,Sheet3!$B$3:$G$54,6,0)</f>
        <v>1.3</v>
      </c>
      <c r="L889">
        <v>753</v>
      </c>
      <c r="M889">
        <v>1980</v>
      </c>
      <c r="N889">
        <v>19</v>
      </c>
      <c r="O889" s="14">
        <f t="shared" si="33"/>
        <v>2.6294820717131473</v>
      </c>
    </row>
    <row r="890" spans="1:15" x14ac:dyDescent="0.3">
      <c r="A890" s="15" t="s">
        <v>38</v>
      </c>
      <c r="B890" s="12" t="s">
        <v>32</v>
      </c>
      <c r="C890" s="12" t="s">
        <v>33</v>
      </c>
      <c r="D890" s="6">
        <f t="shared" si="32"/>
        <v>21</v>
      </c>
      <c r="E890">
        <v>31</v>
      </c>
      <c r="F890" s="6">
        <f>VLOOKUP($E890,Sheet3!$B$3:$D$54,2,0)</f>
        <v>7</v>
      </c>
      <c r="G890" s="6">
        <f>VLOOKUP($E890,Sheet3!$B$3:$G$54,3,0)</f>
        <v>0</v>
      </c>
      <c r="H890" s="5">
        <f>VLOOKUP($A890,Sheet3!$I$3:$J$38,2,0)</f>
        <v>24.18</v>
      </c>
      <c r="I890" s="6">
        <f>VLOOKUP($E890,Sheet3!$B$3:$G$54,5,0)</f>
        <v>124806</v>
      </c>
      <c r="J890" s="5">
        <f>VLOOKUP($E890,Sheet3!$B$3:$G$54,4,0)</f>
        <v>4.5</v>
      </c>
      <c r="K890" s="5">
        <f>VLOOKUP($E890,Sheet3!$B$3:$G$54,6,0)</f>
        <v>1.3</v>
      </c>
      <c r="L890">
        <v>3600</v>
      </c>
      <c r="M890">
        <v>0</v>
      </c>
      <c r="N890">
        <v>10</v>
      </c>
      <c r="O890" s="14">
        <f t="shared" si="33"/>
        <v>0</v>
      </c>
    </row>
    <row r="891" spans="1:15" x14ac:dyDescent="0.3">
      <c r="A891" s="15" t="s">
        <v>38</v>
      </c>
      <c r="B891" s="12" t="s">
        <v>32</v>
      </c>
      <c r="C891" s="12" t="s">
        <v>33</v>
      </c>
      <c r="D891" s="6">
        <f t="shared" si="32"/>
        <v>22</v>
      </c>
      <c r="E891">
        <v>32</v>
      </c>
      <c r="F891" s="6">
        <f>VLOOKUP($E891,Sheet3!$B$3:$D$54,2,0)</f>
        <v>8</v>
      </c>
      <c r="G891" s="6">
        <f>VLOOKUP($E891,Sheet3!$B$3:$G$54,3,0)</f>
        <v>1</v>
      </c>
      <c r="H891" s="5">
        <f>VLOOKUP($A891,Sheet3!$I$3:$J$38,2,0)</f>
        <v>24.18</v>
      </c>
      <c r="I891" s="6">
        <f>VLOOKUP($E891,Sheet3!$B$3:$G$54,5,0)</f>
        <v>69121</v>
      </c>
      <c r="J891" s="5">
        <f>VLOOKUP($E891,Sheet3!$B$3:$G$54,4,0)</f>
        <v>4.5</v>
      </c>
      <c r="K891" s="5">
        <f>VLOOKUP($E891,Sheet3!$B$3:$G$54,6,0)</f>
        <v>1.1000000000000001</v>
      </c>
      <c r="L891">
        <v>3600</v>
      </c>
      <c r="M891">
        <v>0</v>
      </c>
      <c r="N891">
        <v>10</v>
      </c>
      <c r="O891" s="14">
        <f t="shared" si="33"/>
        <v>0</v>
      </c>
    </row>
    <row r="892" spans="1:15" x14ac:dyDescent="0.3">
      <c r="A892" s="15" t="s">
        <v>38</v>
      </c>
      <c r="B892" s="12" t="s">
        <v>32</v>
      </c>
      <c r="C892" s="12" t="s">
        <v>33</v>
      </c>
      <c r="D892" s="6">
        <f t="shared" si="32"/>
        <v>21</v>
      </c>
      <c r="E892">
        <v>33</v>
      </c>
      <c r="F892" s="6">
        <f>VLOOKUP($E892,Sheet3!$B$3:$D$54,2,0)</f>
        <v>8</v>
      </c>
      <c r="G892" s="6">
        <f>VLOOKUP($E892,Sheet3!$B$3:$G$54,3,0)</f>
        <v>1</v>
      </c>
      <c r="H892" s="5">
        <f>VLOOKUP($A892,Sheet3!$I$3:$J$38,2,0)</f>
        <v>24.18</v>
      </c>
      <c r="I892" s="6">
        <f>VLOOKUP($E892,Sheet3!$B$3:$G$54,5,0)</f>
        <v>69121</v>
      </c>
      <c r="J892" s="5">
        <f>VLOOKUP($E892,Sheet3!$B$3:$G$54,4,0)</f>
        <v>4.5</v>
      </c>
      <c r="K892" s="5">
        <f>VLOOKUP($E892,Sheet3!$B$3:$G$54,6,0)</f>
        <v>1.1000000000000001</v>
      </c>
      <c r="L892">
        <v>3600</v>
      </c>
      <c r="M892">
        <v>1980</v>
      </c>
      <c r="N892">
        <v>12</v>
      </c>
      <c r="O892" s="14">
        <f t="shared" si="33"/>
        <v>0.55000000000000004</v>
      </c>
    </row>
    <row r="893" spans="1:15" x14ac:dyDescent="0.3">
      <c r="A893" s="15" t="s">
        <v>38</v>
      </c>
      <c r="B893" s="12" t="s">
        <v>32</v>
      </c>
      <c r="C893" s="12" t="s">
        <v>33</v>
      </c>
      <c r="D893" s="6">
        <f t="shared" si="32"/>
        <v>22</v>
      </c>
      <c r="E893">
        <v>34</v>
      </c>
      <c r="F893" s="6">
        <f>VLOOKUP($E893,Sheet3!$B$3:$D$54,2,0)</f>
        <v>8</v>
      </c>
      <c r="G893" s="6">
        <f>VLOOKUP($E893,Sheet3!$B$3:$G$54,3,0)</f>
        <v>0</v>
      </c>
      <c r="H893" s="5">
        <f>VLOOKUP($A893,Sheet3!$I$3:$J$38,2,0)</f>
        <v>24.18</v>
      </c>
      <c r="I893" s="6">
        <f>VLOOKUP($E893,Sheet3!$B$3:$G$54,5,0)</f>
        <v>69121</v>
      </c>
      <c r="J893" s="5">
        <f>VLOOKUP($E893,Sheet3!$B$3:$G$54,4,0)</f>
        <v>4.5</v>
      </c>
      <c r="K893" s="5">
        <f>VLOOKUP($E893,Sheet3!$B$3:$G$54,6,0)</f>
        <v>1.1000000000000001</v>
      </c>
      <c r="L893">
        <v>3600</v>
      </c>
      <c r="M893">
        <v>1980</v>
      </c>
      <c r="N893">
        <v>12</v>
      </c>
      <c r="O893" s="14">
        <f t="shared" si="33"/>
        <v>0.55000000000000004</v>
      </c>
    </row>
    <row r="894" spans="1:15" x14ac:dyDescent="0.3">
      <c r="A894" s="15" t="s">
        <v>38</v>
      </c>
      <c r="B894" s="12" t="s">
        <v>32</v>
      </c>
      <c r="C894" s="12" t="s">
        <v>33</v>
      </c>
      <c r="D894" s="6">
        <f t="shared" si="32"/>
        <v>22</v>
      </c>
      <c r="E894">
        <v>35</v>
      </c>
      <c r="F894" s="6">
        <f>VLOOKUP($E894,Sheet3!$B$3:$D$54,2,0)</f>
        <v>8</v>
      </c>
      <c r="G894" s="6">
        <f>VLOOKUP($E894,Sheet3!$B$3:$G$54,3,0)</f>
        <v>0</v>
      </c>
      <c r="H894" s="5">
        <f>VLOOKUP($A894,Sheet3!$I$3:$J$38,2,0)</f>
        <v>24.18</v>
      </c>
      <c r="I894" s="6">
        <f>VLOOKUP($E894,Sheet3!$B$3:$G$54,5,0)</f>
        <v>69121</v>
      </c>
      <c r="J894" s="5">
        <f>VLOOKUP($E894,Sheet3!$B$3:$G$54,4,0)</f>
        <v>4.5</v>
      </c>
      <c r="K894" s="5">
        <f>VLOOKUP($E894,Sheet3!$B$3:$G$54,6,0)</f>
        <v>1.1000000000000001</v>
      </c>
      <c r="L894">
        <v>504</v>
      </c>
      <c r="M894">
        <v>1260</v>
      </c>
      <c r="N894">
        <v>13</v>
      </c>
      <c r="O894" s="14">
        <f t="shared" si="33"/>
        <v>2.5</v>
      </c>
    </row>
    <row r="895" spans="1:15" x14ac:dyDescent="0.3">
      <c r="A895" s="15" t="s">
        <v>38</v>
      </c>
      <c r="B895" s="12" t="s">
        <v>32</v>
      </c>
      <c r="C895" s="12" t="s">
        <v>33</v>
      </c>
      <c r="D895" s="6">
        <f t="shared" si="32"/>
        <v>18</v>
      </c>
      <c r="E895">
        <v>36</v>
      </c>
      <c r="F895" s="6">
        <f>VLOOKUP($E895,Sheet3!$B$3:$D$54,2,0)</f>
        <v>9</v>
      </c>
      <c r="G895" s="6">
        <f>VLOOKUP($E895,Sheet3!$B$3:$G$54,3,0)</f>
        <v>0</v>
      </c>
      <c r="H895" s="5">
        <f>VLOOKUP($A895,Sheet3!$I$3:$J$38,2,0)</f>
        <v>24.18</v>
      </c>
      <c r="I895" s="6">
        <f>VLOOKUP($E895,Sheet3!$B$3:$G$54,5,0)</f>
        <v>121666</v>
      </c>
      <c r="J895" s="5">
        <f>VLOOKUP($E895,Sheet3!$B$3:$G$54,4,0)</f>
        <v>4.5</v>
      </c>
      <c r="K895" s="5">
        <f>VLOOKUP($E895,Sheet3!$B$3:$G$54,6,0)</f>
        <v>0.7</v>
      </c>
      <c r="L895">
        <v>504</v>
      </c>
      <c r="M895">
        <v>1440</v>
      </c>
      <c r="N895">
        <v>18</v>
      </c>
      <c r="O895" s="14">
        <f t="shared" si="33"/>
        <v>2.8571428571428572</v>
      </c>
    </row>
    <row r="896" spans="1:15" x14ac:dyDescent="0.3">
      <c r="A896" s="15" t="s">
        <v>38</v>
      </c>
      <c r="B896" s="12" t="s">
        <v>32</v>
      </c>
      <c r="C896" s="12" t="s">
        <v>33</v>
      </c>
      <c r="D896" s="6">
        <f t="shared" si="32"/>
        <v>18</v>
      </c>
      <c r="E896">
        <v>37</v>
      </c>
      <c r="F896" s="6">
        <f>VLOOKUP($E896,Sheet3!$B$3:$D$54,2,0)</f>
        <v>9</v>
      </c>
      <c r="G896" s="6">
        <f>VLOOKUP($E896,Sheet3!$B$3:$G$54,3,0)</f>
        <v>0</v>
      </c>
      <c r="H896" s="5">
        <f>VLOOKUP($A896,Sheet3!$I$3:$J$38,2,0)</f>
        <v>24.18</v>
      </c>
      <c r="I896" s="6">
        <f>VLOOKUP($E896,Sheet3!$B$3:$G$54,5,0)</f>
        <v>121666</v>
      </c>
      <c r="J896" s="5">
        <f>VLOOKUP($E896,Sheet3!$B$3:$G$54,4,0)</f>
        <v>4.5</v>
      </c>
      <c r="K896" s="5">
        <f>VLOOKUP($E896,Sheet3!$B$3:$G$54,6,0)</f>
        <v>0.7</v>
      </c>
      <c r="L896">
        <v>504</v>
      </c>
      <c r="M896">
        <v>360</v>
      </c>
      <c r="N896">
        <v>19</v>
      </c>
      <c r="O896" s="14">
        <f t="shared" si="33"/>
        <v>0.7142857142857143</v>
      </c>
    </row>
    <row r="897" spans="1:15" x14ac:dyDescent="0.3">
      <c r="A897" s="15" t="s">
        <v>38</v>
      </c>
      <c r="B897" s="12" t="s">
        <v>32</v>
      </c>
      <c r="C897" s="12" t="s">
        <v>33</v>
      </c>
      <c r="D897" s="6">
        <f t="shared" si="32"/>
        <v>18</v>
      </c>
      <c r="E897">
        <v>38</v>
      </c>
      <c r="F897" s="6">
        <f>VLOOKUP($E897,Sheet3!$B$3:$D$54,2,0)</f>
        <v>9</v>
      </c>
      <c r="G897" s="6">
        <f>VLOOKUP($E897,Sheet3!$B$3:$G$54,3,0)</f>
        <v>0</v>
      </c>
      <c r="H897" s="5">
        <f>VLOOKUP($A897,Sheet3!$I$3:$J$38,2,0)</f>
        <v>24.18</v>
      </c>
      <c r="I897" s="6">
        <f>VLOOKUP($E897,Sheet3!$B$3:$G$54,5,0)</f>
        <v>121666</v>
      </c>
      <c r="J897" s="5">
        <f>VLOOKUP($E897,Sheet3!$B$3:$G$54,4,0)</f>
        <v>3.9</v>
      </c>
      <c r="K897" s="5">
        <f>VLOOKUP($E897,Sheet3!$B$3:$G$54,6,0)</f>
        <v>0.7</v>
      </c>
      <c r="L897">
        <v>504</v>
      </c>
      <c r="M897">
        <v>1440</v>
      </c>
      <c r="N897">
        <v>20</v>
      </c>
      <c r="O897" s="14">
        <f t="shared" si="33"/>
        <v>2.8571428571428572</v>
      </c>
    </row>
    <row r="898" spans="1:15" x14ac:dyDescent="0.3">
      <c r="A898" s="15" t="s">
        <v>38</v>
      </c>
      <c r="B898" s="12" t="s">
        <v>32</v>
      </c>
      <c r="C898" s="12" t="s">
        <v>33</v>
      </c>
      <c r="D898" s="6">
        <f t="shared" ref="D898:D960" si="34">IF(E898-N898&lt;0,E898-N898+52,E898-N898)</f>
        <v>21</v>
      </c>
      <c r="E898">
        <v>39</v>
      </c>
      <c r="F898" s="6">
        <f>VLOOKUP($E898,Sheet3!$B$3:$D$54,2,0)</f>
        <v>9</v>
      </c>
      <c r="G898" s="6">
        <f>VLOOKUP($E898,Sheet3!$B$3:$G$54,3,0)</f>
        <v>0</v>
      </c>
      <c r="H898" s="5">
        <f>VLOOKUP($A898,Sheet3!$I$3:$J$38,2,0)</f>
        <v>24.18</v>
      </c>
      <c r="I898" s="6">
        <f>VLOOKUP($E898,Sheet3!$B$3:$G$54,5,0)</f>
        <v>121666</v>
      </c>
      <c r="J898" s="5">
        <f>VLOOKUP($E898,Sheet3!$B$3:$G$54,4,0)</f>
        <v>3.9</v>
      </c>
      <c r="K898" s="5">
        <f>VLOOKUP($E898,Sheet3!$B$3:$G$54,6,0)</f>
        <v>0.7</v>
      </c>
      <c r="L898">
        <v>2295</v>
      </c>
      <c r="M898">
        <v>1440</v>
      </c>
      <c r="N898">
        <v>18</v>
      </c>
      <c r="O898" s="14">
        <f t="shared" si="33"/>
        <v>0.62745098039215685</v>
      </c>
    </row>
    <row r="899" spans="1:15" x14ac:dyDescent="0.3">
      <c r="A899" s="15" t="s">
        <v>38</v>
      </c>
      <c r="B899" s="12" t="s">
        <v>32</v>
      </c>
      <c r="C899" s="12" t="s">
        <v>33</v>
      </c>
      <c r="D899" s="6">
        <f t="shared" si="34"/>
        <v>21</v>
      </c>
      <c r="E899">
        <v>40</v>
      </c>
      <c r="F899" s="6">
        <f>VLOOKUP($E899,Sheet3!$B$3:$D$54,2,0)</f>
        <v>9</v>
      </c>
      <c r="G899" s="6">
        <f>VLOOKUP($E899,Sheet3!$B$3:$G$54,3,0)</f>
        <v>0</v>
      </c>
      <c r="H899" s="5">
        <f>VLOOKUP($A899,Sheet3!$I$3:$J$38,2,0)</f>
        <v>24.18</v>
      </c>
      <c r="I899" s="6">
        <f>VLOOKUP($E899,Sheet3!$B$3:$G$54,5,0)</f>
        <v>121666</v>
      </c>
      <c r="J899" s="5">
        <f>VLOOKUP($E899,Sheet3!$B$3:$G$54,4,0)</f>
        <v>3.9</v>
      </c>
      <c r="K899" s="5">
        <f>VLOOKUP($E899,Sheet3!$B$3:$G$54,6,0)</f>
        <v>0.7</v>
      </c>
      <c r="L899">
        <v>2295</v>
      </c>
      <c r="M899">
        <v>360</v>
      </c>
      <c r="N899">
        <v>19</v>
      </c>
      <c r="O899" s="14">
        <f t="shared" si="33"/>
        <v>0.15686274509803921</v>
      </c>
    </row>
    <row r="900" spans="1:15" x14ac:dyDescent="0.3">
      <c r="A900" s="15" t="s">
        <v>38</v>
      </c>
      <c r="B900" s="12" t="s">
        <v>32</v>
      </c>
      <c r="C900" s="12" t="s">
        <v>33</v>
      </c>
      <c r="D900" s="6">
        <f t="shared" si="34"/>
        <v>21</v>
      </c>
      <c r="E900">
        <v>41</v>
      </c>
      <c r="F900" s="6">
        <f>VLOOKUP($E900,Sheet3!$B$3:$D$54,2,0)</f>
        <v>10</v>
      </c>
      <c r="G900" s="6">
        <f>VLOOKUP($E900,Sheet3!$B$3:$G$54,3,0)</f>
        <v>0</v>
      </c>
      <c r="H900" s="5">
        <f>VLOOKUP($A900,Sheet3!$I$3:$J$38,2,0)</f>
        <v>24.18</v>
      </c>
      <c r="I900" s="6">
        <f>VLOOKUP($E900,Sheet3!$B$3:$G$54,5,0)</f>
        <v>126488</v>
      </c>
      <c r="J900" s="5">
        <f>VLOOKUP($E900,Sheet3!$B$3:$G$54,4,0)</f>
        <v>3.9</v>
      </c>
      <c r="K900" s="5">
        <f>VLOOKUP($E900,Sheet3!$B$3:$G$54,6,0)</f>
        <v>0.9</v>
      </c>
      <c r="L900">
        <v>2295</v>
      </c>
      <c r="M900">
        <v>720</v>
      </c>
      <c r="N900">
        <v>20</v>
      </c>
      <c r="O900" s="14">
        <f t="shared" si="33"/>
        <v>0.31372549019607843</v>
      </c>
    </row>
    <row r="901" spans="1:15" x14ac:dyDescent="0.3">
      <c r="A901" s="15" t="s">
        <v>38</v>
      </c>
      <c r="B901" s="12" t="s">
        <v>32</v>
      </c>
      <c r="C901" s="12" t="s">
        <v>33</v>
      </c>
      <c r="D901" s="6">
        <f t="shared" si="34"/>
        <v>21</v>
      </c>
      <c r="E901">
        <v>42</v>
      </c>
      <c r="F901" s="6">
        <f>VLOOKUP($E901,Sheet3!$B$3:$D$54,2,0)</f>
        <v>10</v>
      </c>
      <c r="G901" s="6">
        <f>VLOOKUP($E901,Sheet3!$B$3:$G$54,3,0)</f>
        <v>0</v>
      </c>
      <c r="H901" s="5">
        <f>VLOOKUP($A901,Sheet3!$I$3:$J$38,2,0)</f>
        <v>24.18</v>
      </c>
      <c r="I901" s="6">
        <f>VLOOKUP($E901,Sheet3!$B$3:$G$54,5,0)</f>
        <v>126488</v>
      </c>
      <c r="J901" s="5">
        <f>VLOOKUP($E901,Sheet3!$B$3:$G$54,4,0)</f>
        <v>3.9</v>
      </c>
      <c r="K901" s="5">
        <f>VLOOKUP($E901,Sheet3!$B$3:$G$54,6,0)</f>
        <v>0.9</v>
      </c>
      <c r="L901">
        <v>2295</v>
      </c>
      <c r="M901">
        <v>4320</v>
      </c>
      <c r="N901">
        <v>21</v>
      </c>
      <c r="O901" s="14">
        <f t="shared" si="33"/>
        <v>1.8823529411764706</v>
      </c>
    </row>
    <row r="902" spans="1:15" x14ac:dyDescent="0.3">
      <c r="A902" s="15" t="s">
        <v>38</v>
      </c>
      <c r="B902" s="12" t="s">
        <v>32</v>
      </c>
      <c r="C902" s="12" t="s">
        <v>33</v>
      </c>
      <c r="D902" s="6">
        <f t="shared" si="34"/>
        <v>21</v>
      </c>
      <c r="E902">
        <v>43</v>
      </c>
      <c r="F902" s="6">
        <f>VLOOKUP($E902,Sheet3!$B$3:$D$54,2,0)</f>
        <v>10</v>
      </c>
      <c r="G902" s="6">
        <f>VLOOKUP($E902,Sheet3!$B$3:$G$54,3,0)</f>
        <v>0</v>
      </c>
      <c r="H902" s="5">
        <f>VLOOKUP($A902,Sheet3!$I$3:$J$38,2,0)</f>
        <v>24.18</v>
      </c>
      <c r="I902" s="6">
        <f>VLOOKUP($E902,Sheet3!$B$3:$G$54,5,0)</f>
        <v>126488</v>
      </c>
      <c r="J902" s="5">
        <f>VLOOKUP($E902,Sheet3!$B$3:$G$54,4,0)</f>
        <v>3.65</v>
      </c>
      <c r="K902" s="5">
        <f>VLOOKUP($E902,Sheet3!$B$3:$G$54,6,0)</f>
        <v>0.9</v>
      </c>
      <c r="L902">
        <v>2295</v>
      </c>
      <c r="M902">
        <v>180</v>
      </c>
      <c r="N902">
        <v>22</v>
      </c>
      <c r="O902" s="14">
        <f t="shared" si="33"/>
        <v>7.8431372549019607E-2</v>
      </c>
    </row>
    <row r="903" spans="1:15" x14ac:dyDescent="0.3">
      <c r="A903" s="15" t="s">
        <v>38</v>
      </c>
      <c r="B903" s="12" t="s">
        <v>32</v>
      </c>
      <c r="C903" s="12" t="s">
        <v>33</v>
      </c>
      <c r="D903" s="6">
        <f t="shared" si="34"/>
        <v>21</v>
      </c>
      <c r="E903">
        <v>44</v>
      </c>
      <c r="F903" s="6">
        <f>VLOOKUP($E903,Sheet3!$B$3:$D$54,2,0)</f>
        <v>10</v>
      </c>
      <c r="G903" s="6">
        <f>VLOOKUP($E903,Sheet3!$B$3:$G$54,3,0)</f>
        <v>1</v>
      </c>
      <c r="H903" s="5">
        <f>VLOOKUP($A903,Sheet3!$I$3:$J$38,2,0)</f>
        <v>24.18</v>
      </c>
      <c r="I903" s="6">
        <f>VLOOKUP($E903,Sheet3!$B$3:$G$54,5,0)</f>
        <v>126488</v>
      </c>
      <c r="J903" s="5">
        <f>VLOOKUP($E903,Sheet3!$B$3:$G$54,4,0)</f>
        <v>3.65</v>
      </c>
      <c r="K903" s="5">
        <f>VLOOKUP($E903,Sheet3!$B$3:$G$54,6,0)</f>
        <v>0.9</v>
      </c>
      <c r="L903">
        <v>2025</v>
      </c>
      <c r="M903">
        <v>0</v>
      </c>
      <c r="N903">
        <v>23</v>
      </c>
      <c r="O903" s="14">
        <f t="shared" si="33"/>
        <v>0</v>
      </c>
    </row>
    <row r="904" spans="1:15" x14ac:dyDescent="0.3">
      <c r="A904" s="15" t="s">
        <v>38</v>
      </c>
      <c r="B904" s="12" t="s">
        <v>32</v>
      </c>
      <c r="C904" s="12" t="s">
        <v>33</v>
      </c>
      <c r="D904" s="6">
        <f t="shared" si="34"/>
        <v>21</v>
      </c>
      <c r="E904">
        <v>45</v>
      </c>
      <c r="F904" s="6">
        <f>VLOOKUP($E904,Sheet3!$B$3:$D$54,2,0)</f>
        <v>11</v>
      </c>
      <c r="G904" s="6">
        <f>VLOOKUP($E904,Sheet3!$B$3:$G$54,3,0)</f>
        <v>0</v>
      </c>
      <c r="H904" s="5">
        <f>VLOOKUP($A904,Sheet3!$I$3:$J$38,2,0)</f>
        <v>24.18</v>
      </c>
      <c r="I904" s="6">
        <f>VLOOKUP($E904,Sheet3!$B$3:$G$54,5,0)</f>
        <v>124251</v>
      </c>
      <c r="J904" s="5">
        <f>VLOOKUP($E904,Sheet3!$B$3:$G$54,4,0)</f>
        <v>3.65</v>
      </c>
      <c r="K904" s="5">
        <f>VLOOKUP($E904,Sheet3!$B$3:$G$54,6,0)</f>
        <v>1.3</v>
      </c>
      <c r="L904">
        <v>2025</v>
      </c>
      <c r="M904">
        <v>1800</v>
      </c>
      <c r="N904">
        <v>24</v>
      </c>
      <c r="O904" s="14">
        <f t="shared" si="33"/>
        <v>0.88888888888888884</v>
      </c>
    </row>
    <row r="905" spans="1:15" x14ac:dyDescent="0.3">
      <c r="A905" s="15" t="s">
        <v>38</v>
      </c>
      <c r="B905" s="12" t="s">
        <v>32</v>
      </c>
      <c r="C905" s="12" t="s">
        <v>33</v>
      </c>
      <c r="D905" s="6">
        <f t="shared" si="34"/>
        <v>21</v>
      </c>
      <c r="E905">
        <v>46</v>
      </c>
      <c r="F905" s="6">
        <f>VLOOKUP($E905,Sheet3!$B$3:$D$54,2,0)</f>
        <v>11</v>
      </c>
      <c r="G905" s="6">
        <f>VLOOKUP($E905,Sheet3!$B$3:$G$54,3,0)</f>
        <v>0</v>
      </c>
      <c r="H905" s="5">
        <f>VLOOKUP($A905,Sheet3!$I$3:$J$38,2,0)</f>
        <v>24.18</v>
      </c>
      <c r="I905" s="6">
        <f>VLOOKUP($E905,Sheet3!$B$3:$G$54,5,0)</f>
        <v>124251</v>
      </c>
      <c r="J905" s="5">
        <f>VLOOKUP($E905,Sheet3!$B$3:$G$54,4,0)</f>
        <v>3.65</v>
      </c>
      <c r="K905" s="5">
        <f>VLOOKUP($E905,Sheet3!$B$3:$G$54,6,0)</f>
        <v>1.3</v>
      </c>
      <c r="L905">
        <v>2025</v>
      </c>
      <c r="M905">
        <v>6840</v>
      </c>
      <c r="N905">
        <v>25</v>
      </c>
      <c r="O905" s="14">
        <f t="shared" si="33"/>
        <v>3.3777777777777778</v>
      </c>
    </row>
    <row r="906" spans="1:15" x14ac:dyDescent="0.3">
      <c r="A906" s="15" t="s">
        <v>38</v>
      </c>
      <c r="B906" s="12" t="s">
        <v>32</v>
      </c>
      <c r="C906" s="12" t="s">
        <v>33</v>
      </c>
      <c r="D906" s="6">
        <f t="shared" si="34"/>
        <v>21</v>
      </c>
      <c r="E906">
        <v>47</v>
      </c>
      <c r="F906" s="6">
        <f>VLOOKUP($E906,Sheet3!$B$3:$D$54,2,0)</f>
        <v>11</v>
      </c>
      <c r="G906" s="6">
        <f>VLOOKUP($E906,Sheet3!$B$3:$G$54,3,0)</f>
        <v>0</v>
      </c>
      <c r="H906" s="5">
        <f>VLOOKUP($A906,Sheet3!$I$3:$J$38,2,0)</f>
        <v>24.18</v>
      </c>
      <c r="I906" s="6">
        <f>VLOOKUP($E906,Sheet3!$B$3:$G$54,5,0)</f>
        <v>124251</v>
      </c>
      <c r="J906" s="5">
        <f>VLOOKUP($E906,Sheet3!$B$3:$G$54,4,0)</f>
        <v>3.65</v>
      </c>
      <c r="K906" s="5">
        <f>VLOOKUP($E906,Sheet3!$B$3:$G$54,6,0)</f>
        <v>1.3</v>
      </c>
      <c r="L906">
        <v>2025</v>
      </c>
      <c r="M906">
        <v>0</v>
      </c>
      <c r="N906">
        <v>26</v>
      </c>
      <c r="O906" s="14">
        <f t="shared" si="33"/>
        <v>0</v>
      </c>
    </row>
    <row r="907" spans="1:15" x14ac:dyDescent="0.3">
      <c r="A907" s="15" t="s">
        <v>38</v>
      </c>
      <c r="B907" s="12" t="s">
        <v>32</v>
      </c>
      <c r="C907" s="12" t="s">
        <v>33</v>
      </c>
      <c r="D907" s="6">
        <f t="shared" si="34"/>
        <v>26</v>
      </c>
      <c r="E907">
        <v>48</v>
      </c>
      <c r="F907" s="6">
        <f>VLOOKUP($E907,Sheet3!$B$3:$D$54,2,0)</f>
        <v>11</v>
      </c>
      <c r="G907" s="6">
        <f>VLOOKUP($E907,Sheet3!$B$3:$G$54,3,0)</f>
        <v>0</v>
      </c>
      <c r="H907" s="5">
        <f>VLOOKUP($A907,Sheet3!$I$3:$J$38,2,0)</f>
        <v>24.18</v>
      </c>
      <c r="I907" s="6">
        <f>VLOOKUP($E907,Sheet3!$B$3:$G$54,5,0)</f>
        <v>124251</v>
      </c>
      <c r="J907" s="5">
        <f>VLOOKUP($E907,Sheet3!$B$3:$G$54,4,0)</f>
        <v>3.65</v>
      </c>
      <c r="K907" s="5">
        <f>VLOOKUP($E907,Sheet3!$B$3:$G$54,6,0)</f>
        <v>1.3</v>
      </c>
      <c r="L907">
        <v>504</v>
      </c>
      <c r="M907">
        <v>0</v>
      </c>
      <c r="N907">
        <v>22</v>
      </c>
      <c r="O907" s="14">
        <f t="shared" si="33"/>
        <v>0</v>
      </c>
    </row>
    <row r="908" spans="1:15" x14ac:dyDescent="0.3">
      <c r="A908" s="15" t="s">
        <v>38</v>
      </c>
      <c r="B908" s="12" t="s">
        <v>32</v>
      </c>
      <c r="C908" s="12" t="s">
        <v>33</v>
      </c>
      <c r="D908" s="6">
        <f t="shared" si="34"/>
        <v>26</v>
      </c>
      <c r="E908">
        <v>49</v>
      </c>
      <c r="F908" s="6">
        <f>VLOOKUP($E908,Sheet3!$B$3:$D$54,2,0)</f>
        <v>12</v>
      </c>
      <c r="G908" s="6">
        <f>VLOOKUP($E908,Sheet3!$B$3:$G$54,3,0)</f>
        <v>1</v>
      </c>
      <c r="H908" s="5">
        <f>VLOOKUP($A908,Sheet3!$I$3:$J$38,2,0)</f>
        <v>24.18</v>
      </c>
      <c r="I908" s="6">
        <f>VLOOKUP($E908,Sheet3!$B$3:$G$54,5,0)</f>
        <v>105715</v>
      </c>
      <c r="J908" s="5">
        <f>VLOOKUP($E908,Sheet3!$B$3:$G$54,4,0)</f>
        <v>3.65</v>
      </c>
      <c r="K908" s="5">
        <f>VLOOKUP($E908,Sheet3!$B$3:$G$54,6,0)</f>
        <v>1.3</v>
      </c>
      <c r="L908">
        <v>504</v>
      </c>
      <c r="M908">
        <v>1620</v>
      </c>
      <c r="N908">
        <v>23</v>
      </c>
      <c r="O908" s="14">
        <f t="shared" si="33"/>
        <v>3.2142857142857144</v>
      </c>
    </row>
    <row r="909" spans="1:15" x14ac:dyDescent="0.3">
      <c r="A909" s="15" t="s">
        <v>38</v>
      </c>
      <c r="B909" s="12" t="s">
        <v>32</v>
      </c>
      <c r="C909" s="12" t="s">
        <v>33</v>
      </c>
      <c r="D909" s="6">
        <f t="shared" si="34"/>
        <v>25</v>
      </c>
      <c r="E909">
        <v>50</v>
      </c>
      <c r="F909" s="6">
        <f>VLOOKUP($E909,Sheet3!$B$3:$D$54,2,0)</f>
        <v>12</v>
      </c>
      <c r="G909" s="6">
        <f>VLOOKUP($E909,Sheet3!$B$3:$G$54,3,0)</f>
        <v>0</v>
      </c>
      <c r="H909" s="5">
        <f>VLOOKUP($A909,Sheet3!$I$3:$J$38,2,0)</f>
        <v>24.18</v>
      </c>
      <c r="I909" s="6">
        <f>VLOOKUP($E909,Sheet3!$B$3:$G$54,5,0)</f>
        <v>105715</v>
      </c>
      <c r="J909" s="5">
        <f>VLOOKUP($E909,Sheet3!$B$3:$G$54,4,0)</f>
        <v>3.4</v>
      </c>
      <c r="K909" s="5">
        <f>VLOOKUP($E909,Sheet3!$B$3:$G$54,6,0)</f>
        <v>1.3</v>
      </c>
      <c r="L909">
        <v>504</v>
      </c>
      <c r="M909">
        <v>3600</v>
      </c>
      <c r="N909">
        <v>25</v>
      </c>
      <c r="O909" s="14">
        <f t="shared" si="33"/>
        <v>7.1428571428571432</v>
      </c>
    </row>
    <row r="910" spans="1:15" x14ac:dyDescent="0.3">
      <c r="A910" s="15" t="s">
        <v>38</v>
      </c>
      <c r="B910" s="12" t="s">
        <v>32</v>
      </c>
      <c r="C910" s="12" t="s">
        <v>33</v>
      </c>
      <c r="D910" s="6">
        <f t="shared" si="34"/>
        <v>27</v>
      </c>
      <c r="E910">
        <v>51</v>
      </c>
      <c r="F910" s="6">
        <f>VLOOKUP($E910,Sheet3!$B$3:$D$54,2,0)</f>
        <v>12</v>
      </c>
      <c r="G910" s="6">
        <f>VLOOKUP($E910,Sheet3!$B$3:$G$54,3,0)</f>
        <v>0</v>
      </c>
      <c r="H910" s="5">
        <f>VLOOKUP($A910,Sheet3!$I$3:$J$38,2,0)</f>
        <v>24.18</v>
      </c>
      <c r="I910" s="6">
        <f>VLOOKUP($E910,Sheet3!$B$3:$G$54,5,0)</f>
        <v>105715</v>
      </c>
      <c r="J910" s="5">
        <f>VLOOKUP($E910,Sheet3!$B$3:$G$54,4,0)</f>
        <v>3.4</v>
      </c>
      <c r="K910" s="5">
        <f>VLOOKUP($E910,Sheet3!$B$3:$G$54,6,0)</f>
        <v>1.3</v>
      </c>
      <c r="L910">
        <v>504</v>
      </c>
      <c r="M910">
        <v>0</v>
      </c>
      <c r="N910">
        <v>24</v>
      </c>
      <c r="O910" s="14">
        <f t="shared" si="33"/>
        <v>0</v>
      </c>
    </row>
    <row r="911" spans="1:15" x14ac:dyDescent="0.3">
      <c r="A911" s="15" t="s">
        <v>38</v>
      </c>
      <c r="B911" s="12" t="s">
        <v>32</v>
      </c>
      <c r="C911" s="12" t="s">
        <v>33</v>
      </c>
      <c r="D911" s="6">
        <f t="shared" si="34"/>
        <v>28</v>
      </c>
      <c r="E911">
        <v>52</v>
      </c>
      <c r="F911" s="6">
        <f>VLOOKUP($E911,Sheet3!$B$3:$D$54,2,0)</f>
        <v>12</v>
      </c>
      <c r="G911" s="6">
        <f>VLOOKUP($E911,Sheet3!$B$3:$G$54,3,0)</f>
        <v>1</v>
      </c>
      <c r="H911" s="5">
        <f>VLOOKUP($A911,Sheet3!$I$3:$J$38,2,0)</f>
        <v>24.18</v>
      </c>
      <c r="I911" s="6">
        <f>VLOOKUP($E911,Sheet3!$B$3:$G$54,5,0)</f>
        <v>105715</v>
      </c>
      <c r="J911" s="5">
        <f>VLOOKUP($E911,Sheet3!$B$3:$G$54,4,0)</f>
        <v>3.4</v>
      </c>
      <c r="K911" s="5">
        <f>VLOOKUP($E911,Sheet3!$B$3:$G$54,6,0)</f>
        <v>1.3</v>
      </c>
      <c r="L911">
        <v>504</v>
      </c>
      <c r="M911">
        <v>0</v>
      </c>
      <c r="N911">
        <v>24</v>
      </c>
      <c r="O911" s="14">
        <f t="shared" si="33"/>
        <v>0</v>
      </c>
    </row>
    <row r="912" spans="1:15" x14ac:dyDescent="0.3">
      <c r="A912" s="15" t="s">
        <v>38</v>
      </c>
      <c r="B912" s="12" t="s">
        <v>32</v>
      </c>
      <c r="C912" s="12" t="s">
        <v>33</v>
      </c>
      <c r="D912" s="6">
        <f t="shared" si="34"/>
        <v>29</v>
      </c>
      <c r="E912">
        <v>1</v>
      </c>
      <c r="F912" s="6">
        <f>VLOOKUP($E912,Sheet3!$B$3:$D$54,2,0)</f>
        <v>12</v>
      </c>
      <c r="G912" s="6">
        <f>VLOOKUP($E912,Sheet3!$B$3:$G$54,3,0)</f>
        <v>1</v>
      </c>
      <c r="H912" s="5">
        <f>VLOOKUP($A912,Sheet3!$I$3:$J$38,2,0)</f>
        <v>24.18</v>
      </c>
      <c r="I912" s="6">
        <f>VLOOKUP($E912,Sheet3!$B$3:$G$54,5,0)</f>
        <v>105715</v>
      </c>
      <c r="J912" s="5">
        <f>VLOOKUP($E912,Sheet3!$B$3:$G$54,4,0)</f>
        <v>3.4</v>
      </c>
      <c r="K912" s="5">
        <f>VLOOKUP($E912,Sheet3!$B$3:$G$54,6,0)</f>
        <v>1.3</v>
      </c>
      <c r="L912">
        <v>1620</v>
      </c>
      <c r="M912">
        <v>4140</v>
      </c>
      <c r="N912">
        <v>24</v>
      </c>
      <c r="O912" s="14">
        <f t="shared" si="33"/>
        <v>2.5555555555555554</v>
      </c>
    </row>
    <row r="913" spans="1:15" x14ac:dyDescent="0.3">
      <c r="A913" s="15" t="s">
        <v>38</v>
      </c>
      <c r="B913" s="12" t="s">
        <v>32</v>
      </c>
      <c r="C913" s="12" t="s">
        <v>33</v>
      </c>
      <c r="D913" s="6">
        <f t="shared" si="34"/>
        <v>29</v>
      </c>
      <c r="E913">
        <v>2</v>
      </c>
      <c r="F913" s="6">
        <f>VLOOKUP($E913,Sheet3!$B$3:$D$54,2,0)</f>
        <v>1</v>
      </c>
      <c r="G913" s="6">
        <f>VLOOKUP($E913,Sheet3!$B$3:$G$54,3,0)</f>
        <v>1</v>
      </c>
      <c r="H913" s="5">
        <f>VLOOKUP($A913,Sheet3!$I$3:$J$38,2,0)</f>
        <v>24.18</v>
      </c>
      <c r="I913" s="6">
        <f>VLOOKUP($E913,Sheet3!$B$3:$G$54,5,0)</f>
        <v>133692</v>
      </c>
      <c r="J913" s="5">
        <f>VLOOKUP($E913,Sheet3!$B$3:$G$54,4,0)</f>
        <v>3.4</v>
      </c>
      <c r="K913" s="5">
        <f>VLOOKUP($E913,Sheet3!$B$3:$G$54,6,0)</f>
        <v>1.5</v>
      </c>
      <c r="L913">
        <v>1620</v>
      </c>
      <c r="M913">
        <v>2160</v>
      </c>
      <c r="N913">
        <v>25</v>
      </c>
      <c r="O913" s="14">
        <f t="shared" si="33"/>
        <v>1.3333333333333333</v>
      </c>
    </row>
    <row r="914" spans="1:15" x14ac:dyDescent="0.3">
      <c r="A914" s="15" t="s">
        <v>38</v>
      </c>
      <c r="B914" s="12" t="s">
        <v>32</v>
      </c>
      <c r="C914" s="12" t="s">
        <v>33</v>
      </c>
      <c r="D914" s="6">
        <f t="shared" si="34"/>
        <v>30</v>
      </c>
      <c r="E914">
        <v>3</v>
      </c>
      <c r="F914" s="6">
        <f>VLOOKUP($E914,Sheet3!$B$3:$D$54,2,0)</f>
        <v>1</v>
      </c>
      <c r="G914" s="6">
        <f>VLOOKUP($E914,Sheet3!$B$3:$G$54,3,0)</f>
        <v>0</v>
      </c>
      <c r="H914" s="5">
        <f>VLOOKUP($A914,Sheet3!$I$3:$J$38,2,0)</f>
        <v>24.18</v>
      </c>
      <c r="I914" s="6">
        <f>VLOOKUP($E914,Sheet3!$B$3:$G$54,5,0)</f>
        <v>133692</v>
      </c>
      <c r="J914" s="5">
        <f>VLOOKUP($E914,Sheet3!$B$3:$G$54,4,0)</f>
        <v>3.4</v>
      </c>
      <c r="K914" s="5">
        <f>VLOOKUP($E914,Sheet3!$B$3:$G$54,6,0)</f>
        <v>1.5</v>
      </c>
      <c r="L914">
        <v>1620</v>
      </c>
      <c r="M914">
        <v>2880</v>
      </c>
      <c r="N914">
        <v>25</v>
      </c>
      <c r="O914" s="14">
        <f t="shared" si="33"/>
        <v>1.7777777777777777</v>
      </c>
    </row>
    <row r="915" spans="1:15" x14ac:dyDescent="0.3">
      <c r="A915" s="15" t="s">
        <v>38</v>
      </c>
      <c r="B915" s="12" t="s">
        <v>32</v>
      </c>
      <c r="C915" s="12" t="s">
        <v>33</v>
      </c>
      <c r="D915" s="6">
        <f t="shared" si="34"/>
        <v>30</v>
      </c>
      <c r="E915">
        <v>4</v>
      </c>
      <c r="F915" s="6">
        <f>VLOOKUP($E915,Sheet3!$B$3:$D$54,2,0)</f>
        <v>1</v>
      </c>
      <c r="G915" s="6">
        <f>VLOOKUP($E915,Sheet3!$B$3:$G$54,3,0)</f>
        <v>0</v>
      </c>
      <c r="H915" s="5">
        <f>VLOOKUP($A915,Sheet3!$I$3:$J$38,2,0)</f>
        <v>24.18</v>
      </c>
      <c r="I915" s="6">
        <f>VLOOKUP($E915,Sheet3!$B$3:$G$54,5,0)</f>
        <v>133692</v>
      </c>
      <c r="J915" s="5">
        <f>VLOOKUP($E915,Sheet3!$B$3:$G$54,4,0)</f>
        <v>3.4</v>
      </c>
      <c r="K915" s="5">
        <f>VLOOKUP($E915,Sheet3!$B$3:$G$54,6,0)</f>
        <v>1.5</v>
      </c>
      <c r="L915">
        <v>1620</v>
      </c>
      <c r="M915">
        <v>1620</v>
      </c>
      <c r="N915">
        <v>26</v>
      </c>
      <c r="O915" s="14">
        <f t="shared" si="33"/>
        <v>1</v>
      </c>
    </row>
    <row r="916" spans="1:15" x14ac:dyDescent="0.3">
      <c r="A916" s="15" t="s">
        <v>38</v>
      </c>
      <c r="B916" s="12" t="s">
        <v>32</v>
      </c>
      <c r="C916" s="12" t="s">
        <v>33</v>
      </c>
      <c r="D916" s="6">
        <f t="shared" si="34"/>
        <v>37</v>
      </c>
      <c r="E916">
        <v>5</v>
      </c>
      <c r="F916" s="6">
        <f>VLOOKUP($E916,Sheet3!$B$3:$D$54,2,0)</f>
        <v>1</v>
      </c>
      <c r="G916" s="6">
        <f>VLOOKUP($E916,Sheet3!$B$3:$G$54,3,0)</f>
        <v>0</v>
      </c>
      <c r="H916" s="5">
        <f>VLOOKUP($A916,Sheet3!$I$3:$J$38,2,0)</f>
        <v>24.18</v>
      </c>
      <c r="I916" s="6">
        <f>VLOOKUP($E916,Sheet3!$B$3:$G$54,5,0)</f>
        <v>133692</v>
      </c>
      <c r="J916" s="5">
        <f>VLOOKUP($E916,Sheet3!$B$3:$G$54,4,0)</f>
        <v>3.4</v>
      </c>
      <c r="K916" s="5">
        <f>VLOOKUP($E916,Sheet3!$B$3:$G$54,6,0)</f>
        <v>1.5</v>
      </c>
      <c r="L916">
        <v>1710</v>
      </c>
      <c r="M916">
        <v>2340</v>
      </c>
      <c r="N916">
        <v>20</v>
      </c>
      <c r="O916" s="14">
        <f t="shared" si="33"/>
        <v>1.368421052631579</v>
      </c>
    </row>
    <row r="917" spans="1:15" x14ac:dyDescent="0.3">
      <c r="A917" s="15" t="s">
        <v>38</v>
      </c>
      <c r="B917" s="12" t="s">
        <v>32</v>
      </c>
      <c r="C917" s="12" t="s">
        <v>33</v>
      </c>
      <c r="D917" s="6">
        <f t="shared" si="34"/>
        <v>37</v>
      </c>
      <c r="E917">
        <v>6</v>
      </c>
      <c r="F917" s="6">
        <f>VLOOKUP($E917,Sheet3!$B$3:$D$54,2,0)</f>
        <v>2</v>
      </c>
      <c r="G917" s="6">
        <f>VLOOKUP($E917,Sheet3!$B$3:$G$54,3,0)</f>
        <v>0</v>
      </c>
      <c r="H917" s="5">
        <f>VLOOKUP($A917,Sheet3!$I$3:$J$38,2,0)</f>
        <v>24.18</v>
      </c>
      <c r="I917" s="6">
        <f>VLOOKUP($E917,Sheet3!$B$3:$G$54,5,0)</f>
        <v>137922</v>
      </c>
      <c r="J917" s="5">
        <f>VLOOKUP($E917,Sheet3!$B$3:$G$54,4,0)</f>
        <v>3.15</v>
      </c>
      <c r="K917" s="5">
        <f>VLOOKUP($E917,Sheet3!$B$3:$G$54,6,0)</f>
        <v>1.6</v>
      </c>
      <c r="L917">
        <v>1710</v>
      </c>
      <c r="M917">
        <v>540</v>
      </c>
      <c r="N917">
        <v>21</v>
      </c>
      <c r="O917" s="14">
        <f t="shared" si="33"/>
        <v>0.31578947368421051</v>
      </c>
    </row>
    <row r="918" spans="1:15" x14ac:dyDescent="0.3">
      <c r="A918" s="15" t="s">
        <v>38</v>
      </c>
      <c r="B918" s="12" t="s">
        <v>32</v>
      </c>
      <c r="C918" s="12" t="s">
        <v>33</v>
      </c>
      <c r="D918" s="6">
        <f t="shared" si="34"/>
        <v>37</v>
      </c>
      <c r="E918">
        <v>7</v>
      </c>
      <c r="F918" s="6">
        <f>VLOOKUP($E918,Sheet3!$B$3:$D$54,2,0)</f>
        <v>2</v>
      </c>
      <c r="G918" s="6">
        <f>VLOOKUP($E918,Sheet3!$B$3:$G$54,3,0)</f>
        <v>0</v>
      </c>
      <c r="H918" s="5">
        <f>VLOOKUP($A918,Sheet3!$I$3:$J$38,2,0)</f>
        <v>24.18</v>
      </c>
      <c r="I918" s="6">
        <f>VLOOKUP($E918,Sheet3!$B$3:$G$54,5,0)</f>
        <v>137922</v>
      </c>
      <c r="J918" s="5">
        <f>VLOOKUP($E918,Sheet3!$B$3:$G$54,4,0)</f>
        <v>3.15</v>
      </c>
      <c r="K918" s="5">
        <f>VLOOKUP($E918,Sheet3!$B$3:$G$54,6,0)</f>
        <v>1.6</v>
      </c>
      <c r="L918">
        <v>1710</v>
      </c>
      <c r="M918">
        <v>0</v>
      </c>
      <c r="N918">
        <v>22</v>
      </c>
      <c r="O918" s="14">
        <f t="shared" si="33"/>
        <v>0</v>
      </c>
    </row>
    <row r="919" spans="1:15" x14ac:dyDescent="0.3">
      <c r="A919" s="15" t="s">
        <v>38</v>
      </c>
      <c r="B919" s="12" t="s">
        <v>32</v>
      </c>
      <c r="C919" s="12" t="s">
        <v>33</v>
      </c>
      <c r="D919" s="6">
        <f t="shared" si="34"/>
        <v>37</v>
      </c>
      <c r="E919">
        <v>8</v>
      </c>
      <c r="F919" s="6">
        <f>VLOOKUP($E919,Sheet3!$B$3:$D$54,2,0)</f>
        <v>2</v>
      </c>
      <c r="G919" s="6">
        <f>VLOOKUP($E919,Sheet3!$B$3:$G$54,3,0)</f>
        <v>0</v>
      </c>
      <c r="H919" s="5">
        <f>VLOOKUP($A919,Sheet3!$I$3:$J$38,2,0)</f>
        <v>24.18</v>
      </c>
      <c r="I919" s="6">
        <f>VLOOKUP($E919,Sheet3!$B$3:$G$54,5,0)</f>
        <v>137922</v>
      </c>
      <c r="J919" s="5">
        <f>VLOOKUP($E919,Sheet3!$B$3:$G$54,4,0)</f>
        <v>3.15</v>
      </c>
      <c r="K919" s="5">
        <f>VLOOKUP($E919,Sheet3!$B$3:$G$54,6,0)</f>
        <v>1.6</v>
      </c>
      <c r="L919">
        <v>1710</v>
      </c>
      <c r="M919">
        <v>1260</v>
      </c>
      <c r="N919">
        <v>23</v>
      </c>
      <c r="O919" s="14">
        <f t="shared" si="33"/>
        <v>0.73684210526315785</v>
      </c>
    </row>
    <row r="920" spans="1:15" x14ac:dyDescent="0.3">
      <c r="A920" s="15" t="s">
        <v>38</v>
      </c>
      <c r="B920" s="12" t="s">
        <v>32</v>
      </c>
      <c r="C920" s="12" t="s">
        <v>33</v>
      </c>
      <c r="D920" s="6">
        <f t="shared" si="34"/>
        <v>38</v>
      </c>
      <c r="E920">
        <v>9</v>
      </c>
      <c r="F920" s="6">
        <f>VLOOKUP($E920,Sheet3!$B$3:$D$54,2,0)</f>
        <v>2</v>
      </c>
      <c r="G920" s="6">
        <f>VLOOKUP($E920,Sheet3!$B$3:$G$54,3,0)</f>
        <v>0</v>
      </c>
      <c r="H920" s="5">
        <f>VLOOKUP($A920,Sheet3!$I$3:$J$38,2,0)</f>
        <v>24.18</v>
      </c>
      <c r="I920" s="6">
        <f>VLOOKUP($E920,Sheet3!$B$3:$G$54,5,0)</f>
        <v>137922</v>
      </c>
      <c r="J920" s="5">
        <f>VLOOKUP($E920,Sheet3!$B$3:$G$54,4,0)</f>
        <v>3.15</v>
      </c>
      <c r="K920" s="5">
        <f>VLOOKUP($E920,Sheet3!$B$3:$G$54,6,0)</f>
        <v>1.6</v>
      </c>
      <c r="L920">
        <v>1692</v>
      </c>
      <c r="M920">
        <v>0</v>
      </c>
      <c r="N920">
        <v>23</v>
      </c>
      <c r="O920" s="14">
        <f t="shared" si="33"/>
        <v>0</v>
      </c>
    </row>
    <row r="921" spans="1:15" x14ac:dyDescent="0.3">
      <c r="A921" s="15" t="s">
        <v>38</v>
      </c>
      <c r="B921" s="12" t="s">
        <v>32</v>
      </c>
      <c r="C921" s="12" t="s">
        <v>33</v>
      </c>
      <c r="D921" s="6">
        <f t="shared" si="34"/>
        <v>38</v>
      </c>
      <c r="E921">
        <v>10</v>
      </c>
      <c r="F921" s="6">
        <f>VLOOKUP($E921,Sheet3!$B$3:$D$54,2,0)</f>
        <v>3</v>
      </c>
      <c r="G921" s="6">
        <f>VLOOKUP($E921,Sheet3!$B$3:$G$54,3,0)</f>
        <v>0</v>
      </c>
      <c r="H921" s="5">
        <f>VLOOKUP($A921,Sheet3!$I$3:$J$38,2,0)</f>
        <v>24.18</v>
      </c>
      <c r="I921" s="6">
        <f>VLOOKUP($E921,Sheet3!$B$3:$G$54,5,0)</f>
        <v>172223</v>
      </c>
      <c r="J921" s="5">
        <f>VLOOKUP($E921,Sheet3!$B$3:$G$54,4,0)</f>
        <v>3.15</v>
      </c>
      <c r="K921" s="5">
        <f>VLOOKUP($E921,Sheet3!$B$3:$G$54,6,0)</f>
        <v>1.9</v>
      </c>
      <c r="L921">
        <v>1692</v>
      </c>
      <c r="M921">
        <v>2880</v>
      </c>
      <c r="N921">
        <v>24</v>
      </c>
      <c r="O921" s="14">
        <f t="shared" si="33"/>
        <v>1.7021276595744681</v>
      </c>
    </row>
    <row r="922" spans="1:15" x14ac:dyDescent="0.3">
      <c r="A922" s="15" t="s">
        <v>38</v>
      </c>
      <c r="B922" s="12" t="s">
        <v>32</v>
      </c>
      <c r="C922" s="12" t="s">
        <v>33</v>
      </c>
      <c r="D922" s="6">
        <f t="shared" si="34"/>
        <v>38</v>
      </c>
      <c r="E922">
        <v>11</v>
      </c>
      <c r="F922" s="6">
        <f>VLOOKUP($E922,Sheet3!$B$3:$D$54,2,0)</f>
        <v>3</v>
      </c>
      <c r="G922" s="6">
        <f>VLOOKUP($E922,Sheet3!$B$3:$G$54,3,0)</f>
        <v>0</v>
      </c>
      <c r="H922" s="5">
        <f>VLOOKUP($A922,Sheet3!$I$3:$J$38,2,0)</f>
        <v>24.18</v>
      </c>
      <c r="I922" s="6">
        <f>VLOOKUP($E922,Sheet3!$B$3:$G$54,5,0)</f>
        <v>172223</v>
      </c>
      <c r="J922" s="5">
        <f>VLOOKUP($E922,Sheet3!$B$3:$G$54,4,0)</f>
        <v>2.9</v>
      </c>
      <c r="K922" s="5">
        <f>VLOOKUP($E922,Sheet3!$B$3:$G$54,6,0)</f>
        <v>1.9</v>
      </c>
      <c r="L922">
        <v>692</v>
      </c>
      <c r="M922">
        <v>1060</v>
      </c>
      <c r="N922">
        <v>25</v>
      </c>
      <c r="O922" s="14">
        <f t="shared" si="33"/>
        <v>1.5317919075144508</v>
      </c>
    </row>
    <row r="923" spans="1:15" x14ac:dyDescent="0.3">
      <c r="A923" s="15" t="s">
        <v>38</v>
      </c>
      <c r="B923" s="12" t="s">
        <v>32</v>
      </c>
      <c r="C923" s="12" t="s">
        <v>33</v>
      </c>
      <c r="D923" s="6">
        <f t="shared" si="34"/>
        <v>39</v>
      </c>
      <c r="E923">
        <v>12</v>
      </c>
      <c r="F923" s="6">
        <f>VLOOKUP($E923,Sheet3!$B$3:$D$54,2,0)</f>
        <v>3</v>
      </c>
      <c r="G923" s="6">
        <f>VLOOKUP($E923,Sheet3!$B$3:$G$54,3,0)</f>
        <v>0</v>
      </c>
      <c r="H923" s="5">
        <f>VLOOKUP($A923,Sheet3!$I$3:$J$38,2,0)</f>
        <v>24.18</v>
      </c>
      <c r="I923" s="6">
        <f>VLOOKUP($E923,Sheet3!$B$3:$G$54,5,0)</f>
        <v>172223</v>
      </c>
      <c r="J923" s="5">
        <f>VLOOKUP($E923,Sheet3!$B$3:$G$54,4,0)</f>
        <v>2.9</v>
      </c>
      <c r="K923" s="5">
        <f>VLOOKUP($E923,Sheet3!$B$3:$G$54,6,0)</f>
        <v>1.9</v>
      </c>
      <c r="L923">
        <v>1692</v>
      </c>
      <c r="M923">
        <v>1620</v>
      </c>
      <c r="N923">
        <v>25</v>
      </c>
      <c r="O923" s="14">
        <f t="shared" si="33"/>
        <v>0.95744680851063835</v>
      </c>
    </row>
    <row r="924" spans="1:15" x14ac:dyDescent="0.3">
      <c r="A924" s="15" t="s">
        <v>38</v>
      </c>
      <c r="B924" s="12" t="s">
        <v>32</v>
      </c>
      <c r="C924" s="12" t="s">
        <v>33</v>
      </c>
      <c r="D924" s="6">
        <f t="shared" si="34"/>
        <v>44</v>
      </c>
      <c r="E924">
        <v>13</v>
      </c>
      <c r="F924" s="6">
        <f>VLOOKUP($E924,Sheet3!$B$3:$D$54,2,0)</f>
        <v>3</v>
      </c>
      <c r="G924" s="6">
        <f>VLOOKUP($E924,Sheet3!$B$3:$G$54,3,0)</f>
        <v>0</v>
      </c>
      <c r="H924" s="5">
        <f>VLOOKUP($A924,Sheet3!$I$3:$J$38,2,0)</f>
        <v>24.18</v>
      </c>
      <c r="I924" s="6">
        <f>VLOOKUP($E924,Sheet3!$B$3:$G$54,5,0)</f>
        <v>172223</v>
      </c>
      <c r="J924" s="5">
        <f>VLOOKUP($E924,Sheet3!$B$3:$G$54,4,0)</f>
        <v>2.9</v>
      </c>
      <c r="K924" s="5">
        <f>VLOOKUP($E924,Sheet3!$B$3:$G$54,6,0)</f>
        <v>1.9</v>
      </c>
      <c r="L924">
        <v>1710</v>
      </c>
      <c r="M924">
        <v>1620</v>
      </c>
      <c r="N924">
        <v>21</v>
      </c>
      <c r="O924" s="14">
        <f t="shared" si="33"/>
        <v>0.94736842105263153</v>
      </c>
    </row>
    <row r="925" spans="1:15" x14ac:dyDescent="0.3">
      <c r="A925" s="15" t="s">
        <v>38</v>
      </c>
      <c r="B925" s="12" t="s">
        <v>32</v>
      </c>
      <c r="C925" s="12" t="s">
        <v>33</v>
      </c>
      <c r="D925" s="6">
        <f t="shared" si="34"/>
        <v>45</v>
      </c>
      <c r="E925">
        <v>14</v>
      </c>
      <c r="F925" s="6">
        <f>VLOOKUP($E925,Sheet3!$B$3:$D$54,2,0)</f>
        <v>3</v>
      </c>
      <c r="G925" s="6">
        <f>VLOOKUP($E925,Sheet3!$B$3:$G$54,3,0)</f>
        <v>0</v>
      </c>
      <c r="H925" s="5">
        <f>VLOOKUP($A925,Sheet3!$I$3:$J$38,2,0)</f>
        <v>24.18</v>
      </c>
      <c r="I925" s="6">
        <f>VLOOKUP($E925,Sheet3!$B$3:$G$54,5,0)</f>
        <v>172223</v>
      </c>
      <c r="J925" s="5">
        <f>VLOOKUP($E925,Sheet3!$B$3:$G$54,4,0)</f>
        <v>2.9</v>
      </c>
      <c r="K925" s="5">
        <f>VLOOKUP($E925,Sheet3!$B$3:$G$54,6,0)</f>
        <v>1.9</v>
      </c>
      <c r="L925">
        <v>1710</v>
      </c>
      <c r="M925">
        <v>2160</v>
      </c>
      <c r="N925">
        <v>21</v>
      </c>
      <c r="O925" s="14">
        <f t="shared" si="33"/>
        <v>1.263157894736842</v>
      </c>
    </row>
    <row r="926" spans="1:15" x14ac:dyDescent="0.3">
      <c r="A926" s="15" t="s">
        <v>38</v>
      </c>
      <c r="B926" s="12" t="s">
        <v>32</v>
      </c>
      <c r="C926" s="12" t="s">
        <v>33</v>
      </c>
      <c r="D926" s="6">
        <f t="shared" si="34"/>
        <v>46</v>
      </c>
      <c r="E926">
        <v>15</v>
      </c>
      <c r="F926" s="6">
        <f>VLOOKUP($E926,Sheet3!$B$3:$D$54,2,0)</f>
        <v>4</v>
      </c>
      <c r="G926" s="6">
        <f>VLOOKUP($E926,Sheet3!$B$3:$G$54,3,0)</f>
        <v>0</v>
      </c>
      <c r="H926" s="5">
        <f>VLOOKUP($A926,Sheet3!$I$3:$J$38,2,0)</f>
        <v>24.18</v>
      </c>
      <c r="I926" s="6">
        <f>VLOOKUP($E926,Sheet3!$B$3:$G$54,5,0)</f>
        <v>139084</v>
      </c>
      <c r="J926" s="5">
        <f>VLOOKUP($E926,Sheet3!$B$3:$G$54,4,0)</f>
        <v>2.9</v>
      </c>
      <c r="K926" s="5">
        <f>VLOOKUP($E926,Sheet3!$B$3:$G$54,6,0)</f>
        <v>1.9</v>
      </c>
      <c r="L926">
        <v>1710</v>
      </c>
      <c r="M926">
        <v>2340</v>
      </c>
      <c r="N926">
        <v>21</v>
      </c>
      <c r="O926" s="14">
        <f t="shared" si="33"/>
        <v>1.368421052631579</v>
      </c>
    </row>
    <row r="927" spans="1:15" x14ac:dyDescent="0.3">
      <c r="A927" s="15" t="s">
        <v>38</v>
      </c>
      <c r="B927" s="12" t="s">
        <v>32</v>
      </c>
      <c r="C927" s="12" t="s">
        <v>33</v>
      </c>
      <c r="D927" s="6">
        <f t="shared" si="34"/>
        <v>47</v>
      </c>
      <c r="E927">
        <v>16</v>
      </c>
      <c r="F927" s="6">
        <f>VLOOKUP($E927,Sheet3!$B$3:$D$54,2,0)</f>
        <v>4</v>
      </c>
      <c r="G927" s="6">
        <f>VLOOKUP($E927,Sheet3!$B$3:$G$54,3,0)</f>
        <v>0</v>
      </c>
      <c r="H927" s="5">
        <f>VLOOKUP($A927,Sheet3!$I$3:$J$38,2,0)</f>
        <v>24.18</v>
      </c>
      <c r="I927" s="6">
        <f>VLOOKUP($E927,Sheet3!$B$3:$G$54,5,0)</f>
        <v>139084</v>
      </c>
      <c r="J927" s="5">
        <f>VLOOKUP($E927,Sheet3!$B$3:$G$54,4,0)</f>
        <v>2.9</v>
      </c>
      <c r="K927" s="5">
        <f>VLOOKUP($E927,Sheet3!$B$3:$G$54,6,0)</f>
        <v>1.9</v>
      </c>
      <c r="L927">
        <v>1710</v>
      </c>
      <c r="M927">
        <v>2160</v>
      </c>
      <c r="N927">
        <v>21</v>
      </c>
      <c r="O927" s="14">
        <f t="shared" si="33"/>
        <v>1.263157894736842</v>
      </c>
    </row>
    <row r="928" spans="1:15" x14ac:dyDescent="0.3">
      <c r="A928" s="15" t="s">
        <v>38</v>
      </c>
      <c r="B928" s="12" t="s">
        <v>32</v>
      </c>
      <c r="C928" s="12" t="s">
        <v>33</v>
      </c>
      <c r="D928" s="6">
        <f t="shared" si="34"/>
        <v>1</v>
      </c>
      <c r="E928">
        <v>17</v>
      </c>
      <c r="F928" s="6">
        <f>VLOOKUP($E928,Sheet3!$B$3:$D$54,2,0)</f>
        <v>4</v>
      </c>
      <c r="G928" s="6">
        <f>VLOOKUP($E928,Sheet3!$B$3:$G$54,3,0)</f>
        <v>1</v>
      </c>
      <c r="H928" s="5">
        <f>VLOOKUP($A928,Sheet3!$I$3:$J$38,2,0)</f>
        <v>24.18</v>
      </c>
      <c r="I928" s="6">
        <f>VLOOKUP($E928,Sheet3!$B$3:$G$54,5,0)</f>
        <v>139084</v>
      </c>
      <c r="J928" s="5">
        <f>VLOOKUP($E928,Sheet3!$B$3:$G$54,4,0)</f>
        <v>2.65</v>
      </c>
      <c r="K928" s="5">
        <f>VLOOKUP($E928,Sheet3!$B$3:$G$54,6,0)</f>
        <v>1.9</v>
      </c>
      <c r="L928">
        <v>1395</v>
      </c>
      <c r="M928">
        <v>2340</v>
      </c>
      <c r="N928">
        <v>16</v>
      </c>
      <c r="O928" s="14">
        <f t="shared" si="33"/>
        <v>1.6774193548387097</v>
      </c>
    </row>
    <row r="929" spans="1:15" x14ac:dyDescent="0.3">
      <c r="A929" s="15" t="s">
        <v>38</v>
      </c>
      <c r="B929" s="12" t="s">
        <v>32</v>
      </c>
      <c r="C929" s="12" t="s">
        <v>33</v>
      </c>
      <c r="D929" s="6">
        <f t="shared" si="34"/>
        <v>1</v>
      </c>
      <c r="E929">
        <v>18</v>
      </c>
      <c r="F929" s="6">
        <f>VLOOKUP($E929,Sheet3!$B$3:$D$54,2,0)</f>
        <v>4</v>
      </c>
      <c r="G929" s="6">
        <f>VLOOKUP($E929,Sheet3!$B$3:$G$54,3,0)</f>
        <v>1</v>
      </c>
      <c r="H929" s="5">
        <f>VLOOKUP($A929,Sheet3!$I$3:$J$38,2,0)</f>
        <v>24.18</v>
      </c>
      <c r="I929" s="6">
        <f>VLOOKUP($E929,Sheet3!$B$3:$G$54,5,0)</f>
        <v>139084</v>
      </c>
      <c r="J929" s="5">
        <f>VLOOKUP($E929,Sheet3!$B$3:$G$54,4,0)</f>
        <v>2.65</v>
      </c>
      <c r="K929" s="5">
        <f>VLOOKUP($E929,Sheet3!$B$3:$G$54,6,0)</f>
        <v>1.9</v>
      </c>
      <c r="L929">
        <v>1710</v>
      </c>
      <c r="M929">
        <v>1080</v>
      </c>
      <c r="N929">
        <v>17</v>
      </c>
      <c r="O929" s="14">
        <f t="shared" si="33"/>
        <v>0.63157894736842102</v>
      </c>
    </row>
    <row r="930" spans="1:15" x14ac:dyDescent="0.3">
      <c r="A930" s="15" t="s">
        <v>38</v>
      </c>
      <c r="B930" s="12" t="s">
        <v>32</v>
      </c>
      <c r="C930" s="12" t="s">
        <v>33</v>
      </c>
      <c r="D930" s="6">
        <f t="shared" si="34"/>
        <v>2</v>
      </c>
      <c r="E930">
        <v>19</v>
      </c>
      <c r="F930" s="6">
        <f>VLOOKUP($E930,Sheet3!$B$3:$D$54,2,0)</f>
        <v>5</v>
      </c>
      <c r="G930" s="6">
        <f>VLOOKUP($E930,Sheet3!$B$3:$G$54,3,0)</f>
        <v>0</v>
      </c>
      <c r="H930" s="5">
        <f>VLOOKUP($A930,Sheet3!$I$3:$J$38,2,0)</f>
        <v>24.18</v>
      </c>
      <c r="I930" s="6">
        <f>VLOOKUP($E930,Sheet3!$B$3:$G$54,5,0)</f>
        <v>139390</v>
      </c>
      <c r="J930" s="5">
        <f>VLOOKUP($E930,Sheet3!$B$3:$G$54,4,0)</f>
        <v>2.65</v>
      </c>
      <c r="K930" s="5">
        <f>VLOOKUP($E930,Sheet3!$B$3:$G$54,6,0)</f>
        <v>1.6</v>
      </c>
      <c r="L930">
        <v>1710</v>
      </c>
      <c r="M930">
        <v>1080</v>
      </c>
      <c r="N930">
        <v>17</v>
      </c>
      <c r="O930" s="14">
        <f t="shared" si="33"/>
        <v>0.63157894736842102</v>
      </c>
    </row>
    <row r="931" spans="1:15" x14ac:dyDescent="0.3">
      <c r="A931" s="15" t="s">
        <v>38</v>
      </c>
      <c r="B931" s="12" t="s">
        <v>32</v>
      </c>
      <c r="C931" s="12" t="s">
        <v>33</v>
      </c>
      <c r="D931" s="6">
        <f t="shared" si="34"/>
        <v>2</v>
      </c>
      <c r="E931">
        <v>20</v>
      </c>
      <c r="F931" s="6">
        <f>VLOOKUP($E931,Sheet3!$B$3:$D$54,2,0)</f>
        <v>5</v>
      </c>
      <c r="G931" s="6">
        <f>VLOOKUP($E931,Sheet3!$B$3:$G$54,3,0)</f>
        <v>0</v>
      </c>
      <c r="H931" s="5">
        <f>VLOOKUP($A931,Sheet3!$I$3:$J$38,2,0)</f>
        <v>24.18</v>
      </c>
      <c r="I931" s="6">
        <f>VLOOKUP($E931,Sheet3!$B$3:$G$54,5,0)</f>
        <v>139390</v>
      </c>
      <c r="J931" s="5">
        <f>VLOOKUP($E931,Sheet3!$B$3:$G$54,4,0)</f>
        <v>2.65</v>
      </c>
      <c r="K931" s="5">
        <f>VLOOKUP($E931,Sheet3!$B$3:$G$54,6,0)</f>
        <v>1.6</v>
      </c>
      <c r="L931">
        <v>1710</v>
      </c>
      <c r="M931">
        <v>2160</v>
      </c>
      <c r="N931">
        <v>18</v>
      </c>
      <c r="O931" s="14">
        <f t="shared" si="33"/>
        <v>1.263157894736842</v>
      </c>
    </row>
    <row r="932" spans="1:15" x14ac:dyDescent="0.3">
      <c r="A932" s="15" t="s">
        <v>38</v>
      </c>
      <c r="B932" s="12" t="s">
        <v>32</v>
      </c>
      <c r="C932" s="12" t="s">
        <v>33</v>
      </c>
      <c r="D932" s="6">
        <f t="shared" si="34"/>
        <v>2</v>
      </c>
      <c r="E932">
        <v>21</v>
      </c>
      <c r="F932" s="6">
        <f>VLOOKUP($E932,Sheet3!$B$3:$D$54,2,0)</f>
        <v>5</v>
      </c>
      <c r="G932" s="6">
        <f>VLOOKUP($E932,Sheet3!$B$3:$G$54,3,0)</f>
        <v>0</v>
      </c>
      <c r="H932" s="5">
        <f>VLOOKUP($A932,Sheet3!$I$3:$J$38,2,0)</f>
        <v>24.18</v>
      </c>
      <c r="I932" s="6">
        <f>VLOOKUP($E932,Sheet3!$B$3:$G$54,5,0)</f>
        <v>139390</v>
      </c>
      <c r="J932" s="5">
        <f>VLOOKUP($E932,Sheet3!$B$3:$G$54,4,0)</f>
        <v>2.65</v>
      </c>
      <c r="K932" s="5">
        <f>VLOOKUP($E932,Sheet3!$B$3:$G$54,6,0)</f>
        <v>1.6</v>
      </c>
      <c r="L932">
        <v>1710</v>
      </c>
      <c r="M932">
        <v>1620</v>
      </c>
      <c r="N932">
        <v>19</v>
      </c>
      <c r="O932" s="14">
        <f t="shared" si="33"/>
        <v>0.94736842105263153</v>
      </c>
    </row>
    <row r="933" spans="1:15" x14ac:dyDescent="0.3">
      <c r="A933" s="15" t="s">
        <v>38</v>
      </c>
      <c r="B933" s="12" t="s">
        <v>32</v>
      </c>
      <c r="C933" s="12" t="s">
        <v>33</v>
      </c>
      <c r="D933" s="6">
        <f t="shared" si="34"/>
        <v>6</v>
      </c>
      <c r="E933">
        <v>22</v>
      </c>
      <c r="F933" s="6">
        <f>VLOOKUP($E933,Sheet3!$B$3:$D$54,2,0)</f>
        <v>5</v>
      </c>
      <c r="G933" s="6">
        <f>VLOOKUP($E933,Sheet3!$B$3:$G$54,3,0)</f>
        <v>0</v>
      </c>
      <c r="H933" s="5">
        <f>VLOOKUP($A933,Sheet3!$I$3:$J$38,2,0)</f>
        <v>24.18</v>
      </c>
      <c r="I933" s="6">
        <f>VLOOKUP($E933,Sheet3!$B$3:$G$54,5,0)</f>
        <v>139390</v>
      </c>
      <c r="J933" s="5">
        <f>VLOOKUP($E933,Sheet3!$B$3:$G$54,4,0)</f>
        <v>2.65</v>
      </c>
      <c r="K933" s="5">
        <f>VLOOKUP($E933,Sheet3!$B$3:$G$54,6,0)</f>
        <v>1.6</v>
      </c>
      <c r="L933">
        <v>1728</v>
      </c>
      <c r="M933">
        <v>1980</v>
      </c>
      <c r="N933">
        <v>16</v>
      </c>
      <c r="O933" s="14">
        <f t="shared" si="33"/>
        <v>1.1458333333333333</v>
      </c>
    </row>
    <row r="934" spans="1:15" x14ac:dyDescent="0.3">
      <c r="A934" s="15" t="s">
        <v>38</v>
      </c>
      <c r="B934" s="12" t="s">
        <v>32</v>
      </c>
      <c r="C934" s="12" t="s">
        <v>33</v>
      </c>
      <c r="D934" s="6">
        <f t="shared" si="34"/>
        <v>6</v>
      </c>
      <c r="E934">
        <v>23</v>
      </c>
      <c r="F934" s="6">
        <f>VLOOKUP($E934,Sheet3!$B$3:$D$54,2,0)</f>
        <v>5</v>
      </c>
      <c r="G934" s="6">
        <f>VLOOKUP($E934,Sheet3!$B$3:$G$54,3,0)</f>
        <v>1</v>
      </c>
      <c r="H934" s="5">
        <f>VLOOKUP($A934,Sheet3!$I$3:$J$38,2,0)</f>
        <v>24.18</v>
      </c>
      <c r="I934" s="6">
        <f>VLOOKUP($E934,Sheet3!$B$3:$G$54,5,0)</f>
        <v>139390</v>
      </c>
      <c r="J934" s="5">
        <f>VLOOKUP($E934,Sheet3!$B$3:$G$54,4,0)</f>
        <v>2.4</v>
      </c>
      <c r="K934" s="5">
        <f>VLOOKUP($E934,Sheet3!$B$3:$G$54,6,0)</f>
        <v>1.6</v>
      </c>
      <c r="L934">
        <v>1728</v>
      </c>
      <c r="M934">
        <v>2160</v>
      </c>
      <c r="N934">
        <v>17</v>
      </c>
      <c r="O934" s="14">
        <f t="shared" si="33"/>
        <v>1.25</v>
      </c>
    </row>
    <row r="935" spans="1:15" x14ac:dyDescent="0.3">
      <c r="A935" s="15" t="s">
        <v>38</v>
      </c>
      <c r="B935" s="12" t="s">
        <v>32</v>
      </c>
      <c r="C935" s="12" t="s">
        <v>33</v>
      </c>
      <c r="D935" s="6">
        <f t="shared" si="34"/>
        <v>6</v>
      </c>
      <c r="E935">
        <v>24</v>
      </c>
      <c r="F935" s="6">
        <f>VLOOKUP($E935,Sheet3!$B$3:$D$54,2,0)</f>
        <v>6</v>
      </c>
      <c r="G935" s="6">
        <f>VLOOKUP($E935,Sheet3!$B$3:$G$54,3,0)</f>
        <v>0</v>
      </c>
      <c r="H935" s="5">
        <f>VLOOKUP($A935,Sheet3!$I$3:$J$38,2,0)</f>
        <v>24.18</v>
      </c>
      <c r="I935" s="6">
        <f>VLOOKUP($E935,Sheet3!$B$3:$G$54,5,0)</f>
        <v>132191</v>
      </c>
      <c r="J935" s="5">
        <f>VLOOKUP($E935,Sheet3!$B$3:$G$54,4,0)</f>
        <v>2.4</v>
      </c>
      <c r="K935" s="5">
        <f>VLOOKUP($E935,Sheet3!$B$3:$G$54,6,0)</f>
        <v>1.7</v>
      </c>
      <c r="L935">
        <v>1728</v>
      </c>
      <c r="M935">
        <v>2340</v>
      </c>
      <c r="N935">
        <v>18</v>
      </c>
      <c r="O935" s="14">
        <f t="shared" si="33"/>
        <v>1.3541666666666667</v>
      </c>
    </row>
    <row r="936" spans="1:15" x14ac:dyDescent="0.3">
      <c r="A936" s="15" t="s">
        <v>38</v>
      </c>
      <c r="B936" s="12" t="s">
        <v>32</v>
      </c>
      <c r="C936" s="12" t="s">
        <v>33</v>
      </c>
      <c r="D936" s="6">
        <f t="shared" si="34"/>
        <v>6</v>
      </c>
      <c r="E936">
        <v>25</v>
      </c>
      <c r="F936" s="6">
        <f>VLOOKUP($E936,Sheet3!$B$3:$D$54,2,0)</f>
        <v>6</v>
      </c>
      <c r="G936" s="6">
        <f>VLOOKUP($E936,Sheet3!$B$3:$G$54,3,0)</f>
        <v>0</v>
      </c>
      <c r="H936" s="5">
        <f>VLOOKUP($A936,Sheet3!$I$3:$J$38,2,0)</f>
        <v>24.18</v>
      </c>
      <c r="I936" s="6">
        <f>VLOOKUP($E936,Sheet3!$B$3:$G$54,5,0)</f>
        <v>132191</v>
      </c>
      <c r="J936" s="5">
        <f>VLOOKUP($E936,Sheet3!$B$3:$G$54,4,0)</f>
        <v>2.4</v>
      </c>
      <c r="K936" s="5">
        <f>VLOOKUP($E936,Sheet3!$B$3:$G$54,6,0)</f>
        <v>1.7</v>
      </c>
      <c r="L936">
        <v>1728</v>
      </c>
      <c r="M936">
        <v>1260</v>
      </c>
      <c r="N936">
        <v>19</v>
      </c>
      <c r="O936" s="14">
        <f t="shared" si="33"/>
        <v>0.72916666666666663</v>
      </c>
    </row>
    <row r="937" spans="1:15" x14ac:dyDescent="0.3">
      <c r="A937" s="15" t="s">
        <v>38</v>
      </c>
      <c r="B937" s="12" t="s">
        <v>32</v>
      </c>
      <c r="C937" s="12" t="s">
        <v>33</v>
      </c>
      <c r="D937" s="6">
        <f t="shared" si="34"/>
        <v>7</v>
      </c>
      <c r="E937">
        <v>26</v>
      </c>
      <c r="F937" s="6">
        <f>VLOOKUP($E937,Sheet3!$B$3:$D$54,2,0)</f>
        <v>6</v>
      </c>
      <c r="G937" s="6">
        <f>VLOOKUP($E937,Sheet3!$B$3:$G$54,3,0)</f>
        <v>0</v>
      </c>
      <c r="H937" s="5">
        <f>VLOOKUP($A937,Sheet3!$I$3:$J$38,2,0)</f>
        <v>24.18</v>
      </c>
      <c r="I937" s="6">
        <f>VLOOKUP($E937,Sheet3!$B$3:$G$54,5,0)</f>
        <v>132191</v>
      </c>
      <c r="J937" s="5">
        <f>VLOOKUP($E937,Sheet3!$B$3:$G$54,4,0)</f>
        <v>2.4</v>
      </c>
      <c r="K937" s="5">
        <f>VLOOKUP($E937,Sheet3!$B$3:$G$54,6,0)</f>
        <v>1.7</v>
      </c>
      <c r="L937">
        <v>1728</v>
      </c>
      <c r="M937">
        <v>1260</v>
      </c>
      <c r="N937">
        <v>19</v>
      </c>
      <c r="O937" s="14">
        <f t="shared" si="33"/>
        <v>0.72916666666666663</v>
      </c>
    </row>
    <row r="938" spans="1:15" x14ac:dyDescent="0.3">
      <c r="A938" s="15" t="s">
        <v>39</v>
      </c>
      <c r="B938" s="12" t="s">
        <v>32</v>
      </c>
      <c r="C938" s="12" t="s">
        <v>33</v>
      </c>
      <c r="D938" s="6">
        <f t="shared" si="34"/>
        <v>11</v>
      </c>
      <c r="E938">
        <v>27</v>
      </c>
      <c r="F938" s="6">
        <f>VLOOKUP($E938,Sheet3!$B$3:$D$54,2,0)</f>
        <v>7</v>
      </c>
      <c r="G938" s="6">
        <f>VLOOKUP($E938,Sheet3!$B$3:$G$54,3,0)</f>
        <v>0</v>
      </c>
      <c r="H938" s="5">
        <f>VLOOKUP($A938,Sheet3!$I$3:$J$38,2,0)</f>
        <v>18.5</v>
      </c>
      <c r="I938" s="6">
        <f>VLOOKUP($E938,Sheet3!$B$3:$G$54,5,0)</f>
        <v>124806</v>
      </c>
      <c r="J938" s="5">
        <f>VLOOKUP($E938,Sheet3!$B$3:$G$54,4,0)</f>
        <v>4.5</v>
      </c>
      <c r="K938" s="5">
        <f>VLOOKUP($E938,Sheet3!$B$3:$G$54,6,0)</f>
        <v>1.3</v>
      </c>
      <c r="L938">
        <v>732</v>
      </c>
      <c r="M938">
        <v>3960</v>
      </c>
      <c r="N938">
        <v>16</v>
      </c>
      <c r="O938" s="14">
        <f t="shared" si="33"/>
        <v>5.4098360655737707</v>
      </c>
    </row>
    <row r="939" spans="1:15" x14ac:dyDescent="0.3">
      <c r="A939" s="15" t="s">
        <v>39</v>
      </c>
      <c r="B939" s="12" t="s">
        <v>32</v>
      </c>
      <c r="C939" s="12" t="s">
        <v>33</v>
      </c>
      <c r="D939" s="6">
        <f t="shared" si="34"/>
        <v>12</v>
      </c>
      <c r="E939">
        <v>28</v>
      </c>
      <c r="F939" s="6">
        <f>VLOOKUP($E939,Sheet3!$B$3:$D$54,2,0)</f>
        <v>7</v>
      </c>
      <c r="G939" s="6">
        <f>VLOOKUP($E939,Sheet3!$B$3:$G$54,3,0)</f>
        <v>0</v>
      </c>
      <c r="H939" s="5">
        <f>VLOOKUP($A939,Sheet3!$I$3:$J$38,2,0)</f>
        <v>18.5</v>
      </c>
      <c r="I939" s="6">
        <f>VLOOKUP($E939,Sheet3!$B$3:$G$54,5,0)</f>
        <v>124806</v>
      </c>
      <c r="J939" s="5">
        <f>VLOOKUP($E939,Sheet3!$B$3:$G$54,4,0)</f>
        <v>4.5</v>
      </c>
      <c r="K939" s="5">
        <f>VLOOKUP($E939,Sheet3!$B$3:$G$54,6,0)</f>
        <v>1.3</v>
      </c>
      <c r="L939">
        <v>732</v>
      </c>
      <c r="M939">
        <v>1080</v>
      </c>
      <c r="N939">
        <v>16</v>
      </c>
      <c r="O939" s="14">
        <f t="shared" si="33"/>
        <v>1.4754098360655739</v>
      </c>
    </row>
    <row r="940" spans="1:15" x14ac:dyDescent="0.3">
      <c r="A940" s="15" t="s">
        <v>39</v>
      </c>
      <c r="B940" s="12" t="s">
        <v>32</v>
      </c>
      <c r="C940" s="12" t="s">
        <v>33</v>
      </c>
      <c r="D940" s="6">
        <f t="shared" si="34"/>
        <v>10</v>
      </c>
      <c r="E940">
        <v>29</v>
      </c>
      <c r="F940" s="6">
        <f>VLOOKUP($E940,Sheet3!$B$3:$D$54,2,0)</f>
        <v>7</v>
      </c>
      <c r="G940" s="6">
        <f>VLOOKUP($E940,Sheet3!$B$3:$G$54,3,0)</f>
        <v>0</v>
      </c>
      <c r="H940" s="5">
        <f>VLOOKUP($A940,Sheet3!$I$3:$J$38,2,0)</f>
        <v>18.5</v>
      </c>
      <c r="I940" s="6">
        <f>VLOOKUP($E940,Sheet3!$B$3:$G$54,5,0)</f>
        <v>124806</v>
      </c>
      <c r="J940" s="5">
        <f>VLOOKUP($E940,Sheet3!$B$3:$G$54,4,0)</f>
        <v>4.5</v>
      </c>
      <c r="K940" s="5">
        <f>VLOOKUP($E940,Sheet3!$B$3:$G$54,6,0)</f>
        <v>1.3</v>
      </c>
      <c r="L940">
        <v>732</v>
      </c>
      <c r="M940">
        <v>11520</v>
      </c>
      <c r="N940">
        <v>19</v>
      </c>
      <c r="O940" s="14">
        <f t="shared" si="33"/>
        <v>15.737704918032787</v>
      </c>
    </row>
    <row r="941" spans="1:15" x14ac:dyDescent="0.3">
      <c r="A941" s="15" t="s">
        <v>39</v>
      </c>
      <c r="B941" s="12" t="s">
        <v>32</v>
      </c>
      <c r="C941" s="12" t="s">
        <v>33</v>
      </c>
      <c r="D941" s="6">
        <f t="shared" si="34"/>
        <v>12</v>
      </c>
      <c r="E941">
        <v>30</v>
      </c>
      <c r="F941" s="6">
        <f>VLOOKUP($E941,Sheet3!$B$3:$D$54,2,0)</f>
        <v>7</v>
      </c>
      <c r="G941" s="6">
        <f>VLOOKUP($E941,Sheet3!$B$3:$G$54,3,0)</f>
        <v>0</v>
      </c>
      <c r="H941" s="5">
        <f>VLOOKUP($A941,Sheet3!$I$3:$J$38,2,0)</f>
        <v>18.5</v>
      </c>
      <c r="I941" s="6">
        <f>VLOOKUP($E941,Sheet3!$B$3:$G$54,5,0)</f>
        <v>124806</v>
      </c>
      <c r="J941" s="5">
        <f>VLOOKUP($E941,Sheet3!$B$3:$G$54,4,0)</f>
        <v>4.5</v>
      </c>
      <c r="K941" s="5">
        <f>VLOOKUP($E941,Sheet3!$B$3:$G$54,6,0)</f>
        <v>1.3</v>
      </c>
      <c r="L941">
        <v>732</v>
      </c>
      <c r="M941">
        <v>1980</v>
      </c>
      <c r="N941">
        <v>18</v>
      </c>
      <c r="O941" s="14">
        <f t="shared" si="33"/>
        <v>2.7049180327868854</v>
      </c>
    </row>
    <row r="942" spans="1:15" x14ac:dyDescent="0.3">
      <c r="A942" s="15" t="s">
        <v>39</v>
      </c>
      <c r="B942" s="12" t="s">
        <v>32</v>
      </c>
      <c r="C942" s="12" t="s">
        <v>33</v>
      </c>
      <c r="D942" s="6">
        <f t="shared" si="34"/>
        <v>23</v>
      </c>
      <c r="E942">
        <v>31</v>
      </c>
      <c r="F942" s="6">
        <f>VLOOKUP($E942,Sheet3!$B$3:$D$54,2,0)</f>
        <v>7</v>
      </c>
      <c r="G942" s="6">
        <f>VLOOKUP($E942,Sheet3!$B$3:$G$54,3,0)</f>
        <v>0</v>
      </c>
      <c r="H942" s="5">
        <f>VLOOKUP($A942,Sheet3!$I$3:$J$38,2,0)</f>
        <v>18.5</v>
      </c>
      <c r="I942" s="6">
        <f>VLOOKUP($E942,Sheet3!$B$3:$G$54,5,0)</f>
        <v>124806</v>
      </c>
      <c r="J942" s="5">
        <f>VLOOKUP($E942,Sheet3!$B$3:$G$54,4,0)</f>
        <v>4.5</v>
      </c>
      <c r="K942" s="5">
        <f>VLOOKUP($E942,Sheet3!$B$3:$G$54,6,0)</f>
        <v>1.3</v>
      </c>
      <c r="L942">
        <v>3600</v>
      </c>
      <c r="M942">
        <v>1980</v>
      </c>
      <c r="N942">
        <v>8</v>
      </c>
      <c r="O942" s="14">
        <f t="shared" si="33"/>
        <v>0.55000000000000004</v>
      </c>
    </row>
    <row r="943" spans="1:15" x14ac:dyDescent="0.3">
      <c r="A943" s="15" t="s">
        <v>39</v>
      </c>
      <c r="B943" s="12" t="s">
        <v>32</v>
      </c>
      <c r="C943" s="12" t="s">
        <v>33</v>
      </c>
      <c r="D943" s="6">
        <f t="shared" si="34"/>
        <v>22</v>
      </c>
      <c r="E943">
        <v>32</v>
      </c>
      <c r="F943" s="6">
        <f>VLOOKUP($E943,Sheet3!$B$3:$D$54,2,0)</f>
        <v>8</v>
      </c>
      <c r="G943" s="6">
        <f>VLOOKUP($E943,Sheet3!$B$3:$G$54,3,0)</f>
        <v>1</v>
      </c>
      <c r="H943" s="5">
        <f>VLOOKUP($A943,Sheet3!$I$3:$J$38,2,0)</f>
        <v>18.5</v>
      </c>
      <c r="I943" s="6">
        <f>VLOOKUP($E943,Sheet3!$B$3:$G$54,5,0)</f>
        <v>69121</v>
      </c>
      <c r="J943" s="5">
        <f>VLOOKUP($E943,Sheet3!$B$3:$G$54,4,0)</f>
        <v>4.5</v>
      </c>
      <c r="K943" s="5">
        <f>VLOOKUP($E943,Sheet3!$B$3:$G$54,6,0)</f>
        <v>1.1000000000000001</v>
      </c>
      <c r="L943">
        <v>3600</v>
      </c>
      <c r="M943">
        <v>0</v>
      </c>
      <c r="N943">
        <v>10</v>
      </c>
      <c r="O943" s="14">
        <f t="shared" si="33"/>
        <v>0</v>
      </c>
    </row>
    <row r="944" spans="1:15" x14ac:dyDescent="0.3">
      <c r="A944" s="15" t="s">
        <v>39</v>
      </c>
      <c r="B944" s="12" t="s">
        <v>32</v>
      </c>
      <c r="C944" s="12" t="s">
        <v>33</v>
      </c>
      <c r="D944" s="6">
        <f t="shared" si="34"/>
        <v>21</v>
      </c>
      <c r="E944">
        <v>33</v>
      </c>
      <c r="F944" s="6">
        <f>VLOOKUP($E944,Sheet3!$B$3:$D$54,2,0)</f>
        <v>8</v>
      </c>
      <c r="G944" s="6">
        <f>VLOOKUP($E944,Sheet3!$B$3:$G$54,3,0)</f>
        <v>1</v>
      </c>
      <c r="H944" s="5">
        <f>VLOOKUP($A944,Sheet3!$I$3:$J$38,2,0)</f>
        <v>18.5</v>
      </c>
      <c r="I944" s="6">
        <f>VLOOKUP($E944,Sheet3!$B$3:$G$54,5,0)</f>
        <v>69121</v>
      </c>
      <c r="J944" s="5">
        <f>VLOOKUP($E944,Sheet3!$B$3:$G$54,4,0)</f>
        <v>4.5</v>
      </c>
      <c r="K944" s="5">
        <f>VLOOKUP($E944,Sheet3!$B$3:$G$54,6,0)</f>
        <v>1.1000000000000001</v>
      </c>
      <c r="L944">
        <v>3600</v>
      </c>
      <c r="M944">
        <v>1980</v>
      </c>
      <c r="N944">
        <v>12</v>
      </c>
      <c r="O944" s="14">
        <f t="shared" ref="O944:O1006" si="35">M944/L944</f>
        <v>0.55000000000000004</v>
      </c>
    </row>
    <row r="945" spans="1:15" x14ac:dyDescent="0.3">
      <c r="A945" s="15" t="s">
        <v>39</v>
      </c>
      <c r="B945" s="12" t="s">
        <v>32</v>
      </c>
      <c r="C945" s="12" t="s">
        <v>33</v>
      </c>
      <c r="D945" s="6">
        <f t="shared" si="34"/>
        <v>22</v>
      </c>
      <c r="E945">
        <v>34</v>
      </c>
      <c r="F945" s="6">
        <f>VLOOKUP($E945,Sheet3!$B$3:$D$54,2,0)</f>
        <v>8</v>
      </c>
      <c r="G945" s="6">
        <f>VLOOKUP($E945,Sheet3!$B$3:$G$54,3,0)</f>
        <v>0</v>
      </c>
      <c r="H945" s="5">
        <f>VLOOKUP($A945,Sheet3!$I$3:$J$38,2,0)</f>
        <v>18.5</v>
      </c>
      <c r="I945" s="6">
        <f>VLOOKUP($E945,Sheet3!$B$3:$G$54,5,0)</f>
        <v>69121</v>
      </c>
      <c r="J945" s="5">
        <f>VLOOKUP($E945,Sheet3!$B$3:$G$54,4,0)</f>
        <v>4.5</v>
      </c>
      <c r="K945" s="5">
        <f>VLOOKUP($E945,Sheet3!$B$3:$G$54,6,0)</f>
        <v>1.1000000000000001</v>
      </c>
      <c r="L945">
        <v>3600</v>
      </c>
      <c r="M945">
        <v>1980</v>
      </c>
      <c r="N945">
        <v>12</v>
      </c>
      <c r="O945" s="14">
        <f t="shared" si="35"/>
        <v>0.55000000000000004</v>
      </c>
    </row>
    <row r="946" spans="1:15" x14ac:dyDescent="0.3">
      <c r="A946" s="15" t="s">
        <v>39</v>
      </c>
      <c r="B946" s="12" t="s">
        <v>32</v>
      </c>
      <c r="C946" s="12" t="s">
        <v>33</v>
      </c>
      <c r="D946" s="6">
        <f t="shared" si="34"/>
        <v>22</v>
      </c>
      <c r="E946">
        <v>35</v>
      </c>
      <c r="F946" s="6">
        <f>VLOOKUP($E946,Sheet3!$B$3:$D$54,2,0)</f>
        <v>8</v>
      </c>
      <c r="G946" s="6">
        <f>VLOOKUP($E946,Sheet3!$B$3:$G$54,3,0)</f>
        <v>0</v>
      </c>
      <c r="H946" s="5">
        <f>VLOOKUP($A946,Sheet3!$I$3:$J$38,2,0)</f>
        <v>18.5</v>
      </c>
      <c r="I946" s="6">
        <f>VLOOKUP($E946,Sheet3!$B$3:$G$54,5,0)</f>
        <v>69121</v>
      </c>
      <c r="J946" s="5">
        <f>VLOOKUP($E946,Sheet3!$B$3:$G$54,4,0)</f>
        <v>4.5</v>
      </c>
      <c r="K946" s="5">
        <f>VLOOKUP($E946,Sheet3!$B$3:$G$54,6,0)</f>
        <v>1.1000000000000001</v>
      </c>
      <c r="L946">
        <v>504</v>
      </c>
      <c r="M946">
        <v>1260</v>
      </c>
      <c r="N946">
        <v>13</v>
      </c>
      <c r="O946" s="14">
        <f t="shared" si="35"/>
        <v>2.5</v>
      </c>
    </row>
    <row r="947" spans="1:15" x14ac:dyDescent="0.3">
      <c r="A947" s="15" t="s">
        <v>39</v>
      </c>
      <c r="B947" s="12" t="s">
        <v>32</v>
      </c>
      <c r="C947" s="12" t="s">
        <v>33</v>
      </c>
      <c r="D947" s="6">
        <f t="shared" si="34"/>
        <v>18</v>
      </c>
      <c r="E947">
        <v>36</v>
      </c>
      <c r="F947" s="6">
        <f>VLOOKUP($E947,Sheet3!$B$3:$D$54,2,0)</f>
        <v>9</v>
      </c>
      <c r="G947" s="6">
        <f>VLOOKUP($E947,Sheet3!$B$3:$G$54,3,0)</f>
        <v>0</v>
      </c>
      <c r="H947" s="5">
        <f>VLOOKUP($A947,Sheet3!$I$3:$J$38,2,0)</f>
        <v>18.5</v>
      </c>
      <c r="I947" s="6">
        <f>VLOOKUP($E947,Sheet3!$B$3:$G$54,5,0)</f>
        <v>121666</v>
      </c>
      <c r="J947" s="5">
        <f>VLOOKUP($E947,Sheet3!$B$3:$G$54,4,0)</f>
        <v>4.5</v>
      </c>
      <c r="K947" s="5">
        <f>VLOOKUP($E947,Sheet3!$B$3:$G$54,6,0)</f>
        <v>0.7</v>
      </c>
      <c r="L947">
        <v>504</v>
      </c>
      <c r="M947">
        <v>1800</v>
      </c>
      <c r="N947">
        <v>18</v>
      </c>
      <c r="O947" s="14">
        <f t="shared" si="35"/>
        <v>3.5714285714285716</v>
      </c>
    </row>
    <row r="948" spans="1:15" x14ac:dyDescent="0.3">
      <c r="A948" s="15" t="s">
        <v>39</v>
      </c>
      <c r="B948" s="12" t="s">
        <v>32</v>
      </c>
      <c r="C948" s="12" t="s">
        <v>33</v>
      </c>
      <c r="D948" s="6">
        <f t="shared" si="34"/>
        <v>18</v>
      </c>
      <c r="E948">
        <v>37</v>
      </c>
      <c r="F948" s="6">
        <f>VLOOKUP($E948,Sheet3!$B$3:$D$54,2,0)</f>
        <v>9</v>
      </c>
      <c r="G948" s="6">
        <f>VLOOKUP($E948,Sheet3!$B$3:$G$54,3,0)</f>
        <v>0</v>
      </c>
      <c r="H948" s="5">
        <f>VLOOKUP($A948,Sheet3!$I$3:$J$38,2,0)</f>
        <v>18.5</v>
      </c>
      <c r="I948" s="6">
        <f>VLOOKUP($E948,Sheet3!$B$3:$G$54,5,0)</f>
        <v>121666</v>
      </c>
      <c r="J948" s="5">
        <f>VLOOKUP($E948,Sheet3!$B$3:$G$54,4,0)</f>
        <v>4.5</v>
      </c>
      <c r="K948" s="5">
        <f>VLOOKUP($E948,Sheet3!$B$3:$G$54,6,0)</f>
        <v>0.7</v>
      </c>
      <c r="L948">
        <v>504</v>
      </c>
      <c r="M948">
        <v>180</v>
      </c>
      <c r="N948">
        <v>19</v>
      </c>
      <c r="O948" s="14">
        <f t="shared" si="35"/>
        <v>0.35714285714285715</v>
      </c>
    </row>
    <row r="949" spans="1:15" x14ac:dyDescent="0.3">
      <c r="A949" s="15" t="s">
        <v>39</v>
      </c>
      <c r="B949" s="12" t="s">
        <v>32</v>
      </c>
      <c r="C949" s="12" t="s">
        <v>33</v>
      </c>
      <c r="D949" s="6">
        <f t="shared" si="34"/>
        <v>18</v>
      </c>
      <c r="E949">
        <v>38</v>
      </c>
      <c r="F949" s="6">
        <f>VLOOKUP($E949,Sheet3!$B$3:$D$54,2,0)</f>
        <v>9</v>
      </c>
      <c r="G949" s="6">
        <f>VLOOKUP($E949,Sheet3!$B$3:$G$54,3,0)</f>
        <v>0</v>
      </c>
      <c r="H949" s="5">
        <f>VLOOKUP($A949,Sheet3!$I$3:$J$38,2,0)</f>
        <v>18.5</v>
      </c>
      <c r="I949" s="6">
        <f>VLOOKUP($E949,Sheet3!$B$3:$G$54,5,0)</f>
        <v>121666</v>
      </c>
      <c r="J949" s="5">
        <f>VLOOKUP($E949,Sheet3!$B$3:$G$54,4,0)</f>
        <v>3.9</v>
      </c>
      <c r="K949" s="5">
        <f>VLOOKUP($E949,Sheet3!$B$3:$G$54,6,0)</f>
        <v>0.7</v>
      </c>
      <c r="L949">
        <v>504</v>
      </c>
      <c r="M949">
        <v>1440</v>
      </c>
      <c r="N949">
        <v>20</v>
      </c>
      <c r="O949" s="14">
        <f t="shared" si="35"/>
        <v>2.8571428571428572</v>
      </c>
    </row>
    <row r="950" spans="1:15" x14ac:dyDescent="0.3">
      <c r="A950" s="15" t="s">
        <v>39</v>
      </c>
      <c r="B950" s="12" t="s">
        <v>32</v>
      </c>
      <c r="C950" s="12" t="s">
        <v>33</v>
      </c>
      <c r="D950" s="6">
        <f t="shared" si="34"/>
        <v>20</v>
      </c>
      <c r="E950">
        <v>39</v>
      </c>
      <c r="F950" s="6">
        <f>VLOOKUP($E950,Sheet3!$B$3:$D$54,2,0)</f>
        <v>9</v>
      </c>
      <c r="G950" s="6">
        <f>VLOOKUP($E950,Sheet3!$B$3:$G$54,3,0)</f>
        <v>0</v>
      </c>
      <c r="H950" s="5">
        <f>VLOOKUP($A950,Sheet3!$I$3:$J$38,2,0)</f>
        <v>18.5</v>
      </c>
      <c r="I950" s="6">
        <f>VLOOKUP($E950,Sheet3!$B$3:$G$54,5,0)</f>
        <v>121666</v>
      </c>
      <c r="J950" s="5">
        <f>VLOOKUP($E950,Sheet3!$B$3:$G$54,4,0)</f>
        <v>3.9</v>
      </c>
      <c r="K950" s="5">
        <f>VLOOKUP($E950,Sheet3!$B$3:$G$54,6,0)</f>
        <v>0.7</v>
      </c>
      <c r="L950">
        <v>585</v>
      </c>
      <c r="M950">
        <v>1440</v>
      </c>
      <c r="N950">
        <v>19</v>
      </c>
      <c r="O950" s="14">
        <f t="shared" si="35"/>
        <v>2.4615384615384617</v>
      </c>
    </row>
    <row r="951" spans="1:15" x14ac:dyDescent="0.3">
      <c r="A951" s="15" t="s">
        <v>39</v>
      </c>
      <c r="B951" s="12" t="s">
        <v>32</v>
      </c>
      <c r="C951" s="12" t="s">
        <v>33</v>
      </c>
      <c r="D951" s="6">
        <f t="shared" si="34"/>
        <v>20</v>
      </c>
      <c r="E951">
        <v>40</v>
      </c>
      <c r="F951" s="6">
        <f>VLOOKUP($E951,Sheet3!$B$3:$D$54,2,0)</f>
        <v>9</v>
      </c>
      <c r="G951" s="6">
        <f>VLOOKUP($E951,Sheet3!$B$3:$G$54,3,0)</f>
        <v>0</v>
      </c>
      <c r="H951" s="5">
        <f>VLOOKUP($A951,Sheet3!$I$3:$J$38,2,0)</f>
        <v>18.5</v>
      </c>
      <c r="I951" s="6">
        <f>VLOOKUP($E951,Sheet3!$B$3:$G$54,5,0)</f>
        <v>121666</v>
      </c>
      <c r="J951" s="5">
        <f>VLOOKUP($E951,Sheet3!$B$3:$G$54,4,0)</f>
        <v>3.9</v>
      </c>
      <c r="K951" s="5">
        <f>VLOOKUP($E951,Sheet3!$B$3:$G$54,6,0)</f>
        <v>0.7</v>
      </c>
      <c r="L951">
        <v>585</v>
      </c>
      <c r="M951">
        <v>360</v>
      </c>
      <c r="N951">
        <v>20</v>
      </c>
      <c r="O951" s="14">
        <f t="shared" si="35"/>
        <v>0.61538461538461542</v>
      </c>
    </row>
    <row r="952" spans="1:15" x14ac:dyDescent="0.3">
      <c r="A952" s="15" t="s">
        <v>39</v>
      </c>
      <c r="B952" s="12" t="s">
        <v>32</v>
      </c>
      <c r="C952" s="12" t="s">
        <v>33</v>
      </c>
      <c r="D952" s="6">
        <f t="shared" si="34"/>
        <v>20</v>
      </c>
      <c r="E952">
        <v>41</v>
      </c>
      <c r="F952" s="6">
        <f>VLOOKUP($E952,Sheet3!$B$3:$D$54,2,0)</f>
        <v>10</v>
      </c>
      <c r="G952" s="6">
        <f>VLOOKUP($E952,Sheet3!$B$3:$G$54,3,0)</f>
        <v>0</v>
      </c>
      <c r="H952" s="5">
        <f>VLOOKUP($A952,Sheet3!$I$3:$J$38,2,0)</f>
        <v>18.5</v>
      </c>
      <c r="I952" s="6">
        <f>VLOOKUP($E952,Sheet3!$B$3:$G$54,5,0)</f>
        <v>126488</v>
      </c>
      <c r="J952" s="5">
        <f>VLOOKUP($E952,Sheet3!$B$3:$G$54,4,0)</f>
        <v>3.9</v>
      </c>
      <c r="K952" s="5">
        <f>VLOOKUP($E952,Sheet3!$B$3:$G$54,6,0)</f>
        <v>0.9</v>
      </c>
      <c r="L952">
        <v>585</v>
      </c>
      <c r="M952">
        <v>1080</v>
      </c>
      <c r="N952">
        <v>21</v>
      </c>
      <c r="O952" s="14">
        <f t="shared" si="35"/>
        <v>1.8461538461538463</v>
      </c>
    </row>
    <row r="953" spans="1:15" x14ac:dyDescent="0.3">
      <c r="A953" s="15" t="s">
        <v>39</v>
      </c>
      <c r="B953" s="12" t="s">
        <v>32</v>
      </c>
      <c r="C953" s="12" t="s">
        <v>33</v>
      </c>
      <c r="D953" s="6">
        <f t="shared" si="34"/>
        <v>20</v>
      </c>
      <c r="E953">
        <v>42</v>
      </c>
      <c r="F953" s="6">
        <f>VLOOKUP($E953,Sheet3!$B$3:$D$54,2,0)</f>
        <v>10</v>
      </c>
      <c r="G953" s="6">
        <f>VLOOKUP($E953,Sheet3!$B$3:$G$54,3,0)</f>
        <v>0</v>
      </c>
      <c r="H953" s="5">
        <f>VLOOKUP($A953,Sheet3!$I$3:$J$38,2,0)</f>
        <v>18.5</v>
      </c>
      <c r="I953" s="6">
        <f>VLOOKUP($E953,Sheet3!$B$3:$G$54,5,0)</f>
        <v>126488</v>
      </c>
      <c r="J953" s="5">
        <f>VLOOKUP($E953,Sheet3!$B$3:$G$54,4,0)</f>
        <v>3.9</v>
      </c>
      <c r="K953" s="5">
        <f>VLOOKUP($E953,Sheet3!$B$3:$G$54,6,0)</f>
        <v>0.9</v>
      </c>
      <c r="L953">
        <v>585</v>
      </c>
      <c r="M953">
        <v>4680</v>
      </c>
      <c r="N953">
        <v>22</v>
      </c>
      <c r="O953" s="14">
        <f t="shared" si="35"/>
        <v>8</v>
      </c>
    </row>
    <row r="954" spans="1:15" x14ac:dyDescent="0.3">
      <c r="A954" s="15" t="s">
        <v>39</v>
      </c>
      <c r="B954" s="12" t="s">
        <v>32</v>
      </c>
      <c r="C954" s="12" t="s">
        <v>33</v>
      </c>
      <c r="D954" s="6">
        <f t="shared" si="34"/>
        <v>21</v>
      </c>
      <c r="E954">
        <v>43</v>
      </c>
      <c r="F954" s="6">
        <f>VLOOKUP($E954,Sheet3!$B$3:$D$54,2,0)</f>
        <v>10</v>
      </c>
      <c r="G954" s="6">
        <f>VLOOKUP($E954,Sheet3!$B$3:$G$54,3,0)</f>
        <v>0</v>
      </c>
      <c r="H954" s="5">
        <f>VLOOKUP($A954,Sheet3!$I$3:$J$38,2,0)</f>
        <v>18.5</v>
      </c>
      <c r="I954" s="6">
        <f>VLOOKUP($E954,Sheet3!$B$3:$G$54,5,0)</f>
        <v>126488</v>
      </c>
      <c r="J954" s="5">
        <f>VLOOKUP($E954,Sheet3!$B$3:$G$54,4,0)</f>
        <v>3.65</v>
      </c>
      <c r="K954" s="5">
        <f>VLOOKUP($E954,Sheet3!$B$3:$G$54,6,0)</f>
        <v>0.9</v>
      </c>
      <c r="L954">
        <v>2880</v>
      </c>
      <c r="M954">
        <v>0</v>
      </c>
      <c r="N954">
        <v>22</v>
      </c>
      <c r="O954" s="14">
        <f t="shared" si="35"/>
        <v>0</v>
      </c>
    </row>
    <row r="955" spans="1:15" x14ac:dyDescent="0.3">
      <c r="A955" s="15" t="s">
        <v>39</v>
      </c>
      <c r="B955" s="12" t="s">
        <v>32</v>
      </c>
      <c r="C955" s="12" t="s">
        <v>33</v>
      </c>
      <c r="D955" s="6">
        <f t="shared" si="34"/>
        <v>21</v>
      </c>
      <c r="E955">
        <v>44</v>
      </c>
      <c r="F955" s="6">
        <f>VLOOKUP($E955,Sheet3!$B$3:$D$54,2,0)</f>
        <v>10</v>
      </c>
      <c r="G955" s="6">
        <f>VLOOKUP($E955,Sheet3!$B$3:$G$54,3,0)</f>
        <v>1</v>
      </c>
      <c r="H955" s="5">
        <f>VLOOKUP($A955,Sheet3!$I$3:$J$38,2,0)</f>
        <v>18.5</v>
      </c>
      <c r="I955" s="6">
        <f>VLOOKUP($E955,Sheet3!$B$3:$G$54,5,0)</f>
        <v>126488</v>
      </c>
      <c r="J955" s="5">
        <f>VLOOKUP($E955,Sheet3!$B$3:$G$54,4,0)</f>
        <v>3.65</v>
      </c>
      <c r="K955" s="5">
        <f>VLOOKUP($E955,Sheet3!$B$3:$G$54,6,0)</f>
        <v>0.9</v>
      </c>
      <c r="L955">
        <v>1980</v>
      </c>
      <c r="M955">
        <v>0</v>
      </c>
      <c r="N955">
        <v>23</v>
      </c>
      <c r="O955" s="14">
        <f t="shared" si="35"/>
        <v>0</v>
      </c>
    </row>
    <row r="956" spans="1:15" x14ac:dyDescent="0.3">
      <c r="A956" s="15" t="s">
        <v>39</v>
      </c>
      <c r="B956" s="12" t="s">
        <v>32</v>
      </c>
      <c r="C956" s="12" t="s">
        <v>33</v>
      </c>
      <c r="D956" s="6">
        <f t="shared" si="34"/>
        <v>21</v>
      </c>
      <c r="E956">
        <v>45</v>
      </c>
      <c r="F956" s="6">
        <f>VLOOKUP($E956,Sheet3!$B$3:$D$54,2,0)</f>
        <v>11</v>
      </c>
      <c r="G956" s="6">
        <f>VLOOKUP($E956,Sheet3!$B$3:$G$54,3,0)</f>
        <v>0</v>
      </c>
      <c r="H956" s="5">
        <f>VLOOKUP($A956,Sheet3!$I$3:$J$38,2,0)</f>
        <v>18.5</v>
      </c>
      <c r="I956" s="6">
        <f>VLOOKUP($E956,Sheet3!$B$3:$G$54,5,0)</f>
        <v>124251</v>
      </c>
      <c r="J956" s="5">
        <f>VLOOKUP($E956,Sheet3!$B$3:$G$54,4,0)</f>
        <v>3.65</v>
      </c>
      <c r="K956" s="5">
        <f>VLOOKUP($E956,Sheet3!$B$3:$G$54,6,0)</f>
        <v>1.3</v>
      </c>
      <c r="L956">
        <v>1980</v>
      </c>
      <c r="M956">
        <v>1440</v>
      </c>
      <c r="N956">
        <v>24</v>
      </c>
      <c r="O956" s="14">
        <f t="shared" si="35"/>
        <v>0.72727272727272729</v>
      </c>
    </row>
    <row r="957" spans="1:15" x14ac:dyDescent="0.3">
      <c r="A957" s="15" t="s">
        <v>39</v>
      </c>
      <c r="B957" s="12" t="s">
        <v>32</v>
      </c>
      <c r="C957" s="12" t="s">
        <v>33</v>
      </c>
      <c r="D957" s="6">
        <f t="shared" si="34"/>
        <v>21</v>
      </c>
      <c r="E957">
        <v>46</v>
      </c>
      <c r="F957" s="6">
        <f>VLOOKUP($E957,Sheet3!$B$3:$D$54,2,0)</f>
        <v>11</v>
      </c>
      <c r="G957" s="6">
        <f>VLOOKUP($E957,Sheet3!$B$3:$G$54,3,0)</f>
        <v>0</v>
      </c>
      <c r="H957" s="5">
        <f>VLOOKUP($A957,Sheet3!$I$3:$J$38,2,0)</f>
        <v>18.5</v>
      </c>
      <c r="I957" s="6">
        <f>VLOOKUP($E957,Sheet3!$B$3:$G$54,5,0)</f>
        <v>124251</v>
      </c>
      <c r="J957" s="5">
        <f>VLOOKUP($E957,Sheet3!$B$3:$G$54,4,0)</f>
        <v>3.65</v>
      </c>
      <c r="K957" s="5">
        <f>VLOOKUP($E957,Sheet3!$B$3:$G$54,6,0)</f>
        <v>1.3</v>
      </c>
      <c r="L957">
        <v>1980</v>
      </c>
      <c r="M957">
        <v>7020</v>
      </c>
      <c r="N957">
        <v>25</v>
      </c>
      <c r="O957" s="14">
        <f t="shared" si="35"/>
        <v>3.5454545454545454</v>
      </c>
    </row>
    <row r="958" spans="1:15" x14ac:dyDescent="0.3">
      <c r="A958" s="15" t="s">
        <v>39</v>
      </c>
      <c r="B958" s="12" t="s">
        <v>32</v>
      </c>
      <c r="C958" s="12" t="s">
        <v>33</v>
      </c>
      <c r="D958" s="6">
        <f t="shared" si="34"/>
        <v>21</v>
      </c>
      <c r="E958">
        <v>47</v>
      </c>
      <c r="F958" s="6">
        <f>VLOOKUP($E958,Sheet3!$B$3:$D$54,2,0)</f>
        <v>11</v>
      </c>
      <c r="G958" s="6">
        <f>VLOOKUP($E958,Sheet3!$B$3:$G$54,3,0)</f>
        <v>0</v>
      </c>
      <c r="H958" s="5">
        <f>VLOOKUP($A958,Sheet3!$I$3:$J$38,2,0)</f>
        <v>18.5</v>
      </c>
      <c r="I958" s="6">
        <f>VLOOKUP($E958,Sheet3!$B$3:$G$54,5,0)</f>
        <v>124251</v>
      </c>
      <c r="J958" s="5">
        <f>VLOOKUP($E958,Sheet3!$B$3:$G$54,4,0)</f>
        <v>3.65</v>
      </c>
      <c r="K958" s="5">
        <f>VLOOKUP($E958,Sheet3!$B$3:$G$54,6,0)</f>
        <v>1.3</v>
      </c>
      <c r="L958">
        <v>1980</v>
      </c>
      <c r="M958">
        <v>0</v>
      </c>
      <c r="N958">
        <v>26</v>
      </c>
      <c r="O958" s="14">
        <f t="shared" si="35"/>
        <v>0</v>
      </c>
    </row>
    <row r="959" spans="1:15" x14ac:dyDescent="0.3">
      <c r="A959" s="15" t="s">
        <v>39</v>
      </c>
      <c r="B959" s="12" t="s">
        <v>32</v>
      </c>
      <c r="C959" s="12" t="s">
        <v>33</v>
      </c>
      <c r="D959" s="6">
        <f t="shared" si="34"/>
        <v>26</v>
      </c>
      <c r="E959">
        <v>48</v>
      </c>
      <c r="F959" s="6">
        <f>VLOOKUP($E959,Sheet3!$B$3:$D$54,2,0)</f>
        <v>11</v>
      </c>
      <c r="G959" s="6">
        <f>VLOOKUP($E959,Sheet3!$B$3:$G$54,3,0)</f>
        <v>0</v>
      </c>
      <c r="H959" s="5">
        <f>VLOOKUP($A959,Sheet3!$I$3:$J$38,2,0)</f>
        <v>18.5</v>
      </c>
      <c r="I959" s="6">
        <f>VLOOKUP($E959,Sheet3!$B$3:$G$54,5,0)</f>
        <v>124251</v>
      </c>
      <c r="J959" s="5">
        <f>VLOOKUP($E959,Sheet3!$B$3:$G$54,4,0)</f>
        <v>3.65</v>
      </c>
      <c r="K959" s="5">
        <f>VLOOKUP($E959,Sheet3!$B$3:$G$54,6,0)</f>
        <v>1.3</v>
      </c>
      <c r="L959">
        <v>396</v>
      </c>
      <c r="M959">
        <v>0</v>
      </c>
      <c r="N959">
        <v>22</v>
      </c>
      <c r="O959" s="14">
        <f t="shared" si="35"/>
        <v>0</v>
      </c>
    </row>
    <row r="960" spans="1:15" x14ac:dyDescent="0.3">
      <c r="A960" s="15" t="s">
        <v>39</v>
      </c>
      <c r="B960" s="12" t="s">
        <v>32</v>
      </c>
      <c r="C960" s="12" t="s">
        <v>33</v>
      </c>
      <c r="D960" s="6">
        <f t="shared" si="34"/>
        <v>26</v>
      </c>
      <c r="E960">
        <v>49</v>
      </c>
      <c r="F960" s="6">
        <f>VLOOKUP($E960,Sheet3!$B$3:$D$54,2,0)</f>
        <v>12</v>
      </c>
      <c r="G960" s="6">
        <f>VLOOKUP($E960,Sheet3!$B$3:$G$54,3,0)</f>
        <v>1</v>
      </c>
      <c r="H960" s="5">
        <f>VLOOKUP($A960,Sheet3!$I$3:$J$38,2,0)</f>
        <v>18.5</v>
      </c>
      <c r="I960" s="6">
        <f>VLOOKUP($E960,Sheet3!$B$3:$G$54,5,0)</f>
        <v>105715</v>
      </c>
      <c r="J960" s="5">
        <f>VLOOKUP($E960,Sheet3!$B$3:$G$54,4,0)</f>
        <v>3.65</v>
      </c>
      <c r="K960" s="5">
        <f>VLOOKUP($E960,Sheet3!$B$3:$G$54,6,0)</f>
        <v>1.3</v>
      </c>
      <c r="L960">
        <v>396</v>
      </c>
      <c r="M960">
        <v>1800</v>
      </c>
      <c r="N960">
        <v>23</v>
      </c>
      <c r="O960" s="14">
        <f t="shared" si="35"/>
        <v>4.5454545454545459</v>
      </c>
    </row>
    <row r="961" spans="1:15" x14ac:dyDescent="0.3">
      <c r="A961" s="15" t="s">
        <v>39</v>
      </c>
      <c r="B961" s="12" t="s">
        <v>32</v>
      </c>
      <c r="C961" s="12" t="s">
        <v>33</v>
      </c>
      <c r="D961" s="6">
        <f t="shared" ref="D961:D1023" si="36">IF(E961-N961&lt;0,E961-N961+52,E961-N961)</f>
        <v>25</v>
      </c>
      <c r="E961">
        <v>50</v>
      </c>
      <c r="F961" s="6">
        <f>VLOOKUP($E961,Sheet3!$B$3:$D$54,2,0)</f>
        <v>12</v>
      </c>
      <c r="G961" s="6">
        <f>VLOOKUP($E961,Sheet3!$B$3:$G$54,3,0)</f>
        <v>0</v>
      </c>
      <c r="H961" s="5">
        <f>VLOOKUP($A961,Sheet3!$I$3:$J$38,2,0)</f>
        <v>18.5</v>
      </c>
      <c r="I961" s="6">
        <f>VLOOKUP($E961,Sheet3!$B$3:$G$54,5,0)</f>
        <v>105715</v>
      </c>
      <c r="J961" s="5">
        <f>VLOOKUP($E961,Sheet3!$B$3:$G$54,4,0)</f>
        <v>3.4</v>
      </c>
      <c r="K961" s="5">
        <f>VLOOKUP($E961,Sheet3!$B$3:$G$54,6,0)</f>
        <v>1.3</v>
      </c>
      <c r="L961">
        <v>396</v>
      </c>
      <c r="M961">
        <v>3600</v>
      </c>
      <c r="N961">
        <v>25</v>
      </c>
      <c r="O961" s="14">
        <f t="shared" si="35"/>
        <v>9.0909090909090917</v>
      </c>
    </row>
    <row r="962" spans="1:15" x14ac:dyDescent="0.3">
      <c r="A962" s="15" t="s">
        <v>39</v>
      </c>
      <c r="B962" s="12" t="s">
        <v>32</v>
      </c>
      <c r="C962" s="12" t="s">
        <v>33</v>
      </c>
      <c r="D962" s="6">
        <f t="shared" si="36"/>
        <v>26</v>
      </c>
      <c r="E962">
        <v>51</v>
      </c>
      <c r="F962" s="6">
        <f>VLOOKUP($E962,Sheet3!$B$3:$D$54,2,0)</f>
        <v>12</v>
      </c>
      <c r="G962" s="6">
        <f>VLOOKUP($E962,Sheet3!$B$3:$G$54,3,0)</f>
        <v>0</v>
      </c>
      <c r="H962" s="5">
        <f>VLOOKUP($A962,Sheet3!$I$3:$J$38,2,0)</f>
        <v>18.5</v>
      </c>
      <c r="I962" s="6">
        <f>VLOOKUP($E962,Sheet3!$B$3:$G$54,5,0)</f>
        <v>105715</v>
      </c>
      <c r="J962" s="5">
        <f>VLOOKUP($E962,Sheet3!$B$3:$G$54,4,0)</f>
        <v>3.4</v>
      </c>
      <c r="K962" s="5">
        <f>VLOOKUP($E962,Sheet3!$B$3:$G$54,6,0)</f>
        <v>1.3</v>
      </c>
      <c r="L962">
        <v>396</v>
      </c>
      <c r="M962">
        <v>0</v>
      </c>
      <c r="N962">
        <v>25</v>
      </c>
      <c r="O962" s="14">
        <f t="shared" si="35"/>
        <v>0</v>
      </c>
    </row>
    <row r="963" spans="1:15" x14ac:dyDescent="0.3">
      <c r="A963" s="15" t="s">
        <v>39</v>
      </c>
      <c r="B963" s="12" t="s">
        <v>32</v>
      </c>
      <c r="C963" s="12" t="s">
        <v>33</v>
      </c>
      <c r="D963" s="6">
        <f t="shared" si="36"/>
        <v>27</v>
      </c>
      <c r="E963">
        <v>52</v>
      </c>
      <c r="F963" s="6">
        <f>VLOOKUP($E963,Sheet3!$B$3:$D$54,2,0)</f>
        <v>12</v>
      </c>
      <c r="G963" s="6">
        <f>VLOOKUP($E963,Sheet3!$B$3:$G$54,3,0)</f>
        <v>1</v>
      </c>
      <c r="H963" s="5">
        <f>VLOOKUP($A963,Sheet3!$I$3:$J$38,2,0)</f>
        <v>18.5</v>
      </c>
      <c r="I963" s="6">
        <f>VLOOKUP($E963,Sheet3!$B$3:$G$54,5,0)</f>
        <v>105715</v>
      </c>
      <c r="J963" s="5">
        <f>VLOOKUP($E963,Sheet3!$B$3:$G$54,4,0)</f>
        <v>3.4</v>
      </c>
      <c r="K963" s="5">
        <f>VLOOKUP($E963,Sheet3!$B$3:$G$54,6,0)</f>
        <v>1.3</v>
      </c>
      <c r="L963">
        <v>396</v>
      </c>
      <c r="M963">
        <v>0</v>
      </c>
      <c r="N963">
        <v>25</v>
      </c>
      <c r="O963" s="14">
        <f t="shared" si="35"/>
        <v>0</v>
      </c>
    </row>
    <row r="964" spans="1:15" x14ac:dyDescent="0.3">
      <c r="A964" s="15" t="s">
        <v>39</v>
      </c>
      <c r="B964" s="12" t="s">
        <v>32</v>
      </c>
      <c r="C964" s="12" t="s">
        <v>33</v>
      </c>
      <c r="D964" s="6">
        <f t="shared" si="36"/>
        <v>27</v>
      </c>
      <c r="E964">
        <v>1</v>
      </c>
      <c r="F964" s="6">
        <f>VLOOKUP($E964,Sheet3!$B$3:$D$54,2,0)</f>
        <v>12</v>
      </c>
      <c r="G964" s="6">
        <f>VLOOKUP($E964,Sheet3!$B$3:$G$54,3,0)</f>
        <v>1</v>
      </c>
      <c r="H964" s="5">
        <f>VLOOKUP($A964,Sheet3!$I$3:$J$38,2,0)</f>
        <v>18.5</v>
      </c>
      <c r="I964" s="6">
        <f>VLOOKUP($E964,Sheet3!$B$3:$G$54,5,0)</f>
        <v>105715</v>
      </c>
      <c r="J964" s="5">
        <f>VLOOKUP($E964,Sheet3!$B$3:$G$54,4,0)</f>
        <v>3.4</v>
      </c>
      <c r="K964" s="5">
        <f>VLOOKUP($E964,Sheet3!$B$3:$G$54,6,0)</f>
        <v>1.3</v>
      </c>
      <c r="L964">
        <v>1620</v>
      </c>
      <c r="M964">
        <v>4500</v>
      </c>
      <c r="N964">
        <v>26</v>
      </c>
      <c r="O964" s="14">
        <f t="shared" si="35"/>
        <v>2.7777777777777777</v>
      </c>
    </row>
    <row r="965" spans="1:15" x14ac:dyDescent="0.3">
      <c r="A965" s="15" t="s">
        <v>39</v>
      </c>
      <c r="B965" s="12" t="s">
        <v>32</v>
      </c>
      <c r="C965" s="12" t="s">
        <v>33</v>
      </c>
      <c r="D965" s="6">
        <f t="shared" si="36"/>
        <v>28</v>
      </c>
      <c r="E965">
        <v>2</v>
      </c>
      <c r="F965" s="6">
        <f>VLOOKUP($E965,Sheet3!$B$3:$D$54,2,0)</f>
        <v>1</v>
      </c>
      <c r="G965" s="6">
        <f>VLOOKUP($E965,Sheet3!$B$3:$G$54,3,0)</f>
        <v>1</v>
      </c>
      <c r="H965" s="5">
        <f>VLOOKUP($A965,Sheet3!$I$3:$J$38,2,0)</f>
        <v>18.5</v>
      </c>
      <c r="I965" s="6">
        <f>VLOOKUP($E965,Sheet3!$B$3:$G$54,5,0)</f>
        <v>133692</v>
      </c>
      <c r="J965" s="5">
        <f>VLOOKUP($E965,Sheet3!$B$3:$G$54,4,0)</f>
        <v>3.4</v>
      </c>
      <c r="K965" s="5">
        <f>VLOOKUP($E965,Sheet3!$B$3:$G$54,6,0)</f>
        <v>1.5</v>
      </c>
      <c r="L965">
        <v>1620</v>
      </c>
      <c r="M965">
        <v>540</v>
      </c>
      <c r="N965">
        <v>26</v>
      </c>
      <c r="O965" s="14">
        <f t="shared" si="35"/>
        <v>0.33333333333333331</v>
      </c>
    </row>
    <row r="966" spans="1:15" x14ac:dyDescent="0.3">
      <c r="A966" s="15" t="s">
        <v>39</v>
      </c>
      <c r="B966" s="12" t="s">
        <v>32</v>
      </c>
      <c r="C966" s="12" t="s">
        <v>33</v>
      </c>
      <c r="D966" s="6">
        <f t="shared" si="36"/>
        <v>30</v>
      </c>
      <c r="E966">
        <v>3</v>
      </c>
      <c r="F966" s="6">
        <f>VLOOKUP($E966,Sheet3!$B$3:$D$54,2,0)</f>
        <v>1</v>
      </c>
      <c r="G966" s="6">
        <f>VLOOKUP($E966,Sheet3!$B$3:$G$54,3,0)</f>
        <v>0</v>
      </c>
      <c r="H966" s="5">
        <f>VLOOKUP($A966,Sheet3!$I$3:$J$38,2,0)</f>
        <v>18.5</v>
      </c>
      <c r="I966" s="6">
        <f>VLOOKUP($E966,Sheet3!$B$3:$G$54,5,0)</f>
        <v>133692</v>
      </c>
      <c r="J966" s="5">
        <f>VLOOKUP($E966,Sheet3!$B$3:$G$54,4,0)</f>
        <v>3.4</v>
      </c>
      <c r="K966" s="5">
        <f>VLOOKUP($E966,Sheet3!$B$3:$G$54,6,0)</f>
        <v>1.5</v>
      </c>
      <c r="L966">
        <v>1620</v>
      </c>
      <c r="M966">
        <v>3960</v>
      </c>
      <c r="N966">
        <v>25</v>
      </c>
      <c r="O966" s="14">
        <f t="shared" si="35"/>
        <v>2.4444444444444446</v>
      </c>
    </row>
    <row r="967" spans="1:15" x14ac:dyDescent="0.3">
      <c r="A967" s="15" t="s">
        <v>39</v>
      </c>
      <c r="B967" s="12" t="s">
        <v>32</v>
      </c>
      <c r="C967" s="12" t="s">
        <v>33</v>
      </c>
      <c r="D967" s="6">
        <f t="shared" si="36"/>
        <v>30</v>
      </c>
      <c r="E967">
        <v>4</v>
      </c>
      <c r="F967" s="6">
        <f>VLOOKUP($E967,Sheet3!$B$3:$D$54,2,0)</f>
        <v>1</v>
      </c>
      <c r="G967" s="6">
        <f>VLOOKUP($E967,Sheet3!$B$3:$G$54,3,0)</f>
        <v>0</v>
      </c>
      <c r="H967" s="5">
        <f>VLOOKUP($A967,Sheet3!$I$3:$J$38,2,0)</f>
        <v>18.5</v>
      </c>
      <c r="I967" s="6">
        <f>VLOOKUP($E967,Sheet3!$B$3:$G$54,5,0)</f>
        <v>133692</v>
      </c>
      <c r="J967" s="5">
        <f>VLOOKUP($E967,Sheet3!$B$3:$G$54,4,0)</f>
        <v>3.4</v>
      </c>
      <c r="K967" s="5">
        <f>VLOOKUP($E967,Sheet3!$B$3:$G$54,6,0)</f>
        <v>1.5</v>
      </c>
      <c r="L967">
        <v>1620</v>
      </c>
      <c r="M967">
        <v>540</v>
      </c>
      <c r="N967">
        <v>26</v>
      </c>
      <c r="O967" s="14">
        <f t="shared" si="35"/>
        <v>0.33333333333333331</v>
      </c>
    </row>
    <row r="968" spans="1:15" x14ac:dyDescent="0.3">
      <c r="A968" s="15" t="s">
        <v>39</v>
      </c>
      <c r="B968" s="12" t="s">
        <v>32</v>
      </c>
      <c r="C968" s="12" t="s">
        <v>33</v>
      </c>
      <c r="D968" s="6">
        <f t="shared" si="36"/>
        <v>37</v>
      </c>
      <c r="E968">
        <v>5</v>
      </c>
      <c r="F968" s="6">
        <f>VLOOKUP($E968,Sheet3!$B$3:$D$54,2,0)</f>
        <v>1</v>
      </c>
      <c r="G968" s="6">
        <f>VLOOKUP($E968,Sheet3!$B$3:$G$54,3,0)</f>
        <v>0</v>
      </c>
      <c r="H968" s="5">
        <f>VLOOKUP($A968,Sheet3!$I$3:$J$38,2,0)</f>
        <v>18.5</v>
      </c>
      <c r="I968" s="6">
        <f>VLOOKUP($E968,Sheet3!$B$3:$G$54,5,0)</f>
        <v>133692</v>
      </c>
      <c r="J968" s="5">
        <f>VLOOKUP($E968,Sheet3!$B$3:$G$54,4,0)</f>
        <v>3.4</v>
      </c>
      <c r="K968" s="5">
        <f>VLOOKUP($E968,Sheet3!$B$3:$G$54,6,0)</f>
        <v>1.5</v>
      </c>
      <c r="L968">
        <v>1665</v>
      </c>
      <c r="M968">
        <v>3600</v>
      </c>
      <c r="N968">
        <v>20</v>
      </c>
      <c r="O968" s="14">
        <f t="shared" si="35"/>
        <v>2.1621621621621623</v>
      </c>
    </row>
    <row r="969" spans="1:15" x14ac:dyDescent="0.3">
      <c r="A969" s="15" t="s">
        <v>39</v>
      </c>
      <c r="B969" s="12" t="s">
        <v>32</v>
      </c>
      <c r="C969" s="12" t="s">
        <v>33</v>
      </c>
      <c r="D969" s="6">
        <f t="shared" si="36"/>
        <v>37</v>
      </c>
      <c r="E969">
        <v>6</v>
      </c>
      <c r="F969" s="6">
        <f>VLOOKUP($E969,Sheet3!$B$3:$D$54,2,0)</f>
        <v>2</v>
      </c>
      <c r="G969" s="6">
        <f>VLOOKUP($E969,Sheet3!$B$3:$G$54,3,0)</f>
        <v>0</v>
      </c>
      <c r="H969" s="5">
        <f>VLOOKUP($A969,Sheet3!$I$3:$J$38,2,0)</f>
        <v>18.5</v>
      </c>
      <c r="I969" s="6">
        <f>VLOOKUP($E969,Sheet3!$B$3:$G$54,5,0)</f>
        <v>137922</v>
      </c>
      <c r="J969" s="5">
        <f>VLOOKUP($E969,Sheet3!$B$3:$G$54,4,0)</f>
        <v>3.15</v>
      </c>
      <c r="K969" s="5">
        <f>VLOOKUP($E969,Sheet3!$B$3:$G$54,6,0)</f>
        <v>1.6</v>
      </c>
      <c r="L969">
        <v>1665</v>
      </c>
      <c r="M969">
        <v>900</v>
      </c>
      <c r="N969">
        <v>21</v>
      </c>
      <c r="O969" s="14">
        <f t="shared" si="35"/>
        <v>0.54054054054054057</v>
      </c>
    </row>
    <row r="970" spans="1:15" x14ac:dyDescent="0.3">
      <c r="A970" s="15" t="s">
        <v>39</v>
      </c>
      <c r="B970" s="12" t="s">
        <v>32</v>
      </c>
      <c r="C970" s="12" t="s">
        <v>33</v>
      </c>
      <c r="D970" s="6">
        <f t="shared" si="36"/>
        <v>37</v>
      </c>
      <c r="E970">
        <v>7</v>
      </c>
      <c r="F970" s="6">
        <f>VLOOKUP($E970,Sheet3!$B$3:$D$54,2,0)</f>
        <v>2</v>
      </c>
      <c r="G970" s="6">
        <f>VLOOKUP($E970,Sheet3!$B$3:$G$54,3,0)</f>
        <v>0</v>
      </c>
      <c r="H970" s="5">
        <f>VLOOKUP($A970,Sheet3!$I$3:$J$38,2,0)</f>
        <v>18.5</v>
      </c>
      <c r="I970" s="6">
        <f>VLOOKUP($E970,Sheet3!$B$3:$G$54,5,0)</f>
        <v>137922</v>
      </c>
      <c r="J970" s="5">
        <f>VLOOKUP($E970,Sheet3!$B$3:$G$54,4,0)</f>
        <v>3.15</v>
      </c>
      <c r="K970" s="5">
        <f>VLOOKUP($E970,Sheet3!$B$3:$G$54,6,0)</f>
        <v>1.6</v>
      </c>
      <c r="L970">
        <v>1665</v>
      </c>
      <c r="M970">
        <v>0</v>
      </c>
      <c r="N970">
        <v>22</v>
      </c>
      <c r="O970" s="14">
        <f t="shared" si="35"/>
        <v>0</v>
      </c>
    </row>
    <row r="971" spans="1:15" x14ac:dyDescent="0.3">
      <c r="A971" s="15" t="s">
        <v>39</v>
      </c>
      <c r="B971" s="12" t="s">
        <v>32</v>
      </c>
      <c r="C971" s="12" t="s">
        <v>33</v>
      </c>
      <c r="D971" s="6">
        <f t="shared" si="36"/>
        <v>37</v>
      </c>
      <c r="E971">
        <v>8</v>
      </c>
      <c r="F971" s="6">
        <f>VLOOKUP($E971,Sheet3!$B$3:$D$54,2,0)</f>
        <v>2</v>
      </c>
      <c r="G971" s="6">
        <f>VLOOKUP($E971,Sheet3!$B$3:$G$54,3,0)</f>
        <v>0</v>
      </c>
      <c r="H971" s="5">
        <f>VLOOKUP($A971,Sheet3!$I$3:$J$38,2,0)</f>
        <v>18.5</v>
      </c>
      <c r="I971" s="6">
        <f>VLOOKUP($E971,Sheet3!$B$3:$G$54,5,0)</f>
        <v>137922</v>
      </c>
      <c r="J971" s="5">
        <f>VLOOKUP($E971,Sheet3!$B$3:$G$54,4,0)</f>
        <v>3.15</v>
      </c>
      <c r="K971" s="5">
        <f>VLOOKUP($E971,Sheet3!$B$3:$G$54,6,0)</f>
        <v>1.6</v>
      </c>
      <c r="L971">
        <v>1665</v>
      </c>
      <c r="M971">
        <v>720</v>
      </c>
      <c r="N971">
        <v>23</v>
      </c>
      <c r="O971" s="14">
        <f t="shared" si="35"/>
        <v>0.43243243243243246</v>
      </c>
    </row>
    <row r="972" spans="1:15" x14ac:dyDescent="0.3">
      <c r="A972" s="15" t="s">
        <v>39</v>
      </c>
      <c r="B972" s="12" t="s">
        <v>32</v>
      </c>
      <c r="C972" s="12" t="s">
        <v>33</v>
      </c>
      <c r="D972" s="6">
        <f t="shared" si="36"/>
        <v>39</v>
      </c>
      <c r="E972">
        <v>9</v>
      </c>
      <c r="F972" s="6">
        <f>VLOOKUP($E972,Sheet3!$B$3:$D$54,2,0)</f>
        <v>2</v>
      </c>
      <c r="G972" s="6">
        <f>VLOOKUP($E972,Sheet3!$B$3:$G$54,3,0)</f>
        <v>0</v>
      </c>
      <c r="H972" s="5">
        <f>VLOOKUP($A972,Sheet3!$I$3:$J$38,2,0)</f>
        <v>18.5</v>
      </c>
      <c r="I972" s="6">
        <f>VLOOKUP($E972,Sheet3!$B$3:$G$54,5,0)</f>
        <v>137922</v>
      </c>
      <c r="J972" s="5">
        <f>VLOOKUP($E972,Sheet3!$B$3:$G$54,4,0)</f>
        <v>3.15</v>
      </c>
      <c r="K972" s="5">
        <f>VLOOKUP($E972,Sheet3!$B$3:$G$54,6,0)</f>
        <v>1.6</v>
      </c>
      <c r="L972">
        <v>1440</v>
      </c>
      <c r="M972">
        <v>0</v>
      </c>
      <c r="N972">
        <v>22</v>
      </c>
      <c r="O972" s="14">
        <f t="shared" si="35"/>
        <v>0</v>
      </c>
    </row>
    <row r="973" spans="1:15" x14ac:dyDescent="0.3">
      <c r="A973" s="15" t="s">
        <v>39</v>
      </c>
      <c r="B973" s="12" t="s">
        <v>32</v>
      </c>
      <c r="C973" s="12" t="s">
        <v>33</v>
      </c>
      <c r="D973" s="6">
        <f t="shared" si="36"/>
        <v>39</v>
      </c>
      <c r="E973">
        <v>10</v>
      </c>
      <c r="F973" s="6">
        <f>VLOOKUP($E973,Sheet3!$B$3:$D$54,2,0)</f>
        <v>3</v>
      </c>
      <c r="G973" s="6">
        <f>VLOOKUP($E973,Sheet3!$B$3:$G$54,3,0)</f>
        <v>0</v>
      </c>
      <c r="H973" s="5">
        <f>VLOOKUP($A973,Sheet3!$I$3:$J$38,2,0)</f>
        <v>18.5</v>
      </c>
      <c r="I973" s="6">
        <f>VLOOKUP($E973,Sheet3!$B$3:$G$54,5,0)</f>
        <v>172223</v>
      </c>
      <c r="J973" s="5">
        <f>VLOOKUP($E973,Sheet3!$B$3:$G$54,4,0)</f>
        <v>3.15</v>
      </c>
      <c r="K973" s="5">
        <f>VLOOKUP($E973,Sheet3!$B$3:$G$54,6,0)</f>
        <v>1.9</v>
      </c>
      <c r="L973">
        <v>1440</v>
      </c>
      <c r="M973">
        <v>3600</v>
      </c>
      <c r="N973">
        <v>23</v>
      </c>
      <c r="O973" s="14">
        <f t="shared" si="35"/>
        <v>2.5</v>
      </c>
    </row>
    <row r="974" spans="1:15" x14ac:dyDescent="0.3">
      <c r="A974" s="15" t="s">
        <v>39</v>
      </c>
      <c r="B974" s="12" t="s">
        <v>32</v>
      </c>
      <c r="C974" s="12" t="s">
        <v>33</v>
      </c>
      <c r="D974" s="6">
        <f t="shared" si="36"/>
        <v>39</v>
      </c>
      <c r="E974">
        <v>11</v>
      </c>
      <c r="F974" s="6">
        <f>VLOOKUP($E974,Sheet3!$B$3:$D$54,2,0)</f>
        <v>3</v>
      </c>
      <c r="G974" s="6">
        <f>VLOOKUP($E974,Sheet3!$B$3:$G$54,3,0)</f>
        <v>0</v>
      </c>
      <c r="H974" s="5">
        <f>VLOOKUP($A974,Sheet3!$I$3:$J$38,2,0)</f>
        <v>18.5</v>
      </c>
      <c r="I974" s="6">
        <f>VLOOKUP($E974,Sheet3!$B$3:$G$54,5,0)</f>
        <v>172223</v>
      </c>
      <c r="J974" s="5">
        <f>VLOOKUP($E974,Sheet3!$B$3:$G$54,4,0)</f>
        <v>2.9</v>
      </c>
      <c r="K974" s="5">
        <f>VLOOKUP($E974,Sheet3!$B$3:$G$54,6,0)</f>
        <v>1.9</v>
      </c>
      <c r="L974">
        <v>1440</v>
      </c>
      <c r="M974">
        <v>540</v>
      </c>
      <c r="N974">
        <v>24</v>
      </c>
      <c r="O974" s="14">
        <f t="shared" si="35"/>
        <v>0.375</v>
      </c>
    </row>
    <row r="975" spans="1:15" x14ac:dyDescent="0.3">
      <c r="A975" s="15" t="s">
        <v>39</v>
      </c>
      <c r="B975" s="12" t="s">
        <v>32</v>
      </c>
      <c r="C975" s="12" t="s">
        <v>33</v>
      </c>
      <c r="D975" s="6">
        <f t="shared" si="36"/>
        <v>40</v>
      </c>
      <c r="E975">
        <v>12</v>
      </c>
      <c r="F975" s="6">
        <f>VLOOKUP($E975,Sheet3!$B$3:$D$54,2,0)</f>
        <v>3</v>
      </c>
      <c r="G975" s="6">
        <f>VLOOKUP($E975,Sheet3!$B$3:$G$54,3,0)</f>
        <v>0</v>
      </c>
      <c r="H975" s="5">
        <f>VLOOKUP($A975,Sheet3!$I$3:$J$38,2,0)</f>
        <v>18.5</v>
      </c>
      <c r="I975" s="6">
        <f>VLOOKUP($E975,Sheet3!$B$3:$G$54,5,0)</f>
        <v>172223</v>
      </c>
      <c r="J975" s="5">
        <f>VLOOKUP($E975,Sheet3!$B$3:$G$54,4,0)</f>
        <v>2.9</v>
      </c>
      <c r="K975" s="5">
        <f>VLOOKUP($E975,Sheet3!$B$3:$G$54,6,0)</f>
        <v>1.9</v>
      </c>
      <c r="L975">
        <v>1440</v>
      </c>
      <c r="M975">
        <v>1620</v>
      </c>
      <c r="N975">
        <v>24</v>
      </c>
      <c r="O975" s="14">
        <f t="shared" si="35"/>
        <v>1.125</v>
      </c>
    </row>
    <row r="976" spans="1:15" x14ac:dyDescent="0.3">
      <c r="A976" s="15" t="s">
        <v>39</v>
      </c>
      <c r="B976" s="12" t="s">
        <v>32</v>
      </c>
      <c r="C976" s="12" t="s">
        <v>33</v>
      </c>
      <c r="D976" s="6">
        <f t="shared" si="36"/>
        <v>44</v>
      </c>
      <c r="E976">
        <v>13</v>
      </c>
      <c r="F976" s="6">
        <f>VLOOKUP($E976,Sheet3!$B$3:$D$54,2,0)</f>
        <v>3</v>
      </c>
      <c r="G976" s="6">
        <f>VLOOKUP($E976,Sheet3!$B$3:$G$54,3,0)</f>
        <v>0</v>
      </c>
      <c r="H976" s="5">
        <f>VLOOKUP($A976,Sheet3!$I$3:$J$38,2,0)</f>
        <v>18.5</v>
      </c>
      <c r="I976" s="6">
        <f>VLOOKUP($E976,Sheet3!$B$3:$G$54,5,0)</f>
        <v>172223</v>
      </c>
      <c r="J976" s="5">
        <f>VLOOKUP($E976,Sheet3!$B$3:$G$54,4,0)</f>
        <v>2.9</v>
      </c>
      <c r="K976" s="5">
        <f>VLOOKUP($E976,Sheet3!$B$3:$G$54,6,0)</f>
        <v>1.9</v>
      </c>
      <c r="L976">
        <v>1710</v>
      </c>
      <c r="M976">
        <v>1620</v>
      </c>
      <c r="N976">
        <v>21</v>
      </c>
      <c r="O976" s="14">
        <f t="shared" si="35"/>
        <v>0.94736842105263153</v>
      </c>
    </row>
    <row r="977" spans="1:15" x14ac:dyDescent="0.3">
      <c r="A977" s="15" t="s">
        <v>39</v>
      </c>
      <c r="B977" s="12" t="s">
        <v>32</v>
      </c>
      <c r="C977" s="12" t="s">
        <v>33</v>
      </c>
      <c r="D977" s="6">
        <f t="shared" si="36"/>
        <v>45</v>
      </c>
      <c r="E977">
        <v>14</v>
      </c>
      <c r="F977" s="6">
        <f>VLOOKUP($E977,Sheet3!$B$3:$D$54,2,0)</f>
        <v>3</v>
      </c>
      <c r="G977" s="6">
        <f>VLOOKUP($E977,Sheet3!$B$3:$G$54,3,0)</f>
        <v>0</v>
      </c>
      <c r="H977" s="5">
        <f>VLOOKUP($A977,Sheet3!$I$3:$J$38,2,0)</f>
        <v>18.5</v>
      </c>
      <c r="I977" s="6">
        <f>VLOOKUP($E977,Sheet3!$B$3:$G$54,5,0)</f>
        <v>172223</v>
      </c>
      <c r="J977" s="5">
        <f>VLOOKUP($E977,Sheet3!$B$3:$G$54,4,0)</f>
        <v>2.9</v>
      </c>
      <c r="K977" s="5">
        <f>VLOOKUP($E977,Sheet3!$B$3:$G$54,6,0)</f>
        <v>1.9</v>
      </c>
      <c r="L977">
        <v>1710</v>
      </c>
      <c r="M977">
        <v>1980</v>
      </c>
      <c r="N977">
        <v>21</v>
      </c>
      <c r="O977" s="14">
        <f t="shared" si="35"/>
        <v>1.1578947368421053</v>
      </c>
    </row>
    <row r="978" spans="1:15" x14ac:dyDescent="0.3">
      <c r="A978" s="15" t="s">
        <v>39</v>
      </c>
      <c r="B978" s="12" t="s">
        <v>32</v>
      </c>
      <c r="C978" s="12" t="s">
        <v>33</v>
      </c>
      <c r="D978" s="6">
        <f t="shared" si="36"/>
        <v>46</v>
      </c>
      <c r="E978">
        <v>15</v>
      </c>
      <c r="F978" s="6">
        <f>VLOOKUP($E978,Sheet3!$B$3:$D$54,2,0)</f>
        <v>4</v>
      </c>
      <c r="G978" s="6">
        <f>VLOOKUP($E978,Sheet3!$B$3:$G$54,3,0)</f>
        <v>0</v>
      </c>
      <c r="H978" s="5">
        <f>VLOOKUP($A978,Sheet3!$I$3:$J$38,2,0)</f>
        <v>18.5</v>
      </c>
      <c r="I978" s="6">
        <f>VLOOKUP($E978,Sheet3!$B$3:$G$54,5,0)</f>
        <v>139084</v>
      </c>
      <c r="J978" s="5">
        <f>VLOOKUP($E978,Sheet3!$B$3:$G$54,4,0)</f>
        <v>2.9</v>
      </c>
      <c r="K978" s="5">
        <f>VLOOKUP($E978,Sheet3!$B$3:$G$54,6,0)</f>
        <v>1.9</v>
      </c>
      <c r="L978">
        <v>1710</v>
      </c>
      <c r="M978">
        <v>2520</v>
      </c>
      <c r="N978">
        <v>21</v>
      </c>
      <c r="O978" s="14">
        <f t="shared" si="35"/>
        <v>1.4736842105263157</v>
      </c>
    </row>
    <row r="979" spans="1:15" x14ac:dyDescent="0.3">
      <c r="A979" s="15" t="s">
        <v>39</v>
      </c>
      <c r="B979" s="12" t="s">
        <v>32</v>
      </c>
      <c r="C979" s="12" t="s">
        <v>33</v>
      </c>
      <c r="D979" s="6">
        <f t="shared" si="36"/>
        <v>47</v>
      </c>
      <c r="E979">
        <v>16</v>
      </c>
      <c r="F979" s="6">
        <f>VLOOKUP($E979,Sheet3!$B$3:$D$54,2,0)</f>
        <v>4</v>
      </c>
      <c r="G979" s="6">
        <f>VLOOKUP($E979,Sheet3!$B$3:$G$54,3,0)</f>
        <v>0</v>
      </c>
      <c r="H979" s="5">
        <f>VLOOKUP($A979,Sheet3!$I$3:$J$38,2,0)</f>
        <v>18.5</v>
      </c>
      <c r="I979" s="6">
        <f>VLOOKUP($E979,Sheet3!$B$3:$G$54,5,0)</f>
        <v>139084</v>
      </c>
      <c r="J979" s="5">
        <f>VLOOKUP($E979,Sheet3!$B$3:$G$54,4,0)</f>
        <v>2.9</v>
      </c>
      <c r="K979" s="5">
        <f>VLOOKUP($E979,Sheet3!$B$3:$G$54,6,0)</f>
        <v>1.9</v>
      </c>
      <c r="L979">
        <v>1710</v>
      </c>
      <c r="M979">
        <v>1980</v>
      </c>
      <c r="N979">
        <v>21</v>
      </c>
      <c r="O979" s="14">
        <f t="shared" si="35"/>
        <v>1.1578947368421053</v>
      </c>
    </row>
    <row r="980" spans="1:15" x14ac:dyDescent="0.3">
      <c r="A980" s="15" t="s">
        <v>39</v>
      </c>
      <c r="B980" s="12" t="s">
        <v>32</v>
      </c>
      <c r="C980" s="12" t="s">
        <v>33</v>
      </c>
      <c r="D980" s="6">
        <f t="shared" si="36"/>
        <v>1</v>
      </c>
      <c r="E980">
        <v>17</v>
      </c>
      <c r="F980" s="6">
        <f>VLOOKUP($E980,Sheet3!$B$3:$D$54,2,0)</f>
        <v>4</v>
      </c>
      <c r="G980" s="6">
        <f>VLOOKUP($E980,Sheet3!$B$3:$G$54,3,0)</f>
        <v>1</v>
      </c>
      <c r="H980" s="5">
        <f>VLOOKUP($A980,Sheet3!$I$3:$J$38,2,0)</f>
        <v>18.5</v>
      </c>
      <c r="I980" s="6">
        <f>VLOOKUP($E980,Sheet3!$B$3:$G$54,5,0)</f>
        <v>139084</v>
      </c>
      <c r="J980" s="5">
        <f>VLOOKUP($E980,Sheet3!$B$3:$G$54,4,0)</f>
        <v>2.65</v>
      </c>
      <c r="K980" s="5">
        <f>VLOOKUP($E980,Sheet3!$B$3:$G$54,6,0)</f>
        <v>1.9</v>
      </c>
      <c r="L980">
        <v>1395</v>
      </c>
      <c r="M980">
        <v>2520</v>
      </c>
      <c r="N980">
        <v>16</v>
      </c>
      <c r="O980" s="14">
        <f t="shared" si="35"/>
        <v>1.8064516129032258</v>
      </c>
    </row>
    <row r="981" spans="1:15" x14ac:dyDescent="0.3">
      <c r="A981" s="15" t="s">
        <v>39</v>
      </c>
      <c r="B981" s="12" t="s">
        <v>32</v>
      </c>
      <c r="C981" s="12" t="s">
        <v>33</v>
      </c>
      <c r="D981" s="6">
        <f t="shared" si="36"/>
        <v>1</v>
      </c>
      <c r="E981">
        <v>18</v>
      </c>
      <c r="F981" s="6">
        <f>VLOOKUP($E981,Sheet3!$B$3:$D$54,2,0)</f>
        <v>4</v>
      </c>
      <c r="G981" s="6">
        <f>VLOOKUP($E981,Sheet3!$B$3:$G$54,3,0)</f>
        <v>1</v>
      </c>
      <c r="H981" s="5">
        <f>VLOOKUP($A981,Sheet3!$I$3:$J$38,2,0)</f>
        <v>18.5</v>
      </c>
      <c r="I981" s="6">
        <f>VLOOKUP($E981,Sheet3!$B$3:$G$54,5,0)</f>
        <v>139084</v>
      </c>
      <c r="J981" s="5">
        <f>VLOOKUP($E981,Sheet3!$B$3:$G$54,4,0)</f>
        <v>2.65</v>
      </c>
      <c r="K981" s="5">
        <f>VLOOKUP($E981,Sheet3!$B$3:$G$54,6,0)</f>
        <v>1.9</v>
      </c>
      <c r="L981">
        <v>1395</v>
      </c>
      <c r="M981">
        <v>1080</v>
      </c>
      <c r="N981">
        <v>17</v>
      </c>
      <c r="O981" s="14">
        <f t="shared" si="35"/>
        <v>0.77419354838709675</v>
      </c>
    </row>
    <row r="982" spans="1:15" x14ac:dyDescent="0.3">
      <c r="A982" s="15" t="s">
        <v>39</v>
      </c>
      <c r="B982" s="12" t="s">
        <v>32</v>
      </c>
      <c r="C982" s="12" t="s">
        <v>33</v>
      </c>
      <c r="D982" s="6">
        <f t="shared" si="36"/>
        <v>2</v>
      </c>
      <c r="E982">
        <v>19</v>
      </c>
      <c r="F982" s="6">
        <f>VLOOKUP($E982,Sheet3!$B$3:$D$54,2,0)</f>
        <v>5</v>
      </c>
      <c r="G982" s="6">
        <f>VLOOKUP($E982,Sheet3!$B$3:$G$54,3,0)</f>
        <v>0</v>
      </c>
      <c r="H982" s="5">
        <f>VLOOKUP($A982,Sheet3!$I$3:$J$38,2,0)</f>
        <v>18.5</v>
      </c>
      <c r="I982" s="6">
        <f>VLOOKUP($E982,Sheet3!$B$3:$G$54,5,0)</f>
        <v>139390</v>
      </c>
      <c r="J982" s="5">
        <f>VLOOKUP($E982,Sheet3!$B$3:$G$54,4,0)</f>
        <v>2.65</v>
      </c>
      <c r="K982" s="5">
        <f>VLOOKUP($E982,Sheet3!$B$3:$G$54,6,0)</f>
        <v>1.6</v>
      </c>
      <c r="L982">
        <v>1395</v>
      </c>
      <c r="M982">
        <v>1080</v>
      </c>
      <c r="N982">
        <v>17</v>
      </c>
      <c r="O982" s="14">
        <f t="shared" si="35"/>
        <v>0.77419354838709675</v>
      </c>
    </row>
    <row r="983" spans="1:15" x14ac:dyDescent="0.3">
      <c r="A983" s="15" t="s">
        <v>39</v>
      </c>
      <c r="B983" s="12" t="s">
        <v>32</v>
      </c>
      <c r="C983" s="12" t="s">
        <v>33</v>
      </c>
      <c r="D983" s="6">
        <f t="shared" si="36"/>
        <v>2</v>
      </c>
      <c r="E983">
        <v>20</v>
      </c>
      <c r="F983" s="6">
        <f>VLOOKUP($E983,Sheet3!$B$3:$D$54,2,0)</f>
        <v>5</v>
      </c>
      <c r="G983" s="6">
        <f>VLOOKUP($E983,Sheet3!$B$3:$G$54,3,0)</f>
        <v>0</v>
      </c>
      <c r="H983" s="5">
        <f>VLOOKUP($A983,Sheet3!$I$3:$J$38,2,0)</f>
        <v>18.5</v>
      </c>
      <c r="I983" s="6">
        <f>VLOOKUP($E983,Sheet3!$B$3:$G$54,5,0)</f>
        <v>139390</v>
      </c>
      <c r="J983" s="5">
        <f>VLOOKUP($E983,Sheet3!$B$3:$G$54,4,0)</f>
        <v>2.65</v>
      </c>
      <c r="K983" s="5">
        <f>VLOOKUP($E983,Sheet3!$B$3:$G$54,6,0)</f>
        <v>1.6</v>
      </c>
      <c r="L983">
        <v>1395</v>
      </c>
      <c r="M983">
        <v>1980</v>
      </c>
      <c r="N983">
        <v>18</v>
      </c>
      <c r="O983" s="14">
        <f t="shared" si="35"/>
        <v>1.4193548387096775</v>
      </c>
    </row>
    <row r="984" spans="1:15" x14ac:dyDescent="0.3">
      <c r="A984" s="15" t="s">
        <v>39</v>
      </c>
      <c r="B984" s="12" t="s">
        <v>32</v>
      </c>
      <c r="C984" s="12" t="s">
        <v>33</v>
      </c>
      <c r="D984" s="6">
        <f t="shared" si="36"/>
        <v>2</v>
      </c>
      <c r="E984">
        <v>21</v>
      </c>
      <c r="F984" s="6">
        <f>VLOOKUP($E984,Sheet3!$B$3:$D$54,2,0)</f>
        <v>5</v>
      </c>
      <c r="G984" s="6">
        <f>VLOOKUP($E984,Sheet3!$B$3:$G$54,3,0)</f>
        <v>0</v>
      </c>
      <c r="H984" s="5">
        <f>VLOOKUP($A984,Sheet3!$I$3:$J$38,2,0)</f>
        <v>18.5</v>
      </c>
      <c r="I984" s="6">
        <f>VLOOKUP($E984,Sheet3!$B$3:$G$54,5,0)</f>
        <v>139390</v>
      </c>
      <c r="J984" s="5">
        <f>VLOOKUP($E984,Sheet3!$B$3:$G$54,4,0)</f>
        <v>2.65</v>
      </c>
      <c r="K984" s="5">
        <f>VLOOKUP($E984,Sheet3!$B$3:$G$54,6,0)</f>
        <v>1.6</v>
      </c>
      <c r="L984">
        <v>1395</v>
      </c>
      <c r="M984">
        <v>1800</v>
      </c>
      <c r="N984">
        <v>19</v>
      </c>
      <c r="O984" s="14">
        <f t="shared" si="35"/>
        <v>1.2903225806451613</v>
      </c>
    </row>
    <row r="985" spans="1:15" x14ac:dyDescent="0.3">
      <c r="A985" s="15" t="s">
        <v>39</v>
      </c>
      <c r="B985" s="12" t="s">
        <v>32</v>
      </c>
      <c r="C985" s="12" t="s">
        <v>33</v>
      </c>
      <c r="D985" s="6">
        <f t="shared" si="36"/>
        <v>6</v>
      </c>
      <c r="E985">
        <v>22</v>
      </c>
      <c r="F985" s="6">
        <f>VLOOKUP($E985,Sheet3!$B$3:$D$54,2,0)</f>
        <v>5</v>
      </c>
      <c r="G985" s="6">
        <f>VLOOKUP($E985,Sheet3!$B$3:$G$54,3,0)</f>
        <v>0</v>
      </c>
      <c r="H985" s="5">
        <f>VLOOKUP($A985,Sheet3!$I$3:$J$38,2,0)</f>
        <v>18.5</v>
      </c>
      <c r="I985" s="6">
        <f>VLOOKUP($E985,Sheet3!$B$3:$G$54,5,0)</f>
        <v>139390</v>
      </c>
      <c r="J985" s="5">
        <f>VLOOKUP($E985,Sheet3!$B$3:$G$54,4,0)</f>
        <v>2.65</v>
      </c>
      <c r="K985" s="5">
        <f>VLOOKUP($E985,Sheet3!$B$3:$G$54,6,0)</f>
        <v>1.6</v>
      </c>
      <c r="L985">
        <v>1728</v>
      </c>
      <c r="M985">
        <v>1980</v>
      </c>
      <c r="N985">
        <v>16</v>
      </c>
      <c r="O985" s="14">
        <f t="shared" si="35"/>
        <v>1.1458333333333333</v>
      </c>
    </row>
    <row r="986" spans="1:15" x14ac:dyDescent="0.3">
      <c r="A986" s="15" t="s">
        <v>39</v>
      </c>
      <c r="B986" s="12" t="s">
        <v>32</v>
      </c>
      <c r="C986" s="12" t="s">
        <v>33</v>
      </c>
      <c r="D986" s="6">
        <f t="shared" si="36"/>
        <v>6</v>
      </c>
      <c r="E986">
        <v>23</v>
      </c>
      <c r="F986" s="6">
        <f>VLOOKUP($E986,Sheet3!$B$3:$D$54,2,0)</f>
        <v>5</v>
      </c>
      <c r="G986" s="6">
        <f>VLOOKUP($E986,Sheet3!$B$3:$G$54,3,0)</f>
        <v>1</v>
      </c>
      <c r="H986" s="5">
        <f>VLOOKUP($A986,Sheet3!$I$3:$J$38,2,0)</f>
        <v>18.5</v>
      </c>
      <c r="I986" s="6">
        <f>VLOOKUP($E986,Sheet3!$B$3:$G$54,5,0)</f>
        <v>139390</v>
      </c>
      <c r="J986" s="5">
        <f>VLOOKUP($E986,Sheet3!$B$3:$G$54,4,0)</f>
        <v>2.4</v>
      </c>
      <c r="K986" s="5">
        <f>VLOOKUP($E986,Sheet3!$B$3:$G$54,6,0)</f>
        <v>1.6</v>
      </c>
      <c r="L986">
        <v>1728</v>
      </c>
      <c r="M986">
        <v>1980</v>
      </c>
      <c r="N986">
        <v>17</v>
      </c>
      <c r="O986" s="14">
        <f t="shared" si="35"/>
        <v>1.1458333333333333</v>
      </c>
    </row>
    <row r="987" spans="1:15" x14ac:dyDescent="0.3">
      <c r="A987" s="15" t="s">
        <v>39</v>
      </c>
      <c r="B987" s="12" t="s">
        <v>32</v>
      </c>
      <c r="C987" s="12" t="s">
        <v>33</v>
      </c>
      <c r="D987" s="6">
        <f t="shared" si="36"/>
        <v>6</v>
      </c>
      <c r="E987">
        <v>24</v>
      </c>
      <c r="F987" s="6">
        <f>VLOOKUP($E987,Sheet3!$B$3:$D$54,2,0)</f>
        <v>6</v>
      </c>
      <c r="G987" s="6">
        <f>VLOOKUP($E987,Sheet3!$B$3:$G$54,3,0)</f>
        <v>0</v>
      </c>
      <c r="H987" s="5">
        <f>VLOOKUP($A987,Sheet3!$I$3:$J$38,2,0)</f>
        <v>18.5</v>
      </c>
      <c r="I987" s="6">
        <f>VLOOKUP($E987,Sheet3!$B$3:$G$54,5,0)</f>
        <v>132191</v>
      </c>
      <c r="J987" s="5">
        <f>VLOOKUP($E987,Sheet3!$B$3:$G$54,4,0)</f>
        <v>2.4</v>
      </c>
      <c r="K987" s="5">
        <f>VLOOKUP($E987,Sheet3!$B$3:$G$54,6,0)</f>
        <v>1.7</v>
      </c>
      <c r="L987">
        <v>1728</v>
      </c>
      <c r="M987">
        <v>2520</v>
      </c>
      <c r="N987">
        <v>18</v>
      </c>
      <c r="O987" s="14">
        <f t="shared" si="35"/>
        <v>1.4583333333333333</v>
      </c>
    </row>
    <row r="988" spans="1:15" x14ac:dyDescent="0.3">
      <c r="A988" s="15" t="s">
        <v>39</v>
      </c>
      <c r="B988" s="12" t="s">
        <v>32</v>
      </c>
      <c r="C988" s="12" t="s">
        <v>33</v>
      </c>
      <c r="D988" s="6">
        <f t="shared" si="36"/>
        <v>6</v>
      </c>
      <c r="E988">
        <v>25</v>
      </c>
      <c r="F988" s="6">
        <f>VLOOKUP($E988,Sheet3!$B$3:$D$54,2,0)</f>
        <v>6</v>
      </c>
      <c r="G988" s="6">
        <f>VLOOKUP($E988,Sheet3!$B$3:$G$54,3,0)</f>
        <v>0</v>
      </c>
      <c r="H988" s="5">
        <f>VLOOKUP($A988,Sheet3!$I$3:$J$38,2,0)</f>
        <v>18.5</v>
      </c>
      <c r="I988" s="6">
        <f>VLOOKUP($E988,Sheet3!$B$3:$G$54,5,0)</f>
        <v>132191</v>
      </c>
      <c r="J988" s="5">
        <f>VLOOKUP($E988,Sheet3!$B$3:$G$54,4,0)</f>
        <v>2.4</v>
      </c>
      <c r="K988" s="5">
        <f>VLOOKUP($E988,Sheet3!$B$3:$G$54,6,0)</f>
        <v>1.7</v>
      </c>
      <c r="L988">
        <v>1728</v>
      </c>
      <c r="M988">
        <v>1260</v>
      </c>
      <c r="N988">
        <v>19</v>
      </c>
      <c r="O988" s="14">
        <f t="shared" si="35"/>
        <v>0.72916666666666663</v>
      </c>
    </row>
    <row r="989" spans="1:15" x14ac:dyDescent="0.3">
      <c r="A989" s="15" t="s">
        <v>39</v>
      </c>
      <c r="B989" s="12" t="s">
        <v>32</v>
      </c>
      <c r="C989" s="12" t="s">
        <v>33</v>
      </c>
      <c r="D989" s="6">
        <f t="shared" si="36"/>
        <v>7</v>
      </c>
      <c r="E989">
        <v>26</v>
      </c>
      <c r="F989" s="6">
        <f>VLOOKUP($E989,Sheet3!$B$3:$D$54,2,0)</f>
        <v>6</v>
      </c>
      <c r="G989" s="6">
        <f>VLOOKUP($E989,Sheet3!$B$3:$G$54,3,0)</f>
        <v>0</v>
      </c>
      <c r="H989" s="5">
        <f>VLOOKUP($A989,Sheet3!$I$3:$J$38,2,0)</f>
        <v>18.5</v>
      </c>
      <c r="I989" s="6">
        <f>VLOOKUP($E989,Sheet3!$B$3:$G$54,5,0)</f>
        <v>132191</v>
      </c>
      <c r="J989" s="5">
        <f>VLOOKUP($E989,Sheet3!$B$3:$G$54,4,0)</f>
        <v>2.4</v>
      </c>
      <c r="K989" s="5">
        <f>VLOOKUP($E989,Sheet3!$B$3:$G$54,6,0)</f>
        <v>1.7</v>
      </c>
      <c r="L989">
        <v>1728</v>
      </c>
      <c r="M989">
        <v>1260</v>
      </c>
      <c r="N989">
        <v>19</v>
      </c>
      <c r="O989" s="14">
        <f t="shared" si="35"/>
        <v>0.72916666666666663</v>
      </c>
    </row>
    <row r="990" spans="1:15" x14ac:dyDescent="0.3">
      <c r="A990" s="17" t="s">
        <v>36</v>
      </c>
      <c r="B990" s="12" t="s">
        <v>30</v>
      </c>
      <c r="C990" s="12" t="s">
        <v>33</v>
      </c>
      <c r="D990" s="6">
        <f t="shared" si="36"/>
        <v>12</v>
      </c>
      <c r="E990">
        <v>27</v>
      </c>
      <c r="F990" s="6">
        <f>VLOOKUP($E990,Sheet3!$B$3:$D$54,2,0)</f>
        <v>7</v>
      </c>
      <c r="G990" s="6">
        <f>VLOOKUP($E990,Sheet3!$B$3:$G$54,3,0)</f>
        <v>0</v>
      </c>
      <c r="H990" s="5">
        <f>VLOOKUP($A990,Sheet3!$I$3:$J$38,2,0)</f>
        <v>12.72</v>
      </c>
      <c r="I990" s="6">
        <f>VLOOKUP($E990,Sheet3!$B$3:$G$54,5,0)</f>
        <v>124806</v>
      </c>
      <c r="J990" s="5">
        <f>VLOOKUP($E990,Sheet3!$B$3:$G$54,4,0)</f>
        <v>4.5</v>
      </c>
      <c r="K990" s="5">
        <f>VLOOKUP($E990,Sheet3!$B$3:$G$54,6,0)</f>
        <v>1.3</v>
      </c>
      <c r="L990">
        <v>208</v>
      </c>
      <c r="M990">
        <v>0</v>
      </c>
      <c r="N990">
        <v>15</v>
      </c>
      <c r="O990" s="14">
        <f t="shared" si="35"/>
        <v>0</v>
      </c>
    </row>
    <row r="991" spans="1:15" x14ac:dyDescent="0.3">
      <c r="A991" s="17" t="s">
        <v>36</v>
      </c>
      <c r="B991" s="12" t="s">
        <v>30</v>
      </c>
      <c r="C991" s="12" t="s">
        <v>33</v>
      </c>
      <c r="D991" s="6">
        <f t="shared" si="36"/>
        <v>12</v>
      </c>
      <c r="E991">
        <v>28</v>
      </c>
      <c r="F991" s="6">
        <f>VLOOKUP($E991,Sheet3!$B$3:$D$54,2,0)</f>
        <v>7</v>
      </c>
      <c r="G991" s="6">
        <f>VLOOKUP($E991,Sheet3!$B$3:$G$54,3,0)</f>
        <v>0</v>
      </c>
      <c r="H991" s="5">
        <f>VLOOKUP($A991,Sheet3!$I$3:$J$38,2,0)</f>
        <v>12.72</v>
      </c>
      <c r="I991" s="6">
        <f>VLOOKUP($E991,Sheet3!$B$3:$G$54,5,0)</f>
        <v>124806</v>
      </c>
      <c r="J991" s="5">
        <f>VLOOKUP($E991,Sheet3!$B$3:$G$54,4,0)</f>
        <v>4.5</v>
      </c>
      <c r="K991" s="5">
        <f>VLOOKUP($E991,Sheet3!$B$3:$G$54,6,0)</f>
        <v>1.3</v>
      </c>
      <c r="L991">
        <v>208</v>
      </c>
      <c r="M991">
        <v>720</v>
      </c>
      <c r="N991">
        <v>16</v>
      </c>
      <c r="O991" s="14">
        <f t="shared" si="35"/>
        <v>3.4615384615384617</v>
      </c>
    </row>
    <row r="992" spans="1:15" x14ac:dyDescent="0.3">
      <c r="A992" s="17" t="s">
        <v>36</v>
      </c>
      <c r="B992" s="12" t="s">
        <v>30</v>
      </c>
      <c r="C992" s="12" t="s">
        <v>33</v>
      </c>
      <c r="D992" s="6">
        <f t="shared" si="36"/>
        <v>13</v>
      </c>
      <c r="E992">
        <v>29</v>
      </c>
      <c r="F992" s="6">
        <f>VLOOKUP($E992,Sheet3!$B$3:$D$54,2,0)</f>
        <v>7</v>
      </c>
      <c r="G992" s="6">
        <f>VLOOKUP($E992,Sheet3!$B$3:$G$54,3,0)</f>
        <v>0</v>
      </c>
      <c r="H992" s="5">
        <f>VLOOKUP($A992,Sheet3!$I$3:$J$38,2,0)</f>
        <v>12.72</v>
      </c>
      <c r="I992" s="6">
        <f>VLOOKUP($E992,Sheet3!$B$3:$G$54,5,0)</f>
        <v>124806</v>
      </c>
      <c r="J992" s="5">
        <f>VLOOKUP($E992,Sheet3!$B$3:$G$54,4,0)</f>
        <v>4.5</v>
      </c>
      <c r="K992" s="5">
        <f>VLOOKUP($E992,Sheet3!$B$3:$G$54,6,0)</f>
        <v>1.3</v>
      </c>
      <c r="L992">
        <v>208</v>
      </c>
      <c r="M992">
        <v>0</v>
      </c>
      <c r="N992">
        <v>16</v>
      </c>
      <c r="O992" s="14">
        <f t="shared" si="35"/>
        <v>0</v>
      </c>
    </row>
    <row r="993" spans="1:15" x14ac:dyDescent="0.3">
      <c r="A993" s="17" t="s">
        <v>36</v>
      </c>
      <c r="B993" s="12" t="s">
        <v>30</v>
      </c>
      <c r="C993" s="12" t="s">
        <v>33</v>
      </c>
      <c r="D993" s="6">
        <f t="shared" si="36"/>
        <v>14</v>
      </c>
      <c r="E993">
        <v>30</v>
      </c>
      <c r="F993" s="6">
        <f>VLOOKUP($E993,Sheet3!$B$3:$D$54,2,0)</f>
        <v>7</v>
      </c>
      <c r="G993" s="6">
        <f>VLOOKUP($E993,Sheet3!$B$3:$G$54,3,0)</f>
        <v>0</v>
      </c>
      <c r="H993" s="5">
        <f>VLOOKUP($A993,Sheet3!$I$3:$J$38,2,0)</f>
        <v>12.72</v>
      </c>
      <c r="I993" s="6">
        <f>VLOOKUP($E993,Sheet3!$B$3:$G$54,5,0)</f>
        <v>124806</v>
      </c>
      <c r="J993" s="5">
        <f>VLOOKUP($E993,Sheet3!$B$3:$G$54,4,0)</f>
        <v>4.5</v>
      </c>
      <c r="K993" s="5">
        <f>VLOOKUP($E993,Sheet3!$B$3:$G$54,6,0)</f>
        <v>1.3</v>
      </c>
      <c r="L993">
        <v>208</v>
      </c>
      <c r="M993">
        <v>0</v>
      </c>
      <c r="N993">
        <v>16</v>
      </c>
      <c r="O993" s="14">
        <f t="shared" si="35"/>
        <v>0</v>
      </c>
    </row>
    <row r="994" spans="1:15" x14ac:dyDescent="0.3">
      <c r="A994" s="17" t="s">
        <v>36</v>
      </c>
      <c r="B994" s="12" t="s">
        <v>30</v>
      </c>
      <c r="C994" s="12" t="s">
        <v>33</v>
      </c>
      <c r="D994" s="6">
        <f t="shared" si="36"/>
        <v>23</v>
      </c>
      <c r="E994">
        <v>31</v>
      </c>
      <c r="F994" s="6">
        <f>VLOOKUP($E994,Sheet3!$B$3:$D$54,2,0)</f>
        <v>7</v>
      </c>
      <c r="G994" s="6">
        <f>VLOOKUP($E994,Sheet3!$B$3:$G$54,3,0)</f>
        <v>0</v>
      </c>
      <c r="H994" s="5">
        <f>VLOOKUP($A994,Sheet3!$I$3:$J$38,2,0)</f>
        <v>12.72</v>
      </c>
      <c r="I994" s="6">
        <f>VLOOKUP($E994,Sheet3!$B$3:$G$54,5,0)</f>
        <v>124806</v>
      </c>
      <c r="J994" s="5">
        <f>VLOOKUP($E994,Sheet3!$B$3:$G$54,4,0)</f>
        <v>4.5</v>
      </c>
      <c r="K994" s="5">
        <f>VLOOKUP($E994,Sheet3!$B$3:$G$54,6,0)</f>
        <v>1.3</v>
      </c>
      <c r="L994">
        <v>645</v>
      </c>
      <c r="M994">
        <v>348</v>
      </c>
      <c r="N994">
        <v>8</v>
      </c>
      <c r="O994" s="14">
        <f t="shared" si="35"/>
        <v>0.53953488372093028</v>
      </c>
    </row>
    <row r="995" spans="1:15" x14ac:dyDescent="0.3">
      <c r="A995" s="17" t="s">
        <v>36</v>
      </c>
      <c r="B995" s="12" t="s">
        <v>30</v>
      </c>
      <c r="C995" s="12" t="s">
        <v>33</v>
      </c>
      <c r="D995" s="6">
        <f t="shared" si="36"/>
        <v>24</v>
      </c>
      <c r="E995">
        <v>32</v>
      </c>
      <c r="F995" s="6">
        <f>VLOOKUP($E995,Sheet3!$B$3:$D$54,2,0)</f>
        <v>8</v>
      </c>
      <c r="G995" s="6">
        <f>VLOOKUP($E995,Sheet3!$B$3:$G$54,3,0)</f>
        <v>1</v>
      </c>
      <c r="H995" s="5">
        <f>VLOOKUP($A995,Sheet3!$I$3:$J$38,2,0)</f>
        <v>12.72</v>
      </c>
      <c r="I995" s="6">
        <f>VLOOKUP($E995,Sheet3!$B$3:$G$54,5,0)</f>
        <v>69121</v>
      </c>
      <c r="J995" s="5">
        <f>VLOOKUP($E995,Sheet3!$B$3:$G$54,4,0)</f>
        <v>4.5</v>
      </c>
      <c r="K995" s="5">
        <f>VLOOKUP($E995,Sheet3!$B$3:$G$54,6,0)</f>
        <v>1.1000000000000001</v>
      </c>
      <c r="L995">
        <v>645</v>
      </c>
      <c r="M995">
        <v>346</v>
      </c>
      <c r="N995">
        <v>8</v>
      </c>
      <c r="O995" s="14">
        <f t="shared" si="35"/>
        <v>0.5364341085271318</v>
      </c>
    </row>
    <row r="996" spans="1:15" x14ac:dyDescent="0.3">
      <c r="A996" s="17" t="s">
        <v>36</v>
      </c>
      <c r="B996" s="12" t="s">
        <v>30</v>
      </c>
      <c r="C996" s="12" t="s">
        <v>33</v>
      </c>
      <c r="D996" s="6">
        <f t="shared" si="36"/>
        <v>19</v>
      </c>
      <c r="E996">
        <v>33</v>
      </c>
      <c r="F996" s="6">
        <f>VLOOKUP($E996,Sheet3!$B$3:$D$54,2,0)</f>
        <v>8</v>
      </c>
      <c r="G996" s="6">
        <f>VLOOKUP($E996,Sheet3!$B$3:$G$54,3,0)</f>
        <v>1</v>
      </c>
      <c r="H996" s="5">
        <f>VLOOKUP($A996,Sheet3!$I$3:$J$38,2,0)</f>
        <v>12.72</v>
      </c>
      <c r="I996" s="6">
        <f>VLOOKUP($E996,Sheet3!$B$3:$G$54,5,0)</f>
        <v>69121</v>
      </c>
      <c r="J996" s="5">
        <f>VLOOKUP($E996,Sheet3!$B$3:$G$54,4,0)</f>
        <v>4.5</v>
      </c>
      <c r="K996" s="5">
        <f>VLOOKUP($E996,Sheet3!$B$3:$G$54,6,0)</f>
        <v>1.1000000000000001</v>
      </c>
      <c r="L996">
        <v>645</v>
      </c>
      <c r="M996">
        <v>2000</v>
      </c>
      <c r="N996">
        <v>14</v>
      </c>
      <c r="O996" s="14">
        <f t="shared" si="35"/>
        <v>3.1007751937984498</v>
      </c>
    </row>
    <row r="997" spans="1:15" x14ac:dyDescent="0.3">
      <c r="A997" s="17" t="s">
        <v>36</v>
      </c>
      <c r="B997" s="12" t="s">
        <v>30</v>
      </c>
      <c r="C997" s="12" t="s">
        <v>33</v>
      </c>
      <c r="D997" s="6">
        <f t="shared" si="36"/>
        <v>20</v>
      </c>
      <c r="E997">
        <v>34</v>
      </c>
      <c r="F997" s="6">
        <f>VLOOKUP($E997,Sheet3!$B$3:$D$54,2,0)</f>
        <v>8</v>
      </c>
      <c r="G997" s="6">
        <f>VLOOKUP($E997,Sheet3!$B$3:$G$54,3,0)</f>
        <v>0</v>
      </c>
      <c r="H997" s="5">
        <f>VLOOKUP($A997,Sheet3!$I$3:$J$38,2,0)</f>
        <v>12.72</v>
      </c>
      <c r="I997" s="6">
        <f>VLOOKUP($E997,Sheet3!$B$3:$G$54,5,0)</f>
        <v>69121</v>
      </c>
      <c r="J997" s="5">
        <f>VLOOKUP($E997,Sheet3!$B$3:$G$54,4,0)</f>
        <v>4.5</v>
      </c>
      <c r="K997" s="5">
        <f>VLOOKUP($E997,Sheet3!$B$3:$G$54,6,0)</f>
        <v>1.1000000000000001</v>
      </c>
      <c r="L997">
        <v>645</v>
      </c>
      <c r="M997">
        <v>320</v>
      </c>
      <c r="N997">
        <v>14</v>
      </c>
      <c r="O997" s="14">
        <f t="shared" si="35"/>
        <v>0.49612403100775193</v>
      </c>
    </row>
    <row r="998" spans="1:15" x14ac:dyDescent="0.3">
      <c r="A998" s="17" t="s">
        <v>36</v>
      </c>
      <c r="B998" s="12" t="s">
        <v>30</v>
      </c>
      <c r="C998" s="12" t="s">
        <v>33</v>
      </c>
      <c r="D998" s="6">
        <f t="shared" si="36"/>
        <v>22</v>
      </c>
      <c r="E998">
        <v>35</v>
      </c>
      <c r="F998" s="6">
        <f>VLOOKUP($E998,Sheet3!$B$3:$D$54,2,0)</f>
        <v>8</v>
      </c>
      <c r="G998" s="6">
        <f>VLOOKUP($E998,Sheet3!$B$3:$G$54,3,0)</f>
        <v>0</v>
      </c>
      <c r="H998" s="5">
        <f>VLOOKUP($A998,Sheet3!$I$3:$J$38,2,0)</f>
        <v>12.72</v>
      </c>
      <c r="I998" s="6">
        <f>VLOOKUP($E998,Sheet3!$B$3:$G$54,5,0)</f>
        <v>69121</v>
      </c>
      <c r="J998" s="5">
        <f>VLOOKUP($E998,Sheet3!$B$3:$G$54,4,0)</f>
        <v>4.5</v>
      </c>
      <c r="K998" s="5">
        <f>VLOOKUP($E998,Sheet3!$B$3:$G$54,6,0)</f>
        <v>1.1000000000000001</v>
      </c>
      <c r="L998">
        <v>1993</v>
      </c>
      <c r="M998">
        <v>1200</v>
      </c>
      <c r="N998">
        <v>13</v>
      </c>
      <c r="O998" s="14">
        <f t="shared" si="35"/>
        <v>0.60210737581535378</v>
      </c>
    </row>
    <row r="999" spans="1:15" x14ac:dyDescent="0.3">
      <c r="A999" s="17" t="s">
        <v>36</v>
      </c>
      <c r="B999" s="12" t="s">
        <v>30</v>
      </c>
      <c r="C999" s="12" t="s">
        <v>33</v>
      </c>
      <c r="D999" s="6">
        <f t="shared" si="36"/>
        <v>22</v>
      </c>
      <c r="E999">
        <v>36</v>
      </c>
      <c r="F999" s="6">
        <f>VLOOKUP($E999,Sheet3!$B$3:$D$54,2,0)</f>
        <v>9</v>
      </c>
      <c r="G999" s="6">
        <f>VLOOKUP($E999,Sheet3!$B$3:$G$54,3,0)</f>
        <v>0</v>
      </c>
      <c r="H999" s="5">
        <f>VLOOKUP($A999,Sheet3!$I$3:$J$38,2,0)</f>
        <v>12.72</v>
      </c>
      <c r="I999" s="6">
        <f>VLOOKUP($E999,Sheet3!$B$3:$G$54,5,0)</f>
        <v>121666</v>
      </c>
      <c r="J999" s="5">
        <f>VLOOKUP($E999,Sheet3!$B$3:$G$54,4,0)</f>
        <v>4.5</v>
      </c>
      <c r="K999" s="5">
        <f>VLOOKUP($E999,Sheet3!$B$3:$G$54,6,0)</f>
        <v>0.7</v>
      </c>
      <c r="L999">
        <v>1991</v>
      </c>
      <c r="M999">
        <v>1840</v>
      </c>
      <c r="N999">
        <v>14</v>
      </c>
      <c r="O999" s="14">
        <f t="shared" si="35"/>
        <v>0.92415871421396278</v>
      </c>
    </row>
    <row r="1000" spans="1:15" x14ac:dyDescent="0.3">
      <c r="A1000" s="17" t="s">
        <v>36</v>
      </c>
      <c r="B1000" s="12" t="s">
        <v>30</v>
      </c>
      <c r="C1000" s="12" t="s">
        <v>33</v>
      </c>
      <c r="D1000" s="6">
        <f t="shared" si="36"/>
        <v>22</v>
      </c>
      <c r="E1000">
        <v>37</v>
      </c>
      <c r="F1000" s="6">
        <f>VLOOKUP($E1000,Sheet3!$B$3:$D$54,2,0)</f>
        <v>9</v>
      </c>
      <c r="G1000" s="6">
        <f>VLOOKUP($E1000,Sheet3!$B$3:$G$54,3,0)</f>
        <v>0</v>
      </c>
      <c r="H1000" s="5">
        <f>VLOOKUP($A1000,Sheet3!$I$3:$J$38,2,0)</f>
        <v>12.72</v>
      </c>
      <c r="I1000" s="6">
        <f>VLOOKUP($E1000,Sheet3!$B$3:$G$54,5,0)</f>
        <v>121666</v>
      </c>
      <c r="J1000" s="5">
        <f>VLOOKUP($E1000,Sheet3!$B$3:$G$54,4,0)</f>
        <v>4.5</v>
      </c>
      <c r="K1000" s="5">
        <f>VLOOKUP($E1000,Sheet3!$B$3:$G$54,6,0)</f>
        <v>0.7</v>
      </c>
      <c r="L1000">
        <v>1991</v>
      </c>
      <c r="M1000">
        <v>0</v>
      </c>
      <c r="N1000">
        <v>15</v>
      </c>
      <c r="O1000" s="14">
        <f t="shared" si="35"/>
        <v>0</v>
      </c>
    </row>
    <row r="1001" spans="1:15" x14ac:dyDescent="0.3">
      <c r="A1001" s="17" t="s">
        <v>36</v>
      </c>
      <c r="B1001" s="12" t="s">
        <v>30</v>
      </c>
      <c r="C1001" s="12" t="s">
        <v>33</v>
      </c>
      <c r="D1001" s="6">
        <f t="shared" si="36"/>
        <v>22</v>
      </c>
      <c r="E1001">
        <v>38</v>
      </c>
      <c r="F1001" s="6">
        <f>VLOOKUP($E1001,Sheet3!$B$3:$D$54,2,0)</f>
        <v>9</v>
      </c>
      <c r="G1001" s="6">
        <f>VLOOKUP($E1001,Sheet3!$B$3:$G$54,3,0)</f>
        <v>0</v>
      </c>
      <c r="H1001" s="5">
        <f>VLOOKUP($A1001,Sheet3!$I$3:$J$38,2,0)</f>
        <v>12.72</v>
      </c>
      <c r="I1001" s="6">
        <f>VLOOKUP($E1001,Sheet3!$B$3:$G$54,5,0)</f>
        <v>121666</v>
      </c>
      <c r="J1001" s="5">
        <f>VLOOKUP($E1001,Sheet3!$B$3:$G$54,4,0)</f>
        <v>3.9</v>
      </c>
      <c r="K1001" s="5">
        <f>VLOOKUP($E1001,Sheet3!$B$3:$G$54,6,0)</f>
        <v>0.7</v>
      </c>
      <c r="L1001">
        <v>1991</v>
      </c>
      <c r="M1001">
        <v>800</v>
      </c>
      <c r="N1001">
        <v>16</v>
      </c>
      <c r="O1001" s="14">
        <f t="shared" si="35"/>
        <v>0.40180813661476644</v>
      </c>
    </row>
    <row r="1002" spans="1:15" x14ac:dyDescent="0.3">
      <c r="A1002" s="17" t="s">
        <v>36</v>
      </c>
      <c r="B1002" s="12" t="s">
        <v>30</v>
      </c>
      <c r="C1002" s="12" t="s">
        <v>33</v>
      </c>
      <c r="D1002" s="6">
        <f t="shared" si="36"/>
        <v>22</v>
      </c>
      <c r="E1002">
        <v>39</v>
      </c>
      <c r="F1002" s="6">
        <f>VLOOKUP($E1002,Sheet3!$B$3:$D$54,2,0)</f>
        <v>9</v>
      </c>
      <c r="G1002" s="6">
        <f>VLOOKUP($E1002,Sheet3!$B$3:$G$54,3,0)</f>
        <v>0</v>
      </c>
      <c r="H1002" s="5">
        <f>VLOOKUP($A1002,Sheet3!$I$3:$J$38,2,0)</f>
        <v>12.72</v>
      </c>
      <c r="I1002" s="6">
        <f>VLOOKUP($E1002,Sheet3!$B$3:$G$54,5,0)</f>
        <v>121666</v>
      </c>
      <c r="J1002" s="5">
        <f>VLOOKUP($E1002,Sheet3!$B$3:$G$54,4,0)</f>
        <v>3.9</v>
      </c>
      <c r="K1002" s="5">
        <f>VLOOKUP($E1002,Sheet3!$B$3:$G$54,6,0)</f>
        <v>0.7</v>
      </c>
      <c r="L1002">
        <v>1991</v>
      </c>
      <c r="M1002">
        <v>0</v>
      </c>
      <c r="N1002">
        <v>17</v>
      </c>
      <c r="O1002" s="14">
        <f t="shared" si="35"/>
        <v>0</v>
      </c>
    </row>
    <row r="1003" spans="1:15" x14ac:dyDescent="0.3">
      <c r="A1003" s="17" t="s">
        <v>36</v>
      </c>
      <c r="B1003" s="12" t="s">
        <v>30</v>
      </c>
      <c r="C1003" s="12" t="s">
        <v>33</v>
      </c>
      <c r="D1003" s="6">
        <f t="shared" si="36"/>
        <v>22</v>
      </c>
      <c r="E1003">
        <v>40</v>
      </c>
      <c r="F1003" s="6">
        <f>VLOOKUP($E1003,Sheet3!$B$3:$D$54,2,0)</f>
        <v>9</v>
      </c>
      <c r="G1003" s="6">
        <f>VLOOKUP($E1003,Sheet3!$B$3:$G$54,3,0)</f>
        <v>0</v>
      </c>
      <c r="H1003" s="5">
        <f>VLOOKUP($A1003,Sheet3!$I$3:$J$38,2,0)</f>
        <v>12.72</v>
      </c>
      <c r="I1003" s="6">
        <f>VLOOKUP($E1003,Sheet3!$B$3:$G$54,5,0)</f>
        <v>121666</v>
      </c>
      <c r="J1003" s="5">
        <f>VLOOKUP($E1003,Sheet3!$B$3:$G$54,4,0)</f>
        <v>3.9</v>
      </c>
      <c r="K1003" s="5">
        <f>VLOOKUP($E1003,Sheet3!$B$3:$G$54,6,0)</f>
        <v>0.7</v>
      </c>
      <c r="L1003">
        <v>560</v>
      </c>
      <c r="M1003">
        <v>1360</v>
      </c>
      <c r="N1003">
        <v>18</v>
      </c>
      <c r="O1003" s="14">
        <f t="shared" si="35"/>
        <v>2.4285714285714284</v>
      </c>
    </row>
    <row r="1004" spans="1:15" x14ac:dyDescent="0.3">
      <c r="A1004" s="17" t="s">
        <v>36</v>
      </c>
      <c r="B1004" s="12" t="s">
        <v>30</v>
      </c>
      <c r="C1004" s="12" t="s">
        <v>33</v>
      </c>
      <c r="D1004" s="6">
        <f t="shared" si="36"/>
        <v>22</v>
      </c>
      <c r="E1004">
        <v>41</v>
      </c>
      <c r="F1004" s="6">
        <f>VLOOKUP($E1004,Sheet3!$B$3:$D$54,2,0)</f>
        <v>10</v>
      </c>
      <c r="G1004" s="6">
        <f>VLOOKUP($E1004,Sheet3!$B$3:$G$54,3,0)</f>
        <v>0</v>
      </c>
      <c r="H1004" s="5">
        <f>VLOOKUP($A1004,Sheet3!$I$3:$J$38,2,0)</f>
        <v>12.72</v>
      </c>
      <c r="I1004" s="6">
        <f>VLOOKUP($E1004,Sheet3!$B$3:$G$54,5,0)</f>
        <v>126488</v>
      </c>
      <c r="J1004" s="5">
        <f>VLOOKUP($E1004,Sheet3!$B$3:$G$54,4,0)</f>
        <v>3.9</v>
      </c>
      <c r="K1004" s="5">
        <f>VLOOKUP($E1004,Sheet3!$B$3:$G$54,6,0)</f>
        <v>0.9</v>
      </c>
      <c r="L1004">
        <v>560</v>
      </c>
      <c r="M1004">
        <v>960</v>
      </c>
      <c r="N1004">
        <v>19</v>
      </c>
      <c r="O1004" s="14">
        <f t="shared" si="35"/>
        <v>1.7142857142857142</v>
      </c>
    </row>
    <row r="1005" spans="1:15" x14ac:dyDescent="0.3">
      <c r="A1005" s="17" t="s">
        <v>36</v>
      </c>
      <c r="B1005" s="12" t="s">
        <v>30</v>
      </c>
      <c r="C1005" s="12" t="s">
        <v>33</v>
      </c>
      <c r="D1005" s="6">
        <f t="shared" si="36"/>
        <v>22</v>
      </c>
      <c r="E1005">
        <v>42</v>
      </c>
      <c r="F1005" s="6">
        <f>VLOOKUP($E1005,Sheet3!$B$3:$D$54,2,0)</f>
        <v>10</v>
      </c>
      <c r="G1005" s="6">
        <f>VLOOKUP($E1005,Sheet3!$B$3:$G$54,3,0)</f>
        <v>0</v>
      </c>
      <c r="H1005" s="5">
        <f>VLOOKUP($A1005,Sheet3!$I$3:$J$38,2,0)</f>
        <v>12.72</v>
      </c>
      <c r="I1005" s="6">
        <f>VLOOKUP($E1005,Sheet3!$B$3:$G$54,5,0)</f>
        <v>126488</v>
      </c>
      <c r="J1005" s="5">
        <f>VLOOKUP($E1005,Sheet3!$B$3:$G$54,4,0)</f>
        <v>3.9</v>
      </c>
      <c r="K1005" s="5">
        <f>VLOOKUP($E1005,Sheet3!$B$3:$G$54,6,0)</f>
        <v>0.9</v>
      </c>
      <c r="L1005">
        <v>560</v>
      </c>
      <c r="M1005">
        <v>1440</v>
      </c>
      <c r="N1005">
        <v>20</v>
      </c>
      <c r="O1005" s="14">
        <f t="shared" si="35"/>
        <v>2.5714285714285716</v>
      </c>
    </row>
    <row r="1006" spans="1:15" x14ac:dyDescent="0.3">
      <c r="A1006" s="17" t="s">
        <v>36</v>
      </c>
      <c r="B1006" s="12" t="s">
        <v>30</v>
      </c>
      <c r="C1006" s="12" t="s">
        <v>33</v>
      </c>
      <c r="D1006" s="6">
        <f t="shared" si="36"/>
        <v>22</v>
      </c>
      <c r="E1006">
        <v>43</v>
      </c>
      <c r="F1006" s="6">
        <f>VLOOKUP($E1006,Sheet3!$B$3:$D$54,2,0)</f>
        <v>10</v>
      </c>
      <c r="G1006" s="6">
        <f>VLOOKUP($E1006,Sheet3!$B$3:$G$54,3,0)</f>
        <v>0</v>
      </c>
      <c r="H1006" s="5">
        <f>VLOOKUP($A1006,Sheet3!$I$3:$J$38,2,0)</f>
        <v>12.72</v>
      </c>
      <c r="I1006" s="6">
        <f>VLOOKUP($E1006,Sheet3!$B$3:$G$54,5,0)</f>
        <v>126488</v>
      </c>
      <c r="J1006" s="5">
        <f>VLOOKUP($E1006,Sheet3!$B$3:$G$54,4,0)</f>
        <v>3.65</v>
      </c>
      <c r="K1006" s="5">
        <f>VLOOKUP($E1006,Sheet3!$B$3:$G$54,6,0)</f>
        <v>0.9</v>
      </c>
      <c r="L1006">
        <v>560</v>
      </c>
      <c r="M1006">
        <v>0</v>
      </c>
      <c r="N1006">
        <v>21</v>
      </c>
      <c r="O1006" s="14">
        <f t="shared" si="35"/>
        <v>0</v>
      </c>
    </row>
    <row r="1007" spans="1:15" x14ac:dyDescent="0.3">
      <c r="A1007" s="17" t="s">
        <v>36</v>
      </c>
      <c r="B1007" s="12" t="s">
        <v>30</v>
      </c>
      <c r="C1007" s="12" t="s">
        <v>33</v>
      </c>
      <c r="D1007" s="6">
        <f t="shared" si="36"/>
        <v>22</v>
      </c>
      <c r="E1007">
        <v>44</v>
      </c>
      <c r="F1007" s="6">
        <f>VLOOKUP($E1007,Sheet3!$B$3:$D$54,2,0)</f>
        <v>10</v>
      </c>
      <c r="G1007" s="6">
        <f>VLOOKUP($E1007,Sheet3!$B$3:$G$54,3,0)</f>
        <v>1</v>
      </c>
      <c r="H1007" s="5">
        <f>VLOOKUP($A1007,Sheet3!$I$3:$J$38,2,0)</f>
        <v>12.72</v>
      </c>
      <c r="I1007" s="6">
        <f>VLOOKUP($E1007,Sheet3!$B$3:$G$54,5,0)</f>
        <v>126488</v>
      </c>
      <c r="J1007" s="5">
        <f>VLOOKUP($E1007,Sheet3!$B$3:$G$54,4,0)</f>
        <v>3.65</v>
      </c>
      <c r="K1007" s="5">
        <f>VLOOKUP($E1007,Sheet3!$B$3:$G$54,6,0)</f>
        <v>0.9</v>
      </c>
      <c r="L1007">
        <v>1460</v>
      </c>
      <c r="M1007">
        <v>1680</v>
      </c>
      <c r="N1007">
        <v>22</v>
      </c>
      <c r="O1007" s="14">
        <f t="shared" ref="O1007:O1069" si="37">M1007/L1007</f>
        <v>1.1506849315068493</v>
      </c>
    </row>
    <row r="1008" spans="1:15" x14ac:dyDescent="0.3">
      <c r="A1008" s="17" t="s">
        <v>36</v>
      </c>
      <c r="B1008" s="12" t="s">
        <v>30</v>
      </c>
      <c r="C1008" s="12" t="s">
        <v>33</v>
      </c>
      <c r="D1008" s="6">
        <f t="shared" si="36"/>
        <v>22</v>
      </c>
      <c r="E1008">
        <v>45</v>
      </c>
      <c r="F1008" s="6">
        <f>VLOOKUP($E1008,Sheet3!$B$3:$D$54,2,0)</f>
        <v>11</v>
      </c>
      <c r="G1008" s="6">
        <f>VLOOKUP($E1008,Sheet3!$B$3:$G$54,3,0)</f>
        <v>0</v>
      </c>
      <c r="H1008" s="5">
        <f>VLOOKUP($A1008,Sheet3!$I$3:$J$38,2,0)</f>
        <v>12.72</v>
      </c>
      <c r="I1008" s="6">
        <f>VLOOKUP($E1008,Sheet3!$B$3:$G$54,5,0)</f>
        <v>124251</v>
      </c>
      <c r="J1008" s="5">
        <f>VLOOKUP($E1008,Sheet3!$B$3:$G$54,4,0)</f>
        <v>3.65</v>
      </c>
      <c r="K1008" s="5">
        <f>VLOOKUP($E1008,Sheet3!$B$3:$G$54,6,0)</f>
        <v>1.3</v>
      </c>
      <c r="L1008">
        <v>1460</v>
      </c>
      <c r="M1008">
        <v>480</v>
      </c>
      <c r="N1008">
        <v>23</v>
      </c>
      <c r="O1008" s="14">
        <f t="shared" si="37"/>
        <v>0.32876712328767121</v>
      </c>
    </row>
    <row r="1009" spans="1:15" x14ac:dyDescent="0.3">
      <c r="A1009" s="17" t="s">
        <v>36</v>
      </c>
      <c r="B1009" s="12" t="s">
        <v>30</v>
      </c>
      <c r="C1009" s="12" t="s">
        <v>33</v>
      </c>
      <c r="D1009" s="6">
        <f t="shared" si="36"/>
        <v>22</v>
      </c>
      <c r="E1009">
        <v>46</v>
      </c>
      <c r="F1009" s="6">
        <f>VLOOKUP($E1009,Sheet3!$B$3:$D$54,2,0)</f>
        <v>11</v>
      </c>
      <c r="G1009" s="6">
        <f>VLOOKUP($E1009,Sheet3!$B$3:$G$54,3,0)</f>
        <v>0</v>
      </c>
      <c r="H1009" s="5">
        <f>VLOOKUP($A1009,Sheet3!$I$3:$J$38,2,0)</f>
        <v>12.72</v>
      </c>
      <c r="I1009" s="6">
        <f>VLOOKUP($E1009,Sheet3!$B$3:$G$54,5,0)</f>
        <v>124251</v>
      </c>
      <c r="J1009" s="5">
        <f>VLOOKUP($E1009,Sheet3!$B$3:$G$54,4,0)</f>
        <v>3.65</v>
      </c>
      <c r="K1009" s="5">
        <f>VLOOKUP($E1009,Sheet3!$B$3:$G$54,6,0)</f>
        <v>1.3</v>
      </c>
      <c r="L1009">
        <v>1460</v>
      </c>
      <c r="M1009">
        <v>3760</v>
      </c>
      <c r="N1009">
        <v>24</v>
      </c>
      <c r="O1009" s="14">
        <f t="shared" si="37"/>
        <v>2.5753424657534247</v>
      </c>
    </row>
    <row r="1010" spans="1:15" x14ac:dyDescent="0.3">
      <c r="A1010" s="17" t="s">
        <v>36</v>
      </c>
      <c r="B1010" s="12" t="s">
        <v>30</v>
      </c>
      <c r="C1010" s="12" t="s">
        <v>33</v>
      </c>
      <c r="D1010" s="6">
        <f t="shared" si="36"/>
        <v>22</v>
      </c>
      <c r="E1010">
        <v>47</v>
      </c>
      <c r="F1010" s="6">
        <f>VLOOKUP($E1010,Sheet3!$B$3:$D$54,2,0)</f>
        <v>11</v>
      </c>
      <c r="G1010" s="6">
        <f>VLOOKUP($E1010,Sheet3!$B$3:$G$54,3,0)</f>
        <v>0</v>
      </c>
      <c r="H1010" s="5">
        <f>VLOOKUP($A1010,Sheet3!$I$3:$J$38,2,0)</f>
        <v>12.72</v>
      </c>
      <c r="I1010" s="6">
        <f>VLOOKUP($E1010,Sheet3!$B$3:$G$54,5,0)</f>
        <v>124251</v>
      </c>
      <c r="J1010" s="5">
        <f>VLOOKUP($E1010,Sheet3!$B$3:$G$54,4,0)</f>
        <v>3.65</v>
      </c>
      <c r="K1010" s="5">
        <f>VLOOKUP($E1010,Sheet3!$B$3:$G$54,6,0)</f>
        <v>1.3</v>
      </c>
      <c r="L1010">
        <v>1460</v>
      </c>
      <c r="M1010">
        <v>400</v>
      </c>
      <c r="N1010">
        <v>25</v>
      </c>
      <c r="O1010" s="14">
        <f t="shared" si="37"/>
        <v>0.27397260273972601</v>
      </c>
    </row>
    <row r="1011" spans="1:15" x14ac:dyDescent="0.3">
      <c r="A1011" s="17" t="s">
        <v>36</v>
      </c>
      <c r="B1011" s="12" t="s">
        <v>30</v>
      </c>
      <c r="C1011" s="12" t="s">
        <v>33</v>
      </c>
      <c r="D1011" s="6">
        <f t="shared" si="36"/>
        <v>27</v>
      </c>
      <c r="E1011">
        <v>48</v>
      </c>
      <c r="F1011" s="6">
        <f>VLOOKUP($E1011,Sheet3!$B$3:$D$54,2,0)</f>
        <v>11</v>
      </c>
      <c r="G1011" s="6">
        <f>VLOOKUP($E1011,Sheet3!$B$3:$G$54,3,0)</f>
        <v>0</v>
      </c>
      <c r="H1011" s="5">
        <f>VLOOKUP($A1011,Sheet3!$I$3:$J$38,2,0)</f>
        <v>12.72</v>
      </c>
      <c r="I1011" s="6">
        <f>VLOOKUP($E1011,Sheet3!$B$3:$G$54,5,0)</f>
        <v>124251</v>
      </c>
      <c r="J1011" s="5">
        <f>VLOOKUP($E1011,Sheet3!$B$3:$G$54,4,0)</f>
        <v>3.65</v>
      </c>
      <c r="K1011" s="5">
        <f>VLOOKUP($E1011,Sheet3!$B$3:$G$54,6,0)</f>
        <v>1.3</v>
      </c>
      <c r="L1011">
        <v>672</v>
      </c>
      <c r="M1011">
        <v>0</v>
      </c>
      <c r="N1011">
        <v>21</v>
      </c>
      <c r="O1011" s="14">
        <f t="shared" si="37"/>
        <v>0</v>
      </c>
    </row>
    <row r="1012" spans="1:15" x14ac:dyDescent="0.3">
      <c r="A1012" s="17" t="s">
        <v>36</v>
      </c>
      <c r="B1012" s="12" t="s">
        <v>30</v>
      </c>
      <c r="C1012" s="12" t="s">
        <v>33</v>
      </c>
      <c r="D1012" s="6">
        <f t="shared" si="36"/>
        <v>27</v>
      </c>
      <c r="E1012">
        <v>49</v>
      </c>
      <c r="F1012" s="6">
        <f>VLOOKUP($E1012,Sheet3!$B$3:$D$54,2,0)</f>
        <v>12</v>
      </c>
      <c r="G1012" s="6">
        <f>VLOOKUP($E1012,Sheet3!$B$3:$G$54,3,0)</f>
        <v>1</v>
      </c>
      <c r="H1012" s="5">
        <f>VLOOKUP($A1012,Sheet3!$I$3:$J$38,2,0)</f>
        <v>12.72</v>
      </c>
      <c r="I1012" s="6">
        <f>VLOOKUP($E1012,Sheet3!$B$3:$G$54,5,0)</f>
        <v>105715</v>
      </c>
      <c r="J1012" s="5">
        <f>VLOOKUP($E1012,Sheet3!$B$3:$G$54,4,0)</f>
        <v>3.65</v>
      </c>
      <c r="K1012" s="5">
        <f>VLOOKUP($E1012,Sheet3!$B$3:$G$54,6,0)</f>
        <v>1.3</v>
      </c>
      <c r="L1012">
        <v>672</v>
      </c>
      <c r="M1012">
        <v>1520</v>
      </c>
      <c r="N1012">
        <v>22</v>
      </c>
      <c r="O1012" s="14">
        <f t="shared" si="37"/>
        <v>2.2619047619047619</v>
      </c>
    </row>
    <row r="1013" spans="1:15" x14ac:dyDescent="0.3">
      <c r="A1013" s="17" t="s">
        <v>36</v>
      </c>
      <c r="B1013" s="12" t="s">
        <v>30</v>
      </c>
      <c r="C1013" s="12" t="s">
        <v>33</v>
      </c>
      <c r="D1013" s="6">
        <f t="shared" si="36"/>
        <v>26</v>
      </c>
      <c r="E1013">
        <v>50</v>
      </c>
      <c r="F1013" s="6">
        <f>VLOOKUP($E1013,Sheet3!$B$3:$D$54,2,0)</f>
        <v>12</v>
      </c>
      <c r="G1013" s="6">
        <f>VLOOKUP($E1013,Sheet3!$B$3:$G$54,3,0)</f>
        <v>0</v>
      </c>
      <c r="H1013" s="5">
        <f>VLOOKUP($A1013,Sheet3!$I$3:$J$38,2,0)</f>
        <v>12.72</v>
      </c>
      <c r="I1013" s="6">
        <f>VLOOKUP($E1013,Sheet3!$B$3:$G$54,5,0)</f>
        <v>105715</v>
      </c>
      <c r="J1013" s="5">
        <f>VLOOKUP($E1013,Sheet3!$B$3:$G$54,4,0)</f>
        <v>3.4</v>
      </c>
      <c r="K1013" s="5">
        <f>VLOOKUP($E1013,Sheet3!$B$3:$G$54,6,0)</f>
        <v>1.3</v>
      </c>
      <c r="L1013">
        <v>672</v>
      </c>
      <c r="M1013">
        <v>2880</v>
      </c>
      <c r="N1013">
        <v>24</v>
      </c>
      <c r="O1013" s="14">
        <f t="shared" si="37"/>
        <v>4.2857142857142856</v>
      </c>
    </row>
    <row r="1014" spans="1:15" x14ac:dyDescent="0.3">
      <c r="A1014" s="17" t="s">
        <v>36</v>
      </c>
      <c r="B1014" s="12" t="s">
        <v>30</v>
      </c>
      <c r="C1014" s="12" t="s">
        <v>33</v>
      </c>
      <c r="D1014" s="6">
        <f t="shared" si="36"/>
        <v>27</v>
      </c>
      <c r="E1014">
        <v>51</v>
      </c>
      <c r="F1014" s="6">
        <f>VLOOKUP($E1014,Sheet3!$B$3:$D$54,2,0)</f>
        <v>12</v>
      </c>
      <c r="G1014" s="6">
        <f>VLOOKUP($E1014,Sheet3!$B$3:$G$54,3,0)</f>
        <v>0</v>
      </c>
      <c r="H1014" s="5">
        <f>VLOOKUP($A1014,Sheet3!$I$3:$J$38,2,0)</f>
        <v>12.72</v>
      </c>
      <c r="I1014" s="6">
        <f>VLOOKUP($E1014,Sheet3!$B$3:$G$54,5,0)</f>
        <v>105715</v>
      </c>
      <c r="J1014" s="5">
        <f>VLOOKUP($E1014,Sheet3!$B$3:$G$54,4,0)</f>
        <v>3.4</v>
      </c>
      <c r="K1014" s="5">
        <f>VLOOKUP($E1014,Sheet3!$B$3:$G$54,6,0)</f>
        <v>1.3</v>
      </c>
      <c r="L1014">
        <v>672</v>
      </c>
      <c r="M1014">
        <v>0</v>
      </c>
      <c r="N1014">
        <v>24</v>
      </c>
      <c r="O1014" s="14">
        <f t="shared" si="37"/>
        <v>0</v>
      </c>
    </row>
    <row r="1015" spans="1:15" x14ac:dyDescent="0.3">
      <c r="A1015" s="17" t="s">
        <v>36</v>
      </c>
      <c r="B1015" s="12" t="s">
        <v>30</v>
      </c>
      <c r="C1015" s="12" t="s">
        <v>33</v>
      </c>
      <c r="D1015" s="6">
        <f t="shared" si="36"/>
        <v>28</v>
      </c>
      <c r="E1015">
        <v>52</v>
      </c>
      <c r="F1015" s="6">
        <f>VLOOKUP($E1015,Sheet3!$B$3:$D$54,2,0)</f>
        <v>12</v>
      </c>
      <c r="G1015" s="6">
        <f>VLOOKUP($E1015,Sheet3!$B$3:$G$54,3,0)</f>
        <v>1</v>
      </c>
      <c r="H1015" s="5">
        <f>VLOOKUP($A1015,Sheet3!$I$3:$J$38,2,0)</f>
        <v>12.72</v>
      </c>
      <c r="I1015" s="6">
        <f>VLOOKUP($E1015,Sheet3!$B$3:$G$54,5,0)</f>
        <v>105715</v>
      </c>
      <c r="J1015" s="5">
        <f>VLOOKUP($E1015,Sheet3!$B$3:$G$54,4,0)</f>
        <v>3.4</v>
      </c>
      <c r="K1015" s="5">
        <f>VLOOKUP($E1015,Sheet3!$B$3:$G$54,6,0)</f>
        <v>1.3</v>
      </c>
      <c r="L1015">
        <v>672</v>
      </c>
      <c r="M1015">
        <v>0</v>
      </c>
      <c r="N1015">
        <v>24</v>
      </c>
      <c r="O1015" s="14">
        <f t="shared" si="37"/>
        <v>0</v>
      </c>
    </row>
    <row r="1016" spans="1:15" x14ac:dyDescent="0.3">
      <c r="A1016" s="17" t="s">
        <v>36</v>
      </c>
      <c r="B1016" s="12" t="s">
        <v>30</v>
      </c>
      <c r="C1016" s="12" t="s">
        <v>33</v>
      </c>
      <c r="D1016" s="6">
        <f t="shared" si="36"/>
        <v>29</v>
      </c>
      <c r="E1016">
        <v>1</v>
      </c>
      <c r="F1016" s="6">
        <f>VLOOKUP($E1016,Sheet3!$B$3:$D$54,2,0)</f>
        <v>12</v>
      </c>
      <c r="G1016" s="6">
        <f>VLOOKUP($E1016,Sheet3!$B$3:$G$54,3,0)</f>
        <v>1</v>
      </c>
      <c r="H1016" s="5">
        <f>VLOOKUP($A1016,Sheet3!$I$3:$J$38,2,0)</f>
        <v>12.72</v>
      </c>
      <c r="I1016" s="6">
        <f>VLOOKUP($E1016,Sheet3!$B$3:$G$54,5,0)</f>
        <v>105715</v>
      </c>
      <c r="J1016" s="5">
        <f>VLOOKUP($E1016,Sheet3!$B$3:$G$54,4,0)</f>
        <v>3.4</v>
      </c>
      <c r="K1016" s="5">
        <f>VLOOKUP($E1016,Sheet3!$B$3:$G$54,6,0)</f>
        <v>1.3</v>
      </c>
      <c r="L1016">
        <v>1300</v>
      </c>
      <c r="M1016">
        <v>2800</v>
      </c>
      <c r="N1016">
        <v>24</v>
      </c>
      <c r="O1016" s="14">
        <f t="shared" si="37"/>
        <v>2.1538461538461537</v>
      </c>
    </row>
    <row r="1017" spans="1:15" x14ac:dyDescent="0.3">
      <c r="A1017" s="17" t="s">
        <v>36</v>
      </c>
      <c r="B1017" s="12" t="s">
        <v>30</v>
      </c>
      <c r="C1017" s="12" t="s">
        <v>33</v>
      </c>
      <c r="D1017" s="6">
        <f t="shared" si="36"/>
        <v>29</v>
      </c>
      <c r="E1017">
        <v>2</v>
      </c>
      <c r="F1017" s="6">
        <f>VLOOKUP($E1017,Sheet3!$B$3:$D$54,2,0)</f>
        <v>1</v>
      </c>
      <c r="G1017" s="6">
        <f>VLOOKUP($E1017,Sheet3!$B$3:$G$54,3,0)</f>
        <v>1</v>
      </c>
      <c r="H1017" s="5">
        <f>VLOOKUP($A1017,Sheet3!$I$3:$J$38,2,0)</f>
        <v>12.72</v>
      </c>
      <c r="I1017" s="6">
        <f>VLOOKUP($E1017,Sheet3!$B$3:$G$54,5,0)</f>
        <v>133692</v>
      </c>
      <c r="J1017" s="5">
        <f>VLOOKUP($E1017,Sheet3!$B$3:$G$54,4,0)</f>
        <v>3.4</v>
      </c>
      <c r="K1017" s="5">
        <f>VLOOKUP($E1017,Sheet3!$B$3:$G$54,6,0)</f>
        <v>1.5</v>
      </c>
      <c r="L1017">
        <v>1300</v>
      </c>
      <c r="M1017">
        <v>1600</v>
      </c>
      <c r="N1017">
        <v>25</v>
      </c>
      <c r="O1017" s="14">
        <f t="shared" si="37"/>
        <v>1.2307692307692308</v>
      </c>
    </row>
    <row r="1018" spans="1:15" x14ac:dyDescent="0.3">
      <c r="A1018" s="17" t="s">
        <v>36</v>
      </c>
      <c r="B1018" s="12" t="s">
        <v>30</v>
      </c>
      <c r="C1018" s="12" t="s">
        <v>33</v>
      </c>
      <c r="D1018" s="6">
        <f t="shared" si="36"/>
        <v>30</v>
      </c>
      <c r="E1018">
        <v>3</v>
      </c>
      <c r="F1018" s="6">
        <f>VLOOKUP($E1018,Sheet3!$B$3:$D$54,2,0)</f>
        <v>1</v>
      </c>
      <c r="G1018" s="6">
        <f>VLOOKUP($E1018,Sheet3!$B$3:$G$54,3,0)</f>
        <v>0</v>
      </c>
      <c r="H1018" s="5">
        <f>VLOOKUP($A1018,Sheet3!$I$3:$J$38,2,0)</f>
        <v>12.72</v>
      </c>
      <c r="I1018" s="6">
        <f>VLOOKUP($E1018,Sheet3!$B$3:$G$54,5,0)</f>
        <v>133692</v>
      </c>
      <c r="J1018" s="5">
        <f>VLOOKUP($E1018,Sheet3!$B$3:$G$54,4,0)</f>
        <v>3.4</v>
      </c>
      <c r="K1018" s="5">
        <f>VLOOKUP($E1018,Sheet3!$B$3:$G$54,6,0)</f>
        <v>1.5</v>
      </c>
      <c r="L1018">
        <v>1300</v>
      </c>
      <c r="M1018">
        <v>2240</v>
      </c>
      <c r="N1018">
        <v>25</v>
      </c>
      <c r="O1018" s="14">
        <f t="shared" si="37"/>
        <v>1.7230769230769232</v>
      </c>
    </row>
    <row r="1019" spans="1:15" x14ac:dyDescent="0.3">
      <c r="A1019" s="17" t="s">
        <v>36</v>
      </c>
      <c r="B1019" s="12" t="s">
        <v>30</v>
      </c>
      <c r="C1019" s="12" t="s">
        <v>33</v>
      </c>
      <c r="D1019" s="6">
        <f t="shared" si="36"/>
        <v>30</v>
      </c>
      <c r="E1019">
        <v>4</v>
      </c>
      <c r="F1019" s="6">
        <f>VLOOKUP($E1019,Sheet3!$B$3:$D$54,2,0)</f>
        <v>1</v>
      </c>
      <c r="G1019" s="6">
        <f>VLOOKUP($E1019,Sheet3!$B$3:$G$54,3,0)</f>
        <v>0</v>
      </c>
      <c r="H1019" s="5">
        <f>VLOOKUP($A1019,Sheet3!$I$3:$J$38,2,0)</f>
        <v>12.72</v>
      </c>
      <c r="I1019" s="6">
        <f>VLOOKUP($E1019,Sheet3!$B$3:$G$54,5,0)</f>
        <v>133692</v>
      </c>
      <c r="J1019" s="5">
        <f>VLOOKUP($E1019,Sheet3!$B$3:$G$54,4,0)</f>
        <v>3.4</v>
      </c>
      <c r="K1019" s="5">
        <f>VLOOKUP($E1019,Sheet3!$B$3:$G$54,6,0)</f>
        <v>1.5</v>
      </c>
      <c r="L1019">
        <v>1300</v>
      </c>
      <c r="M1019">
        <v>0</v>
      </c>
      <c r="N1019">
        <v>26</v>
      </c>
      <c r="O1019" s="14">
        <f t="shared" si="37"/>
        <v>0</v>
      </c>
    </row>
    <row r="1020" spans="1:15" x14ac:dyDescent="0.3">
      <c r="A1020" s="17" t="s">
        <v>36</v>
      </c>
      <c r="B1020" s="12" t="s">
        <v>30</v>
      </c>
      <c r="C1020" s="12" t="s">
        <v>33</v>
      </c>
      <c r="D1020" s="6">
        <f t="shared" si="36"/>
        <v>37</v>
      </c>
      <c r="E1020">
        <v>5</v>
      </c>
      <c r="F1020" s="6">
        <f>VLOOKUP($E1020,Sheet3!$B$3:$D$54,2,0)</f>
        <v>1</v>
      </c>
      <c r="G1020" s="6">
        <f>VLOOKUP($E1020,Sheet3!$B$3:$G$54,3,0)</f>
        <v>0</v>
      </c>
      <c r="H1020" s="5">
        <f>VLOOKUP($A1020,Sheet3!$I$3:$J$38,2,0)</f>
        <v>12.72</v>
      </c>
      <c r="I1020" s="6">
        <f>VLOOKUP($E1020,Sheet3!$B$3:$G$54,5,0)</f>
        <v>133692</v>
      </c>
      <c r="J1020" s="5">
        <f>VLOOKUP($E1020,Sheet3!$B$3:$G$54,4,0)</f>
        <v>3.4</v>
      </c>
      <c r="K1020" s="5">
        <f>VLOOKUP($E1020,Sheet3!$B$3:$G$54,6,0)</f>
        <v>1.5</v>
      </c>
      <c r="L1020">
        <v>1220</v>
      </c>
      <c r="M1020">
        <v>2560</v>
      </c>
      <c r="N1020">
        <v>20</v>
      </c>
      <c r="O1020" s="14">
        <f t="shared" si="37"/>
        <v>2.098360655737705</v>
      </c>
    </row>
    <row r="1021" spans="1:15" x14ac:dyDescent="0.3">
      <c r="A1021" s="17" t="s">
        <v>36</v>
      </c>
      <c r="B1021" s="12" t="s">
        <v>30</v>
      </c>
      <c r="C1021" s="12" t="s">
        <v>33</v>
      </c>
      <c r="D1021" s="6">
        <f t="shared" si="36"/>
        <v>37</v>
      </c>
      <c r="E1021">
        <v>6</v>
      </c>
      <c r="F1021" s="6">
        <f>VLOOKUP($E1021,Sheet3!$B$3:$D$54,2,0)</f>
        <v>2</v>
      </c>
      <c r="G1021" s="6">
        <f>VLOOKUP($E1021,Sheet3!$B$3:$G$54,3,0)</f>
        <v>0</v>
      </c>
      <c r="H1021" s="5">
        <f>VLOOKUP($A1021,Sheet3!$I$3:$J$38,2,0)</f>
        <v>12.72</v>
      </c>
      <c r="I1021" s="6">
        <f>VLOOKUP($E1021,Sheet3!$B$3:$G$54,5,0)</f>
        <v>137922</v>
      </c>
      <c r="J1021" s="5">
        <f>VLOOKUP($E1021,Sheet3!$B$3:$G$54,4,0)</f>
        <v>3.15</v>
      </c>
      <c r="K1021" s="5">
        <f>VLOOKUP($E1021,Sheet3!$B$3:$G$54,6,0)</f>
        <v>1.6</v>
      </c>
      <c r="L1021">
        <v>1220</v>
      </c>
      <c r="M1021">
        <v>0</v>
      </c>
      <c r="N1021">
        <v>21</v>
      </c>
      <c r="O1021" s="14">
        <f t="shared" si="37"/>
        <v>0</v>
      </c>
    </row>
    <row r="1022" spans="1:15" x14ac:dyDescent="0.3">
      <c r="A1022" s="17" t="s">
        <v>36</v>
      </c>
      <c r="B1022" s="12" t="s">
        <v>30</v>
      </c>
      <c r="C1022" s="12" t="s">
        <v>33</v>
      </c>
      <c r="D1022" s="6">
        <f t="shared" si="36"/>
        <v>37</v>
      </c>
      <c r="E1022">
        <v>7</v>
      </c>
      <c r="F1022" s="6">
        <f>VLOOKUP($E1022,Sheet3!$B$3:$D$54,2,0)</f>
        <v>2</v>
      </c>
      <c r="G1022" s="6">
        <f>VLOOKUP($E1022,Sheet3!$B$3:$G$54,3,0)</f>
        <v>0</v>
      </c>
      <c r="H1022" s="5">
        <f>VLOOKUP($A1022,Sheet3!$I$3:$J$38,2,0)</f>
        <v>12.72</v>
      </c>
      <c r="I1022" s="6">
        <f>VLOOKUP($E1022,Sheet3!$B$3:$G$54,5,0)</f>
        <v>137922</v>
      </c>
      <c r="J1022" s="5">
        <f>VLOOKUP($E1022,Sheet3!$B$3:$G$54,4,0)</f>
        <v>3.15</v>
      </c>
      <c r="K1022" s="5">
        <f>VLOOKUP($E1022,Sheet3!$B$3:$G$54,6,0)</f>
        <v>1.6</v>
      </c>
      <c r="L1022">
        <v>1220</v>
      </c>
      <c r="M1022">
        <v>0</v>
      </c>
      <c r="N1022">
        <v>22</v>
      </c>
      <c r="O1022" s="14">
        <f t="shared" si="37"/>
        <v>0</v>
      </c>
    </row>
    <row r="1023" spans="1:15" x14ac:dyDescent="0.3">
      <c r="A1023" s="17" t="s">
        <v>36</v>
      </c>
      <c r="B1023" s="12" t="s">
        <v>30</v>
      </c>
      <c r="C1023" s="12" t="s">
        <v>33</v>
      </c>
      <c r="D1023" s="6">
        <f t="shared" si="36"/>
        <v>37</v>
      </c>
      <c r="E1023">
        <v>8</v>
      </c>
      <c r="F1023" s="6">
        <f>VLOOKUP($E1023,Sheet3!$B$3:$D$54,2,0)</f>
        <v>2</v>
      </c>
      <c r="G1023" s="6">
        <f>VLOOKUP($E1023,Sheet3!$B$3:$G$54,3,0)</f>
        <v>0</v>
      </c>
      <c r="H1023" s="5">
        <f>VLOOKUP($A1023,Sheet3!$I$3:$J$38,2,0)</f>
        <v>12.72</v>
      </c>
      <c r="I1023" s="6">
        <f>VLOOKUP($E1023,Sheet3!$B$3:$G$54,5,0)</f>
        <v>137922</v>
      </c>
      <c r="J1023" s="5">
        <f>VLOOKUP($E1023,Sheet3!$B$3:$G$54,4,0)</f>
        <v>3.15</v>
      </c>
      <c r="K1023" s="5">
        <f>VLOOKUP($E1023,Sheet3!$B$3:$G$54,6,0)</f>
        <v>1.6</v>
      </c>
      <c r="L1023">
        <v>1220</v>
      </c>
      <c r="M1023">
        <v>0</v>
      </c>
      <c r="N1023">
        <v>23</v>
      </c>
      <c r="O1023" s="14">
        <f t="shared" si="37"/>
        <v>0</v>
      </c>
    </row>
    <row r="1024" spans="1:15" x14ac:dyDescent="0.3">
      <c r="A1024" s="17" t="s">
        <v>36</v>
      </c>
      <c r="B1024" s="12" t="s">
        <v>30</v>
      </c>
      <c r="C1024" s="12" t="s">
        <v>33</v>
      </c>
      <c r="D1024" s="6">
        <f t="shared" ref="D1024:D1086" si="38">IF(E1024-N1024&lt;0,E1024-N1024+52,E1024-N1024)</f>
        <v>39</v>
      </c>
      <c r="E1024">
        <v>9</v>
      </c>
      <c r="F1024" s="6">
        <f>VLOOKUP($E1024,Sheet3!$B$3:$D$54,2,0)</f>
        <v>2</v>
      </c>
      <c r="G1024" s="6">
        <f>VLOOKUP($E1024,Sheet3!$B$3:$G$54,3,0)</f>
        <v>0</v>
      </c>
      <c r="H1024" s="5">
        <f>VLOOKUP($A1024,Sheet3!$I$3:$J$38,2,0)</f>
        <v>12.72</v>
      </c>
      <c r="I1024" s="6">
        <f>VLOOKUP($E1024,Sheet3!$B$3:$G$54,5,0)</f>
        <v>137922</v>
      </c>
      <c r="J1024" s="5">
        <f>VLOOKUP($E1024,Sheet3!$B$3:$G$54,4,0)</f>
        <v>3.15</v>
      </c>
      <c r="K1024" s="5">
        <f>VLOOKUP($E1024,Sheet3!$B$3:$G$54,6,0)</f>
        <v>1.6</v>
      </c>
      <c r="L1024">
        <v>1280</v>
      </c>
      <c r="M1024">
        <v>0</v>
      </c>
      <c r="N1024">
        <v>22</v>
      </c>
      <c r="O1024" s="14">
        <f t="shared" si="37"/>
        <v>0</v>
      </c>
    </row>
    <row r="1025" spans="1:15" x14ac:dyDescent="0.3">
      <c r="A1025" s="17" t="s">
        <v>36</v>
      </c>
      <c r="B1025" s="12" t="s">
        <v>30</v>
      </c>
      <c r="C1025" s="12" t="s">
        <v>33</v>
      </c>
      <c r="D1025" s="6">
        <f t="shared" si="38"/>
        <v>39</v>
      </c>
      <c r="E1025">
        <v>10</v>
      </c>
      <c r="F1025" s="6">
        <f>VLOOKUP($E1025,Sheet3!$B$3:$D$54,2,0)</f>
        <v>3</v>
      </c>
      <c r="G1025" s="6">
        <f>VLOOKUP($E1025,Sheet3!$B$3:$G$54,3,0)</f>
        <v>0</v>
      </c>
      <c r="H1025" s="5">
        <f>VLOOKUP($A1025,Sheet3!$I$3:$J$38,2,0)</f>
        <v>12.72</v>
      </c>
      <c r="I1025" s="6">
        <f>VLOOKUP($E1025,Sheet3!$B$3:$G$54,5,0)</f>
        <v>172223</v>
      </c>
      <c r="J1025" s="5">
        <f>VLOOKUP($E1025,Sheet3!$B$3:$G$54,4,0)</f>
        <v>3.15</v>
      </c>
      <c r="K1025" s="5">
        <f>VLOOKUP($E1025,Sheet3!$B$3:$G$54,6,0)</f>
        <v>1.9</v>
      </c>
      <c r="L1025">
        <v>1280</v>
      </c>
      <c r="M1025">
        <v>240</v>
      </c>
      <c r="N1025">
        <v>23</v>
      </c>
      <c r="O1025" s="14">
        <f t="shared" si="37"/>
        <v>0.1875</v>
      </c>
    </row>
    <row r="1026" spans="1:15" x14ac:dyDescent="0.3">
      <c r="A1026" s="17" t="s">
        <v>36</v>
      </c>
      <c r="B1026" s="12" t="s">
        <v>30</v>
      </c>
      <c r="C1026" s="12" t="s">
        <v>33</v>
      </c>
      <c r="D1026" s="6">
        <f t="shared" si="38"/>
        <v>39</v>
      </c>
      <c r="E1026">
        <v>11</v>
      </c>
      <c r="F1026" s="6">
        <f>VLOOKUP($E1026,Sheet3!$B$3:$D$54,2,0)</f>
        <v>3</v>
      </c>
      <c r="G1026" s="6">
        <f>VLOOKUP($E1026,Sheet3!$B$3:$G$54,3,0)</f>
        <v>0</v>
      </c>
      <c r="H1026" s="5">
        <f>VLOOKUP($A1026,Sheet3!$I$3:$J$38,2,0)</f>
        <v>12.72</v>
      </c>
      <c r="I1026" s="6">
        <f>VLOOKUP($E1026,Sheet3!$B$3:$G$54,5,0)</f>
        <v>172223</v>
      </c>
      <c r="J1026" s="5">
        <f>VLOOKUP($E1026,Sheet3!$B$3:$G$54,4,0)</f>
        <v>2.9</v>
      </c>
      <c r="K1026" s="5">
        <f>VLOOKUP($E1026,Sheet3!$B$3:$G$54,6,0)</f>
        <v>1.9</v>
      </c>
      <c r="L1026">
        <v>1280</v>
      </c>
      <c r="M1026">
        <v>880</v>
      </c>
      <c r="N1026">
        <v>24</v>
      </c>
      <c r="O1026" s="14">
        <f t="shared" si="37"/>
        <v>0.6875</v>
      </c>
    </row>
    <row r="1027" spans="1:15" x14ac:dyDescent="0.3">
      <c r="A1027" s="17" t="s">
        <v>36</v>
      </c>
      <c r="B1027" s="12" t="s">
        <v>30</v>
      </c>
      <c r="C1027" s="12" t="s">
        <v>33</v>
      </c>
      <c r="D1027" s="6">
        <f t="shared" si="38"/>
        <v>40</v>
      </c>
      <c r="E1027">
        <v>12</v>
      </c>
      <c r="F1027" s="6">
        <f>VLOOKUP($E1027,Sheet3!$B$3:$D$54,2,0)</f>
        <v>3</v>
      </c>
      <c r="G1027" s="6">
        <f>VLOOKUP($E1027,Sheet3!$B$3:$G$54,3,0)</f>
        <v>0</v>
      </c>
      <c r="H1027" s="5">
        <f>VLOOKUP($A1027,Sheet3!$I$3:$J$38,2,0)</f>
        <v>12.72</v>
      </c>
      <c r="I1027" s="6">
        <f>VLOOKUP($E1027,Sheet3!$B$3:$G$54,5,0)</f>
        <v>172223</v>
      </c>
      <c r="J1027" s="5">
        <f>VLOOKUP($E1027,Sheet3!$B$3:$G$54,4,0)</f>
        <v>2.9</v>
      </c>
      <c r="K1027" s="5">
        <f>VLOOKUP($E1027,Sheet3!$B$3:$G$54,6,0)</f>
        <v>1.9</v>
      </c>
      <c r="L1027">
        <v>1280</v>
      </c>
      <c r="M1027">
        <v>1040</v>
      </c>
      <c r="N1027">
        <v>24</v>
      </c>
      <c r="O1027" s="14">
        <f t="shared" si="37"/>
        <v>0.8125</v>
      </c>
    </row>
    <row r="1028" spans="1:15" x14ac:dyDescent="0.3">
      <c r="A1028" s="17" t="s">
        <v>36</v>
      </c>
      <c r="B1028" s="12" t="s">
        <v>30</v>
      </c>
      <c r="C1028" s="12" t="s">
        <v>33</v>
      </c>
      <c r="D1028" s="6">
        <f t="shared" si="38"/>
        <v>44</v>
      </c>
      <c r="E1028">
        <v>13</v>
      </c>
      <c r="F1028" s="6">
        <f>VLOOKUP($E1028,Sheet3!$B$3:$D$54,2,0)</f>
        <v>3</v>
      </c>
      <c r="G1028" s="6">
        <f>VLOOKUP($E1028,Sheet3!$B$3:$G$54,3,0)</f>
        <v>0</v>
      </c>
      <c r="H1028" s="5">
        <f>VLOOKUP($A1028,Sheet3!$I$3:$J$38,2,0)</f>
        <v>12.72</v>
      </c>
      <c r="I1028" s="6">
        <f>VLOOKUP($E1028,Sheet3!$B$3:$G$54,5,0)</f>
        <v>172223</v>
      </c>
      <c r="J1028" s="5">
        <f>VLOOKUP($E1028,Sheet3!$B$3:$G$54,4,0)</f>
        <v>2.9</v>
      </c>
      <c r="K1028" s="5">
        <f>VLOOKUP($E1028,Sheet3!$B$3:$G$54,6,0)</f>
        <v>1.9</v>
      </c>
      <c r="L1028">
        <v>1540</v>
      </c>
      <c r="M1028">
        <v>960</v>
      </c>
      <c r="N1028">
        <v>21</v>
      </c>
      <c r="O1028" s="14">
        <f t="shared" si="37"/>
        <v>0.62337662337662336</v>
      </c>
    </row>
    <row r="1029" spans="1:15" x14ac:dyDescent="0.3">
      <c r="A1029" s="17" t="s">
        <v>36</v>
      </c>
      <c r="B1029" s="12" t="s">
        <v>30</v>
      </c>
      <c r="C1029" s="12" t="s">
        <v>33</v>
      </c>
      <c r="D1029" s="6">
        <f t="shared" si="38"/>
        <v>45</v>
      </c>
      <c r="E1029">
        <v>14</v>
      </c>
      <c r="F1029" s="6">
        <f>VLOOKUP($E1029,Sheet3!$B$3:$D$54,2,0)</f>
        <v>3</v>
      </c>
      <c r="G1029" s="6">
        <f>VLOOKUP($E1029,Sheet3!$B$3:$G$54,3,0)</f>
        <v>0</v>
      </c>
      <c r="H1029" s="5">
        <f>VLOOKUP($A1029,Sheet3!$I$3:$J$38,2,0)</f>
        <v>12.72</v>
      </c>
      <c r="I1029" s="6">
        <f>VLOOKUP($E1029,Sheet3!$B$3:$G$54,5,0)</f>
        <v>172223</v>
      </c>
      <c r="J1029" s="5">
        <f>VLOOKUP($E1029,Sheet3!$B$3:$G$54,4,0)</f>
        <v>2.9</v>
      </c>
      <c r="K1029" s="5">
        <f>VLOOKUP($E1029,Sheet3!$B$3:$G$54,6,0)</f>
        <v>1.9</v>
      </c>
      <c r="L1029">
        <v>1540</v>
      </c>
      <c r="M1029">
        <v>1280</v>
      </c>
      <c r="N1029">
        <v>21</v>
      </c>
      <c r="O1029" s="14">
        <f t="shared" si="37"/>
        <v>0.83116883116883122</v>
      </c>
    </row>
    <row r="1030" spans="1:15" x14ac:dyDescent="0.3">
      <c r="A1030" s="17" t="s">
        <v>36</v>
      </c>
      <c r="B1030" s="12" t="s">
        <v>30</v>
      </c>
      <c r="C1030" s="12" t="s">
        <v>33</v>
      </c>
      <c r="D1030" s="6">
        <f t="shared" si="38"/>
        <v>46</v>
      </c>
      <c r="E1030">
        <v>15</v>
      </c>
      <c r="F1030" s="6">
        <f>VLOOKUP($E1030,Sheet3!$B$3:$D$54,2,0)</f>
        <v>4</v>
      </c>
      <c r="G1030" s="6">
        <f>VLOOKUP($E1030,Sheet3!$B$3:$G$54,3,0)</f>
        <v>0</v>
      </c>
      <c r="H1030" s="5">
        <f>VLOOKUP($A1030,Sheet3!$I$3:$J$38,2,0)</f>
        <v>12.72</v>
      </c>
      <c r="I1030" s="6">
        <f>VLOOKUP($E1030,Sheet3!$B$3:$G$54,5,0)</f>
        <v>139084</v>
      </c>
      <c r="J1030" s="5">
        <f>VLOOKUP($E1030,Sheet3!$B$3:$G$54,4,0)</f>
        <v>2.9</v>
      </c>
      <c r="K1030" s="5">
        <f>VLOOKUP($E1030,Sheet3!$B$3:$G$54,6,0)</f>
        <v>1.9</v>
      </c>
      <c r="L1030">
        <v>1540</v>
      </c>
      <c r="M1030">
        <v>1600</v>
      </c>
      <c r="N1030">
        <v>21</v>
      </c>
      <c r="O1030" s="14">
        <f t="shared" si="37"/>
        <v>1.0389610389610389</v>
      </c>
    </row>
    <row r="1031" spans="1:15" x14ac:dyDescent="0.3">
      <c r="A1031" s="17" t="s">
        <v>36</v>
      </c>
      <c r="B1031" s="12" t="s">
        <v>30</v>
      </c>
      <c r="C1031" s="12" t="s">
        <v>33</v>
      </c>
      <c r="D1031" s="6">
        <f t="shared" si="38"/>
        <v>47</v>
      </c>
      <c r="E1031">
        <v>16</v>
      </c>
      <c r="F1031" s="6">
        <f>VLOOKUP($E1031,Sheet3!$B$3:$D$54,2,0)</f>
        <v>4</v>
      </c>
      <c r="G1031" s="6">
        <f>VLOOKUP($E1031,Sheet3!$B$3:$G$54,3,0)</f>
        <v>0</v>
      </c>
      <c r="H1031" s="5">
        <f>VLOOKUP($A1031,Sheet3!$I$3:$J$38,2,0)</f>
        <v>12.72</v>
      </c>
      <c r="I1031" s="6">
        <f>VLOOKUP($E1031,Sheet3!$B$3:$G$54,5,0)</f>
        <v>139084</v>
      </c>
      <c r="J1031" s="5">
        <f>VLOOKUP($E1031,Sheet3!$B$3:$G$54,4,0)</f>
        <v>2.9</v>
      </c>
      <c r="K1031" s="5">
        <f>VLOOKUP($E1031,Sheet3!$B$3:$G$54,6,0)</f>
        <v>1.9</v>
      </c>
      <c r="L1031">
        <v>1540</v>
      </c>
      <c r="M1031">
        <v>1280</v>
      </c>
      <c r="N1031">
        <v>21</v>
      </c>
      <c r="O1031" s="14">
        <f t="shared" si="37"/>
        <v>0.83116883116883122</v>
      </c>
    </row>
    <row r="1032" spans="1:15" x14ac:dyDescent="0.3">
      <c r="A1032" s="17" t="s">
        <v>36</v>
      </c>
      <c r="B1032" s="12" t="s">
        <v>30</v>
      </c>
      <c r="C1032" s="12" t="s">
        <v>33</v>
      </c>
      <c r="D1032" s="6">
        <f t="shared" si="38"/>
        <v>2</v>
      </c>
      <c r="E1032">
        <v>17</v>
      </c>
      <c r="F1032" s="6">
        <f>VLOOKUP($E1032,Sheet3!$B$3:$D$54,2,0)</f>
        <v>4</v>
      </c>
      <c r="G1032" s="6">
        <f>VLOOKUP($E1032,Sheet3!$B$3:$G$54,3,0)</f>
        <v>1</v>
      </c>
      <c r="H1032" s="5">
        <f>VLOOKUP($A1032,Sheet3!$I$3:$J$38,2,0)</f>
        <v>12.72</v>
      </c>
      <c r="I1032" s="6">
        <f>VLOOKUP($E1032,Sheet3!$B$3:$G$54,5,0)</f>
        <v>139084</v>
      </c>
      <c r="J1032" s="5">
        <f>VLOOKUP($E1032,Sheet3!$B$3:$G$54,4,0)</f>
        <v>2.65</v>
      </c>
      <c r="K1032" s="5">
        <f>VLOOKUP($E1032,Sheet3!$B$3:$G$54,6,0)</f>
        <v>1.9</v>
      </c>
      <c r="L1032">
        <v>1080</v>
      </c>
      <c r="M1032">
        <v>1600</v>
      </c>
      <c r="N1032">
        <v>15</v>
      </c>
      <c r="O1032" s="14">
        <f t="shared" si="37"/>
        <v>1.4814814814814814</v>
      </c>
    </row>
    <row r="1033" spans="1:15" x14ac:dyDescent="0.3">
      <c r="A1033" s="17" t="s">
        <v>36</v>
      </c>
      <c r="B1033" s="12" t="s">
        <v>30</v>
      </c>
      <c r="C1033" s="12" t="s">
        <v>33</v>
      </c>
      <c r="D1033" s="6">
        <f t="shared" si="38"/>
        <v>2</v>
      </c>
      <c r="E1033">
        <v>18</v>
      </c>
      <c r="F1033" s="6">
        <f>VLOOKUP($E1033,Sheet3!$B$3:$D$54,2,0)</f>
        <v>4</v>
      </c>
      <c r="G1033" s="6">
        <f>VLOOKUP($E1033,Sheet3!$B$3:$G$54,3,0)</f>
        <v>1</v>
      </c>
      <c r="H1033" s="5">
        <f>VLOOKUP($A1033,Sheet3!$I$3:$J$38,2,0)</f>
        <v>12.72</v>
      </c>
      <c r="I1033" s="6">
        <f>VLOOKUP($E1033,Sheet3!$B$3:$G$54,5,0)</f>
        <v>139084</v>
      </c>
      <c r="J1033" s="5">
        <f>VLOOKUP($E1033,Sheet3!$B$3:$G$54,4,0)</f>
        <v>2.65</v>
      </c>
      <c r="K1033" s="5">
        <f>VLOOKUP($E1033,Sheet3!$B$3:$G$54,6,0)</f>
        <v>1.9</v>
      </c>
      <c r="L1033">
        <v>940</v>
      </c>
      <c r="M1033">
        <v>320</v>
      </c>
      <c r="N1033">
        <v>16</v>
      </c>
      <c r="O1033" s="14">
        <f t="shared" si="37"/>
        <v>0.34042553191489361</v>
      </c>
    </row>
    <row r="1034" spans="1:15" x14ac:dyDescent="0.3">
      <c r="A1034" s="17" t="s">
        <v>36</v>
      </c>
      <c r="B1034" s="12" t="s">
        <v>30</v>
      </c>
      <c r="C1034" s="12" t="s">
        <v>33</v>
      </c>
      <c r="D1034" s="6">
        <f t="shared" si="38"/>
        <v>3</v>
      </c>
      <c r="E1034">
        <v>19</v>
      </c>
      <c r="F1034" s="6">
        <f>VLOOKUP($E1034,Sheet3!$B$3:$D$54,2,0)</f>
        <v>5</v>
      </c>
      <c r="G1034" s="6">
        <f>VLOOKUP($E1034,Sheet3!$B$3:$G$54,3,0)</f>
        <v>0</v>
      </c>
      <c r="H1034" s="5">
        <f>VLOOKUP($A1034,Sheet3!$I$3:$J$38,2,0)</f>
        <v>12.72</v>
      </c>
      <c r="I1034" s="6">
        <f>VLOOKUP($E1034,Sheet3!$B$3:$G$54,5,0)</f>
        <v>139390</v>
      </c>
      <c r="J1034" s="5">
        <f>VLOOKUP($E1034,Sheet3!$B$3:$G$54,4,0)</f>
        <v>2.65</v>
      </c>
      <c r="K1034" s="5">
        <f>VLOOKUP($E1034,Sheet3!$B$3:$G$54,6,0)</f>
        <v>1.6</v>
      </c>
      <c r="L1034">
        <v>940</v>
      </c>
      <c r="M1034">
        <v>720</v>
      </c>
      <c r="N1034">
        <v>16</v>
      </c>
      <c r="O1034" s="14">
        <f t="shared" si="37"/>
        <v>0.76595744680851063</v>
      </c>
    </row>
    <row r="1035" spans="1:15" x14ac:dyDescent="0.3">
      <c r="A1035" s="17" t="s">
        <v>36</v>
      </c>
      <c r="B1035" s="12" t="s">
        <v>30</v>
      </c>
      <c r="C1035" s="12" t="s">
        <v>33</v>
      </c>
      <c r="D1035" s="6">
        <f t="shared" si="38"/>
        <v>3</v>
      </c>
      <c r="E1035">
        <v>20</v>
      </c>
      <c r="F1035" s="6">
        <f>VLOOKUP($E1035,Sheet3!$B$3:$D$54,2,0)</f>
        <v>5</v>
      </c>
      <c r="G1035" s="6">
        <f>VLOOKUP($E1035,Sheet3!$B$3:$G$54,3,0)</f>
        <v>0</v>
      </c>
      <c r="H1035" s="5">
        <f>VLOOKUP($A1035,Sheet3!$I$3:$J$38,2,0)</f>
        <v>12.72</v>
      </c>
      <c r="I1035" s="6">
        <f>VLOOKUP($E1035,Sheet3!$B$3:$G$54,5,0)</f>
        <v>139390</v>
      </c>
      <c r="J1035" s="5">
        <f>VLOOKUP($E1035,Sheet3!$B$3:$G$54,4,0)</f>
        <v>2.65</v>
      </c>
      <c r="K1035" s="5">
        <f>VLOOKUP($E1035,Sheet3!$B$3:$G$54,6,0)</f>
        <v>1.6</v>
      </c>
      <c r="L1035">
        <v>940</v>
      </c>
      <c r="M1035">
        <v>2000</v>
      </c>
      <c r="N1035">
        <v>17</v>
      </c>
      <c r="O1035" s="14">
        <f t="shared" si="37"/>
        <v>2.1276595744680851</v>
      </c>
    </row>
    <row r="1036" spans="1:15" x14ac:dyDescent="0.3">
      <c r="A1036" s="17" t="s">
        <v>36</v>
      </c>
      <c r="B1036" s="12" t="s">
        <v>30</v>
      </c>
      <c r="C1036" s="12" t="s">
        <v>33</v>
      </c>
      <c r="D1036" s="6">
        <f t="shared" si="38"/>
        <v>3</v>
      </c>
      <c r="E1036">
        <v>21</v>
      </c>
      <c r="F1036" s="6">
        <f>VLOOKUP($E1036,Sheet3!$B$3:$D$54,2,0)</f>
        <v>5</v>
      </c>
      <c r="G1036" s="6">
        <f>VLOOKUP($E1036,Sheet3!$B$3:$G$54,3,0)</f>
        <v>0</v>
      </c>
      <c r="H1036" s="5">
        <f>VLOOKUP($A1036,Sheet3!$I$3:$J$38,2,0)</f>
        <v>12.72</v>
      </c>
      <c r="I1036" s="6">
        <f>VLOOKUP($E1036,Sheet3!$B$3:$G$54,5,0)</f>
        <v>139390</v>
      </c>
      <c r="J1036" s="5">
        <f>VLOOKUP($E1036,Sheet3!$B$3:$G$54,4,0)</f>
        <v>2.65</v>
      </c>
      <c r="K1036" s="5">
        <f>VLOOKUP($E1036,Sheet3!$B$3:$G$54,6,0)</f>
        <v>1.6</v>
      </c>
      <c r="L1036">
        <v>940</v>
      </c>
      <c r="M1036">
        <v>1120</v>
      </c>
      <c r="N1036">
        <v>18</v>
      </c>
      <c r="O1036" s="14">
        <f t="shared" si="37"/>
        <v>1.1914893617021276</v>
      </c>
    </row>
    <row r="1037" spans="1:15" x14ac:dyDescent="0.3">
      <c r="A1037" s="17" t="s">
        <v>36</v>
      </c>
      <c r="B1037" s="12" t="s">
        <v>30</v>
      </c>
      <c r="C1037" s="12" t="s">
        <v>33</v>
      </c>
      <c r="D1037" s="6">
        <f t="shared" si="38"/>
        <v>6</v>
      </c>
      <c r="E1037">
        <v>22</v>
      </c>
      <c r="F1037" s="6">
        <f>VLOOKUP($E1037,Sheet3!$B$3:$D$54,2,0)</f>
        <v>5</v>
      </c>
      <c r="G1037" s="6">
        <f>VLOOKUP($E1037,Sheet3!$B$3:$G$54,3,0)</f>
        <v>0</v>
      </c>
      <c r="H1037" s="5">
        <f>VLOOKUP($A1037,Sheet3!$I$3:$J$38,2,0)</f>
        <v>12.72</v>
      </c>
      <c r="I1037" s="6">
        <f>VLOOKUP($E1037,Sheet3!$B$3:$G$54,5,0)</f>
        <v>139390</v>
      </c>
      <c r="J1037" s="5">
        <f>VLOOKUP($E1037,Sheet3!$B$3:$G$54,4,0)</f>
        <v>2.65</v>
      </c>
      <c r="K1037" s="5">
        <f>VLOOKUP($E1037,Sheet3!$B$3:$G$54,6,0)</f>
        <v>1.6</v>
      </c>
      <c r="L1037">
        <v>1376</v>
      </c>
      <c r="M1037">
        <v>800</v>
      </c>
      <c r="N1037">
        <v>16</v>
      </c>
      <c r="O1037" s="14">
        <f t="shared" si="37"/>
        <v>0.58139534883720934</v>
      </c>
    </row>
    <row r="1038" spans="1:15" x14ac:dyDescent="0.3">
      <c r="A1038" s="17" t="s">
        <v>36</v>
      </c>
      <c r="B1038" s="12" t="s">
        <v>30</v>
      </c>
      <c r="C1038" s="12" t="s">
        <v>33</v>
      </c>
      <c r="D1038" s="6">
        <f t="shared" si="38"/>
        <v>6</v>
      </c>
      <c r="E1038">
        <v>23</v>
      </c>
      <c r="F1038" s="6">
        <f>VLOOKUP($E1038,Sheet3!$B$3:$D$54,2,0)</f>
        <v>5</v>
      </c>
      <c r="G1038" s="6">
        <f>VLOOKUP($E1038,Sheet3!$B$3:$G$54,3,0)</f>
        <v>1</v>
      </c>
      <c r="H1038" s="5">
        <f>VLOOKUP($A1038,Sheet3!$I$3:$J$38,2,0)</f>
        <v>12.72</v>
      </c>
      <c r="I1038" s="6">
        <f>VLOOKUP($E1038,Sheet3!$B$3:$G$54,5,0)</f>
        <v>139390</v>
      </c>
      <c r="J1038" s="5">
        <f>VLOOKUP($E1038,Sheet3!$B$3:$G$54,4,0)</f>
        <v>2.4</v>
      </c>
      <c r="K1038" s="5">
        <f>VLOOKUP($E1038,Sheet3!$B$3:$G$54,6,0)</f>
        <v>1.6</v>
      </c>
      <c r="L1038">
        <v>3176</v>
      </c>
      <c r="M1038">
        <v>1280</v>
      </c>
      <c r="N1038">
        <v>17</v>
      </c>
      <c r="O1038" s="14">
        <f t="shared" si="37"/>
        <v>0.40302267002518893</v>
      </c>
    </row>
    <row r="1039" spans="1:15" x14ac:dyDescent="0.3">
      <c r="A1039" s="17" t="s">
        <v>36</v>
      </c>
      <c r="B1039" s="12" t="s">
        <v>30</v>
      </c>
      <c r="C1039" s="12" t="s">
        <v>33</v>
      </c>
      <c r="D1039" s="6">
        <f t="shared" si="38"/>
        <v>6</v>
      </c>
      <c r="E1039">
        <v>24</v>
      </c>
      <c r="F1039" s="6">
        <f>VLOOKUP($E1039,Sheet3!$B$3:$D$54,2,0)</f>
        <v>6</v>
      </c>
      <c r="G1039" s="6">
        <f>VLOOKUP($E1039,Sheet3!$B$3:$G$54,3,0)</f>
        <v>0</v>
      </c>
      <c r="H1039" s="5">
        <f>VLOOKUP($A1039,Sheet3!$I$3:$J$38,2,0)</f>
        <v>12.72</v>
      </c>
      <c r="I1039" s="6">
        <f>VLOOKUP($E1039,Sheet3!$B$3:$G$54,5,0)</f>
        <v>132191</v>
      </c>
      <c r="J1039" s="5">
        <f>VLOOKUP($E1039,Sheet3!$B$3:$G$54,4,0)</f>
        <v>2.4</v>
      </c>
      <c r="K1039" s="5">
        <f>VLOOKUP($E1039,Sheet3!$B$3:$G$54,6,0)</f>
        <v>1.7</v>
      </c>
      <c r="L1039">
        <v>1376</v>
      </c>
      <c r="M1039">
        <v>1760</v>
      </c>
      <c r="N1039">
        <v>18</v>
      </c>
      <c r="O1039" s="14">
        <f t="shared" si="37"/>
        <v>1.2790697674418605</v>
      </c>
    </row>
    <row r="1040" spans="1:15" x14ac:dyDescent="0.3">
      <c r="A1040" s="17" t="s">
        <v>36</v>
      </c>
      <c r="B1040" s="12" t="s">
        <v>30</v>
      </c>
      <c r="C1040" s="12" t="s">
        <v>33</v>
      </c>
      <c r="D1040" s="6">
        <f t="shared" si="38"/>
        <v>6</v>
      </c>
      <c r="E1040">
        <v>25</v>
      </c>
      <c r="F1040" s="6">
        <f>VLOOKUP($E1040,Sheet3!$B$3:$D$54,2,0)</f>
        <v>6</v>
      </c>
      <c r="G1040" s="6">
        <f>VLOOKUP($E1040,Sheet3!$B$3:$G$54,3,0)</f>
        <v>0</v>
      </c>
      <c r="H1040" s="5">
        <f>VLOOKUP($A1040,Sheet3!$I$3:$J$38,2,0)</f>
        <v>12.72</v>
      </c>
      <c r="I1040" s="6">
        <f>VLOOKUP($E1040,Sheet3!$B$3:$G$54,5,0)</f>
        <v>132191</v>
      </c>
      <c r="J1040" s="5">
        <f>VLOOKUP($E1040,Sheet3!$B$3:$G$54,4,0)</f>
        <v>2.4</v>
      </c>
      <c r="K1040" s="5">
        <f>VLOOKUP($E1040,Sheet3!$B$3:$G$54,6,0)</f>
        <v>1.7</v>
      </c>
      <c r="L1040">
        <v>1376</v>
      </c>
      <c r="M1040">
        <v>560</v>
      </c>
      <c r="N1040">
        <v>19</v>
      </c>
      <c r="O1040" s="14">
        <f t="shared" si="37"/>
        <v>0.40697674418604651</v>
      </c>
    </row>
    <row r="1041" spans="1:15" x14ac:dyDescent="0.3">
      <c r="A1041" s="17" t="s">
        <v>36</v>
      </c>
      <c r="B1041" s="12" t="s">
        <v>30</v>
      </c>
      <c r="C1041" s="12" t="s">
        <v>33</v>
      </c>
      <c r="D1041" s="6">
        <f t="shared" si="38"/>
        <v>7</v>
      </c>
      <c r="E1041">
        <v>26</v>
      </c>
      <c r="F1041" s="6">
        <f>VLOOKUP($E1041,Sheet3!$B$3:$D$54,2,0)</f>
        <v>6</v>
      </c>
      <c r="G1041" s="6">
        <f>VLOOKUP($E1041,Sheet3!$B$3:$G$54,3,0)</f>
        <v>0</v>
      </c>
      <c r="H1041" s="5">
        <f>VLOOKUP($A1041,Sheet3!$I$3:$J$38,2,0)</f>
        <v>12.72</v>
      </c>
      <c r="I1041" s="6">
        <f>VLOOKUP($E1041,Sheet3!$B$3:$G$54,5,0)</f>
        <v>132191</v>
      </c>
      <c r="J1041" s="5">
        <f>VLOOKUP($E1041,Sheet3!$B$3:$G$54,4,0)</f>
        <v>2.4</v>
      </c>
      <c r="K1041" s="5">
        <f>VLOOKUP($E1041,Sheet3!$B$3:$G$54,6,0)</f>
        <v>1.7</v>
      </c>
      <c r="L1041">
        <v>1376</v>
      </c>
      <c r="M1041">
        <v>560</v>
      </c>
      <c r="N1041">
        <v>19</v>
      </c>
      <c r="O1041" s="14">
        <f t="shared" si="37"/>
        <v>0.40697674418604651</v>
      </c>
    </row>
    <row r="1042" spans="1:15" x14ac:dyDescent="0.3">
      <c r="A1042" s="15" t="s">
        <v>37</v>
      </c>
      <c r="B1042" s="12" t="s">
        <v>30</v>
      </c>
      <c r="C1042" s="12" t="s">
        <v>33</v>
      </c>
      <c r="D1042" s="6">
        <f t="shared" si="38"/>
        <v>11</v>
      </c>
      <c r="E1042">
        <v>27</v>
      </c>
      <c r="F1042" s="6">
        <f>VLOOKUP($E1042,Sheet3!$B$3:$D$54,2,0)</f>
        <v>7</v>
      </c>
      <c r="G1042" s="6">
        <f>VLOOKUP($E1042,Sheet3!$B$3:$G$54,3,0)</f>
        <v>0</v>
      </c>
      <c r="H1042" s="5">
        <f>VLOOKUP($A1042,Sheet3!$I$3:$J$38,2,0)</f>
        <v>17.47</v>
      </c>
      <c r="I1042" s="6">
        <f>VLOOKUP($E1042,Sheet3!$B$3:$G$54,5,0)</f>
        <v>124806</v>
      </c>
      <c r="J1042" s="5">
        <f>VLOOKUP($E1042,Sheet3!$B$3:$G$54,4,0)</f>
        <v>4.5</v>
      </c>
      <c r="K1042" s="5">
        <f>VLOOKUP($E1042,Sheet3!$B$3:$G$54,6,0)</f>
        <v>1.3</v>
      </c>
      <c r="L1042">
        <v>197</v>
      </c>
      <c r="M1042">
        <v>0</v>
      </c>
      <c r="N1042">
        <v>16</v>
      </c>
      <c r="O1042" s="14">
        <f t="shared" si="37"/>
        <v>0</v>
      </c>
    </row>
    <row r="1043" spans="1:15" x14ac:dyDescent="0.3">
      <c r="A1043" s="15" t="s">
        <v>37</v>
      </c>
      <c r="B1043" s="12" t="s">
        <v>30</v>
      </c>
      <c r="C1043" s="12" t="s">
        <v>33</v>
      </c>
      <c r="D1043" s="6">
        <f t="shared" si="38"/>
        <v>12</v>
      </c>
      <c r="E1043">
        <v>28</v>
      </c>
      <c r="F1043" s="6">
        <f>VLOOKUP($E1043,Sheet3!$B$3:$D$54,2,0)</f>
        <v>7</v>
      </c>
      <c r="G1043" s="6">
        <f>VLOOKUP($E1043,Sheet3!$B$3:$G$54,3,0)</f>
        <v>0</v>
      </c>
      <c r="H1043" s="5">
        <f>VLOOKUP($A1043,Sheet3!$I$3:$J$38,2,0)</f>
        <v>17.47</v>
      </c>
      <c r="I1043" s="6">
        <f>VLOOKUP($E1043,Sheet3!$B$3:$G$54,5,0)</f>
        <v>124806</v>
      </c>
      <c r="J1043" s="5">
        <f>VLOOKUP($E1043,Sheet3!$B$3:$G$54,4,0)</f>
        <v>4.5</v>
      </c>
      <c r="K1043" s="5">
        <f>VLOOKUP($E1043,Sheet3!$B$3:$G$54,6,0)</f>
        <v>1.3</v>
      </c>
      <c r="L1043">
        <v>197</v>
      </c>
      <c r="M1043">
        <v>720</v>
      </c>
      <c r="N1043">
        <v>16</v>
      </c>
      <c r="O1043" s="14">
        <f t="shared" si="37"/>
        <v>3.6548223350253806</v>
      </c>
    </row>
    <row r="1044" spans="1:15" x14ac:dyDescent="0.3">
      <c r="A1044" s="15" t="s">
        <v>37</v>
      </c>
      <c r="B1044" s="12" t="s">
        <v>30</v>
      </c>
      <c r="C1044" s="12" t="s">
        <v>33</v>
      </c>
      <c r="D1044" s="6">
        <f t="shared" si="38"/>
        <v>13</v>
      </c>
      <c r="E1044">
        <v>29</v>
      </c>
      <c r="F1044" s="6">
        <f>VLOOKUP($E1044,Sheet3!$B$3:$D$54,2,0)</f>
        <v>7</v>
      </c>
      <c r="G1044" s="6">
        <f>VLOOKUP($E1044,Sheet3!$B$3:$G$54,3,0)</f>
        <v>0</v>
      </c>
      <c r="H1044" s="5">
        <f>VLOOKUP($A1044,Sheet3!$I$3:$J$38,2,0)</f>
        <v>17.47</v>
      </c>
      <c r="I1044" s="6">
        <f>VLOOKUP($E1044,Sheet3!$B$3:$G$54,5,0)</f>
        <v>124806</v>
      </c>
      <c r="J1044" s="5">
        <f>VLOOKUP($E1044,Sheet3!$B$3:$G$54,4,0)</f>
        <v>4.5</v>
      </c>
      <c r="K1044" s="5">
        <f>VLOOKUP($E1044,Sheet3!$B$3:$G$54,6,0)</f>
        <v>1.3</v>
      </c>
      <c r="L1044">
        <v>197</v>
      </c>
      <c r="M1044">
        <v>0</v>
      </c>
      <c r="N1044">
        <v>16</v>
      </c>
      <c r="O1044" s="14">
        <f t="shared" si="37"/>
        <v>0</v>
      </c>
    </row>
    <row r="1045" spans="1:15" x14ac:dyDescent="0.3">
      <c r="A1045" s="15" t="s">
        <v>37</v>
      </c>
      <c r="B1045" s="12" t="s">
        <v>30</v>
      </c>
      <c r="C1045" s="12" t="s">
        <v>33</v>
      </c>
      <c r="D1045" s="6">
        <f t="shared" si="38"/>
        <v>14</v>
      </c>
      <c r="E1045">
        <v>30</v>
      </c>
      <c r="F1045" s="6">
        <f>VLOOKUP($E1045,Sheet3!$B$3:$D$54,2,0)</f>
        <v>7</v>
      </c>
      <c r="G1045" s="6">
        <f>VLOOKUP($E1045,Sheet3!$B$3:$G$54,3,0)</f>
        <v>0</v>
      </c>
      <c r="H1045" s="5">
        <f>VLOOKUP($A1045,Sheet3!$I$3:$J$38,2,0)</f>
        <v>17.47</v>
      </c>
      <c r="I1045" s="6">
        <f>VLOOKUP($E1045,Sheet3!$B$3:$G$54,5,0)</f>
        <v>124806</v>
      </c>
      <c r="J1045" s="5">
        <f>VLOOKUP($E1045,Sheet3!$B$3:$G$54,4,0)</f>
        <v>4.5</v>
      </c>
      <c r="K1045" s="5">
        <f>VLOOKUP($E1045,Sheet3!$B$3:$G$54,6,0)</f>
        <v>1.3</v>
      </c>
      <c r="L1045">
        <v>197</v>
      </c>
      <c r="M1045">
        <v>0</v>
      </c>
      <c r="N1045">
        <v>16</v>
      </c>
      <c r="O1045" s="14">
        <f t="shared" si="37"/>
        <v>0</v>
      </c>
    </row>
    <row r="1046" spans="1:15" x14ac:dyDescent="0.3">
      <c r="A1046" s="15" t="s">
        <v>37</v>
      </c>
      <c r="B1046" s="12" t="s">
        <v>30</v>
      </c>
      <c r="C1046" s="12" t="s">
        <v>33</v>
      </c>
      <c r="D1046" s="6">
        <f t="shared" si="38"/>
        <v>24</v>
      </c>
      <c r="E1046">
        <v>31</v>
      </c>
      <c r="F1046" s="6">
        <f>VLOOKUP($E1046,Sheet3!$B$3:$D$54,2,0)</f>
        <v>7</v>
      </c>
      <c r="G1046" s="6">
        <f>VLOOKUP($E1046,Sheet3!$B$3:$G$54,3,0)</f>
        <v>0</v>
      </c>
      <c r="H1046" s="5">
        <f>VLOOKUP($A1046,Sheet3!$I$3:$J$38,2,0)</f>
        <v>17.47</v>
      </c>
      <c r="I1046" s="6">
        <f>VLOOKUP($E1046,Sheet3!$B$3:$G$54,5,0)</f>
        <v>124806</v>
      </c>
      <c r="J1046" s="5">
        <f>VLOOKUP($E1046,Sheet3!$B$3:$G$54,4,0)</f>
        <v>4.5</v>
      </c>
      <c r="K1046" s="5">
        <f>VLOOKUP($E1046,Sheet3!$B$3:$G$54,6,0)</f>
        <v>1.3</v>
      </c>
      <c r="L1046">
        <v>650</v>
      </c>
      <c r="M1046">
        <v>1140</v>
      </c>
      <c r="N1046">
        <v>7</v>
      </c>
      <c r="O1046" s="14">
        <f t="shared" si="37"/>
        <v>1.7538461538461538</v>
      </c>
    </row>
    <row r="1047" spans="1:15" x14ac:dyDescent="0.3">
      <c r="A1047" s="15" t="s">
        <v>37</v>
      </c>
      <c r="B1047" s="12" t="s">
        <v>30</v>
      </c>
      <c r="C1047" s="12" t="s">
        <v>33</v>
      </c>
      <c r="D1047" s="6">
        <f t="shared" si="38"/>
        <v>25</v>
      </c>
      <c r="E1047">
        <v>32</v>
      </c>
      <c r="F1047" s="6">
        <f>VLOOKUP($E1047,Sheet3!$B$3:$D$54,2,0)</f>
        <v>8</v>
      </c>
      <c r="G1047" s="6">
        <f>VLOOKUP($E1047,Sheet3!$B$3:$G$54,3,0)</f>
        <v>1</v>
      </c>
      <c r="H1047" s="5">
        <f>VLOOKUP($A1047,Sheet3!$I$3:$J$38,2,0)</f>
        <v>17.47</v>
      </c>
      <c r="I1047" s="6">
        <f>VLOOKUP($E1047,Sheet3!$B$3:$G$54,5,0)</f>
        <v>69121</v>
      </c>
      <c r="J1047" s="5">
        <f>VLOOKUP($E1047,Sheet3!$B$3:$G$54,4,0)</f>
        <v>4.5</v>
      </c>
      <c r="K1047" s="5">
        <f>VLOOKUP($E1047,Sheet3!$B$3:$G$54,6,0)</f>
        <v>1.1000000000000001</v>
      </c>
      <c r="L1047">
        <v>647</v>
      </c>
      <c r="M1047">
        <v>1140</v>
      </c>
      <c r="N1047">
        <v>7</v>
      </c>
      <c r="O1047" s="14">
        <f t="shared" si="37"/>
        <v>1.7619783616692426</v>
      </c>
    </row>
    <row r="1048" spans="1:15" x14ac:dyDescent="0.3">
      <c r="A1048" s="15" t="s">
        <v>37</v>
      </c>
      <c r="B1048" s="12" t="s">
        <v>30</v>
      </c>
      <c r="C1048" s="12" t="s">
        <v>33</v>
      </c>
      <c r="D1048" s="6">
        <f t="shared" si="38"/>
        <v>22</v>
      </c>
      <c r="E1048">
        <v>33</v>
      </c>
      <c r="F1048" s="6">
        <f>VLOOKUP($E1048,Sheet3!$B$3:$D$54,2,0)</f>
        <v>8</v>
      </c>
      <c r="G1048" s="6">
        <f>VLOOKUP($E1048,Sheet3!$B$3:$G$54,3,0)</f>
        <v>1</v>
      </c>
      <c r="H1048" s="5">
        <f>VLOOKUP($A1048,Sheet3!$I$3:$J$38,2,0)</f>
        <v>17.47</v>
      </c>
      <c r="I1048" s="6">
        <f>VLOOKUP($E1048,Sheet3!$B$3:$G$54,5,0)</f>
        <v>69121</v>
      </c>
      <c r="J1048" s="5">
        <f>VLOOKUP($E1048,Sheet3!$B$3:$G$54,4,0)</f>
        <v>4.5</v>
      </c>
      <c r="K1048" s="5">
        <f>VLOOKUP($E1048,Sheet3!$B$3:$G$54,6,0)</f>
        <v>1.1000000000000001</v>
      </c>
      <c r="L1048">
        <v>647</v>
      </c>
      <c r="M1048">
        <v>1280</v>
      </c>
      <c r="N1048">
        <v>11</v>
      </c>
      <c r="O1048" s="14">
        <f t="shared" si="37"/>
        <v>1.9783616692426584</v>
      </c>
    </row>
    <row r="1049" spans="1:15" x14ac:dyDescent="0.3">
      <c r="A1049" s="15" t="s">
        <v>37</v>
      </c>
      <c r="B1049" s="12" t="s">
        <v>30</v>
      </c>
      <c r="C1049" s="12" t="s">
        <v>33</v>
      </c>
      <c r="D1049" s="6">
        <f t="shared" si="38"/>
        <v>20</v>
      </c>
      <c r="E1049">
        <v>34</v>
      </c>
      <c r="F1049" s="6">
        <f>VLOOKUP($E1049,Sheet3!$B$3:$D$54,2,0)</f>
        <v>8</v>
      </c>
      <c r="G1049" s="6">
        <f>VLOOKUP($E1049,Sheet3!$B$3:$G$54,3,0)</f>
        <v>0</v>
      </c>
      <c r="H1049" s="5">
        <f>VLOOKUP($A1049,Sheet3!$I$3:$J$38,2,0)</f>
        <v>17.47</v>
      </c>
      <c r="I1049" s="6">
        <f>VLOOKUP($E1049,Sheet3!$B$3:$G$54,5,0)</f>
        <v>69121</v>
      </c>
      <c r="J1049" s="5">
        <f>VLOOKUP($E1049,Sheet3!$B$3:$G$54,4,0)</f>
        <v>4.5</v>
      </c>
      <c r="K1049" s="5">
        <f>VLOOKUP($E1049,Sheet3!$B$3:$G$54,6,0)</f>
        <v>1.1000000000000001</v>
      </c>
      <c r="L1049">
        <v>647</v>
      </c>
      <c r="M1049">
        <v>2240</v>
      </c>
      <c r="N1049">
        <v>14</v>
      </c>
      <c r="O1049" s="14">
        <f t="shared" si="37"/>
        <v>3.4621329211746521</v>
      </c>
    </row>
    <row r="1050" spans="1:15" x14ac:dyDescent="0.3">
      <c r="A1050" s="15" t="s">
        <v>37</v>
      </c>
      <c r="B1050" s="12" t="s">
        <v>30</v>
      </c>
      <c r="C1050" s="12" t="s">
        <v>33</v>
      </c>
      <c r="D1050" s="6">
        <f t="shared" si="38"/>
        <v>21</v>
      </c>
      <c r="E1050">
        <v>35</v>
      </c>
      <c r="F1050" s="6">
        <f>VLOOKUP($E1050,Sheet3!$B$3:$D$54,2,0)</f>
        <v>8</v>
      </c>
      <c r="G1050" s="6">
        <f>VLOOKUP($E1050,Sheet3!$B$3:$G$54,3,0)</f>
        <v>0</v>
      </c>
      <c r="H1050" s="5">
        <f>VLOOKUP($A1050,Sheet3!$I$3:$J$38,2,0)</f>
        <v>17.47</v>
      </c>
      <c r="I1050" s="6">
        <f>VLOOKUP($E1050,Sheet3!$B$3:$G$54,5,0)</f>
        <v>69121</v>
      </c>
      <c r="J1050" s="5">
        <f>VLOOKUP($E1050,Sheet3!$B$3:$G$54,4,0)</f>
        <v>4.5</v>
      </c>
      <c r="K1050" s="5">
        <f>VLOOKUP($E1050,Sheet3!$B$3:$G$54,6,0)</f>
        <v>1.1000000000000001</v>
      </c>
      <c r="L1050">
        <v>1978</v>
      </c>
      <c r="M1050">
        <v>1200</v>
      </c>
      <c r="N1050">
        <v>14</v>
      </c>
      <c r="O1050" s="14">
        <f t="shared" si="37"/>
        <v>0.60667340748230536</v>
      </c>
    </row>
    <row r="1051" spans="1:15" x14ac:dyDescent="0.3">
      <c r="A1051" s="15" t="s">
        <v>37</v>
      </c>
      <c r="B1051" s="12" t="s">
        <v>30</v>
      </c>
      <c r="C1051" s="12" t="s">
        <v>33</v>
      </c>
      <c r="D1051" s="6">
        <f t="shared" si="38"/>
        <v>21</v>
      </c>
      <c r="E1051">
        <v>36</v>
      </c>
      <c r="F1051" s="6">
        <f>VLOOKUP($E1051,Sheet3!$B$3:$D$54,2,0)</f>
        <v>9</v>
      </c>
      <c r="G1051" s="6">
        <f>VLOOKUP($E1051,Sheet3!$B$3:$G$54,3,0)</f>
        <v>0</v>
      </c>
      <c r="H1051" s="5">
        <f>VLOOKUP($A1051,Sheet3!$I$3:$J$38,2,0)</f>
        <v>17.47</v>
      </c>
      <c r="I1051" s="6">
        <f>VLOOKUP($E1051,Sheet3!$B$3:$G$54,5,0)</f>
        <v>121666</v>
      </c>
      <c r="J1051" s="5">
        <f>VLOOKUP($E1051,Sheet3!$B$3:$G$54,4,0)</f>
        <v>4.5</v>
      </c>
      <c r="K1051" s="5">
        <f>VLOOKUP($E1051,Sheet3!$B$3:$G$54,6,0)</f>
        <v>0.7</v>
      </c>
      <c r="L1051">
        <v>1975</v>
      </c>
      <c r="M1051">
        <v>1840</v>
      </c>
      <c r="N1051">
        <v>15</v>
      </c>
      <c r="O1051" s="14">
        <f t="shared" si="37"/>
        <v>0.93164556962025313</v>
      </c>
    </row>
    <row r="1052" spans="1:15" x14ac:dyDescent="0.3">
      <c r="A1052" s="15" t="s">
        <v>37</v>
      </c>
      <c r="B1052" s="12" t="s">
        <v>30</v>
      </c>
      <c r="C1052" s="12" t="s">
        <v>33</v>
      </c>
      <c r="D1052" s="6">
        <f t="shared" si="38"/>
        <v>21</v>
      </c>
      <c r="E1052">
        <v>37</v>
      </c>
      <c r="F1052" s="6">
        <f>VLOOKUP($E1052,Sheet3!$B$3:$D$54,2,0)</f>
        <v>9</v>
      </c>
      <c r="G1052" s="6">
        <f>VLOOKUP($E1052,Sheet3!$B$3:$G$54,3,0)</f>
        <v>0</v>
      </c>
      <c r="H1052" s="5">
        <f>VLOOKUP($A1052,Sheet3!$I$3:$J$38,2,0)</f>
        <v>17.47</v>
      </c>
      <c r="I1052" s="6">
        <f>VLOOKUP($E1052,Sheet3!$B$3:$G$54,5,0)</f>
        <v>121666</v>
      </c>
      <c r="J1052" s="5">
        <f>VLOOKUP($E1052,Sheet3!$B$3:$G$54,4,0)</f>
        <v>4.5</v>
      </c>
      <c r="K1052" s="5">
        <f>VLOOKUP($E1052,Sheet3!$B$3:$G$54,6,0)</f>
        <v>0.7</v>
      </c>
      <c r="L1052">
        <v>1975</v>
      </c>
      <c r="M1052">
        <v>0</v>
      </c>
      <c r="N1052">
        <v>16</v>
      </c>
      <c r="O1052" s="14">
        <f t="shared" si="37"/>
        <v>0</v>
      </c>
    </row>
    <row r="1053" spans="1:15" x14ac:dyDescent="0.3">
      <c r="A1053" s="15" t="s">
        <v>37</v>
      </c>
      <c r="B1053" s="12" t="s">
        <v>30</v>
      </c>
      <c r="C1053" s="12" t="s">
        <v>33</v>
      </c>
      <c r="D1053" s="6">
        <f t="shared" si="38"/>
        <v>21</v>
      </c>
      <c r="E1053">
        <v>38</v>
      </c>
      <c r="F1053" s="6">
        <f>VLOOKUP($E1053,Sheet3!$B$3:$D$54,2,0)</f>
        <v>9</v>
      </c>
      <c r="G1053" s="6">
        <f>VLOOKUP($E1053,Sheet3!$B$3:$G$54,3,0)</f>
        <v>0</v>
      </c>
      <c r="H1053" s="5">
        <f>VLOOKUP($A1053,Sheet3!$I$3:$J$38,2,0)</f>
        <v>17.47</v>
      </c>
      <c r="I1053" s="6">
        <f>VLOOKUP($E1053,Sheet3!$B$3:$G$54,5,0)</f>
        <v>121666</v>
      </c>
      <c r="J1053" s="5">
        <f>VLOOKUP($E1053,Sheet3!$B$3:$G$54,4,0)</f>
        <v>3.9</v>
      </c>
      <c r="K1053" s="5">
        <f>VLOOKUP($E1053,Sheet3!$B$3:$G$54,6,0)</f>
        <v>0.7</v>
      </c>
      <c r="L1053">
        <v>1975</v>
      </c>
      <c r="M1053">
        <v>640</v>
      </c>
      <c r="N1053">
        <v>17</v>
      </c>
      <c r="O1053" s="14">
        <f t="shared" si="37"/>
        <v>0.32405063291139241</v>
      </c>
    </row>
    <row r="1054" spans="1:15" x14ac:dyDescent="0.3">
      <c r="A1054" s="15" t="s">
        <v>37</v>
      </c>
      <c r="B1054" s="12" t="s">
        <v>30</v>
      </c>
      <c r="C1054" s="12" t="s">
        <v>33</v>
      </c>
      <c r="D1054" s="6">
        <f t="shared" si="38"/>
        <v>21</v>
      </c>
      <c r="E1054">
        <v>39</v>
      </c>
      <c r="F1054" s="6">
        <f>VLOOKUP($E1054,Sheet3!$B$3:$D$54,2,0)</f>
        <v>9</v>
      </c>
      <c r="G1054" s="6">
        <f>VLOOKUP($E1054,Sheet3!$B$3:$G$54,3,0)</f>
        <v>0</v>
      </c>
      <c r="H1054" s="5">
        <f>VLOOKUP($A1054,Sheet3!$I$3:$J$38,2,0)</f>
        <v>17.47</v>
      </c>
      <c r="I1054" s="6">
        <f>VLOOKUP($E1054,Sheet3!$B$3:$G$54,5,0)</f>
        <v>121666</v>
      </c>
      <c r="J1054" s="5">
        <f>VLOOKUP($E1054,Sheet3!$B$3:$G$54,4,0)</f>
        <v>3.9</v>
      </c>
      <c r="K1054" s="5">
        <f>VLOOKUP($E1054,Sheet3!$B$3:$G$54,6,0)</f>
        <v>0.7</v>
      </c>
      <c r="L1054">
        <v>1975</v>
      </c>
      <c r="M1054">
        <v>240</v>
      </c>
      <c r="N1054">
        <v>18</v>
      </c>
      <c r="O1054" s="14">
        <f t="shared" si="37"/>
        <v>0.12151898734177215</v>
      </c>
    </row>
    <row r="1055" spans="1:15" x14ac:dyDescent="0.3">
      <c r="A1055" s="15" t="s">
        <v>37</v>
      </c>
      <c r="B1055" s="12" t="s">
        <v>30</v>
      </c>
      <c r="C1055" s="12" t="s">
        <v>33</v>
      </c>
      <c r="D1055" s="6">
        <f t="shared" si="38"/>
        <v>21</v>
      </c>
      <c r="E1055">
        <v>40</v>
      </c>
      <c r="F1055" s="6">
        <f>VLOOKUP($E1055,Sheet3!$B$3:$D$54,2,0)</f>
        <v>9</v>
      </c>
      <c r="G1055" s="6">
        <f>VLOOKUP($E1055,Sheet3!$B$3:$G$54,3,0)</f>
        <v>0</v>
      </c>
      <c r="H1055" s="5">
        <f>VLOOKUP($A1055,Sheet3!$I$3:$J$38,2,0)</f>
        <v>17.47</v>
      </c>
      <c r="I1055" s="6">
        <f>VLOOKUP($E1055,Sheet3!$B$3:$G$54,5,0)</f>
        <v>121666</v>
      </c>
      <c r="J1055" s="5">
        <f>VLOOKUP($E1055,Sheet3!$B$3:$G$54,4,0)</f>
        <v>3.9</v>
      </c>
      <c r="K1055" s="5">
        <f>VLOOKUP($E1055,Sheet3!$B$3:$G$54,6,0)</f>
        <v>0.7</v>
      </c>
      <c r="L1055">
        <v>560</v>
      </c>
      <c r="M1055">
        <v>1120</v>
      </c>
      <c r="N1055">
        <v>19</v>
      </c>
      <c r="O1055" s="14">
        <f t="shared" si="37"/>
        <v>2</v>
      </c>
    </row>
    <row r="1056" spans="1:15" x14ac:dyDescent="0.3">
      <c r="A1056" s="15" t="s">
        <v>37</v>
      </c>
      <c r="B1056" s="12" t="s">
        <v>30</v>
      </c>
      <c r="C1056" s="12" t="s">
        <v>33</v>
      </c>
      <c r="D1056" s="6">
        <f t="shared" si="38"/>
        <v>21</v>
      </c>
      <c r="E1056">
        <v>41</v>
      </c>
      <c r="F1056" s="6">
        <f>VLOOKUP($E1056,Sheet3!$B$3:$D$54,2,0)</f>
        <v>10</v>
      </c>
      <c r="G1056" s="6">
        <f>VLOOKUP($E1056,Sheet3!$B$3:$G$54,3,0)</f>
        <v>0</v>
      </c>
      <c r="H1056" s="5">
        <f>VLOOKUP($A1056,Sheet3!$I$3:$J$38,2,0)</f>
        <v>17.47</v>
      </c>
      <c r="I1056" s="6">
        <f>VLOOKUP($E1056,Sheet3!$B$3:$G$54,5,0)</f>
        <v>126488</v>
      </c>
      <c r="J1056" s="5">
        <f>VLOOKUP($E1056,Sheet3!$B$3:$G$54,4,0)</f>
        <v>3.9</v>
      </c>
      <c r="K1056" s="5">
        <f>VLOOKUP($E1056,Sheet3!$B$3:$G$54,6,0)</f>
        <v>0.9</v>
      </c>
      <c r="L1056">
        <v>560</v>
      </c>
      <c r="M1056">
        <v>960</v>
      </c>
      <c r="N1056">
        <v>20</v>
      </c>
      <c r="O1056" s="14">
        <f t="shared" si="37"/>
        <v>1.7142857142857142</v>
      </c>
    </row>
    <row r="1057" spans="1:15" x14ac:dyDescent="0.3">
      <c r="A1057" s="15" t="s">
        <v>37</v>
      </c>
      <c r="B1057" s="12" t="s">
        <v>30</v>
      </c>
      <c r="C1057" s="12" t="s">
        <v>33</v>
      </c>
      <c r="D1057" s="6">
        <f t="shared" si="38"/>
        <v>21</v>
      </c>
      <c r="E1057">
        <v>42</v>
      </c>
      <c r="F1057" s="6">
        <f>VLOOKUP($E1057,Sheet3!$B$3:$D$54,2,0)</f>
        <v>10</v>
      </c>
      <c r="G1057" s="6">
        <f>VLOOKUP($E1057,Sheet3!$B$3:$G$54,3,0)</f>
        <v>0</v>
      </c>
      <c r="H1057" s="5">
        <f>VLOOKUP($A1057,Sheet3!$I$3:$J$38,2,0)</f>
        <v>17.47</v>
      </c>
      <c r="I1057" s="6">
        <f>VLOOKUP($E1057,Sheet3!$B$3:$G$54,5,0)</f>
        <v>126488</v>
      </c>
      <c r="J1057" s="5">
        <f>VLOOKUP($E1057,Sheet3!$B$3:$G$54,4,0)</f>
        <v>3.9</v>
      </c>
      <c r="K1057" s="5">
        <f>VLOOKUP($E1057,Sheet3!$B$3:$G$54,6,0)</f>
        <v>0.9</v>
      </c>
      <c r="L1057">
        <v>560</v>
      </c>
      <c r="M1057">
        <v>1520</v>
      </c>
      <c r="N1057">
        <v>21</v>
      </c>
      <c r="O1057" s="14">
        <f t="shared" si="37"/>
        <v>2.7142857142857144</v>
      </c>
    </row>
    <row r="1058" spans="1:15" x14ac:dyDescent="0.3">
      <c r="A1058" s="15" t="s">
        <v>37</v>
      </c>
      <c r="B1058" s="12" t="s">
        <v>30</v>
      </c>
      <c r="C1058" s="12" t="s">
        <v>33</v>
      </c>
      <c r="D1058" s="6">
        <f t="shared" si="38"/>
        <v>21</v>
      </c>
      <c r="E1058">
        <v>43</v>
      </c>
      <c r="F1058" s="6">
        <f>VLOOKUP($E1058,Sheet3!$B$3:$D$54,2,0)</f>
        <v>10</v>
      </c>
      <c r="G1058" s="6">
        <f>VLOOKUP($E1058,Sheet3!$B$3:$G$54,3,0)</f>
        <v>0</v>
      </c>
      <c r="H1058" s="5">
        <f>VLOOKUP($A1058,Sheet3!$I$3:$J$38,2,0)</f>
        <v>17.47</v>
      </c>
      <c r="I1058" s="6">
        <f>VLOOKUP($E1058,Sheet3!$B$3:$G$54,5,0)</f>
        <v>126488</v>
      </c>
      <c r="J1058" s="5">
        <f>VLOOKUP($E1058,Sheet3!$B$3:$G$54,4,0)</f>
        <v>3.65</v>
      </c>
      <c r="K1058" s="5">
        <f>VLOOKUP($E1058,Sheet3!$B$3:$G$54,6,0)</f>
        <v>0.9</v>
      </c>
      <c r="L1058">
        <v>560</v>
      </c>
      <c r="M1058">
        <v>0</v>
      </c>
      <c r="N1058">
        <v>22</v>
      </c>
      <c r="O1058" s="14">
        <f t="shared" si="37"/>
        <v>0</v>
      </c>
    </row>
    <row r="1059" spans="1:15" x14ac:dyDescent="0.3">
      <c r="A1059" s="15" t="s">
        <v>37</v>
      </c>
      <c r="B1059" s="12" t="s">
        <v>30</v>
      </c>
      <c r="C1059" s="12" t="s">
        <v>33</v>
      </c>
      <c r="D1059" s="6">
        <f t="shared" si="38"/>
        <v>21</v>
      </c>
      <c r="E1059">
        <v>44</v>
      </c>
      <c r="F1059" s="6">
        <f>VLOOKUP($E1059,Sheet3!$B$3:$D$54,2,0)</f>
        <v>10</v>
      </c>
      <c r="G1059" s="6">
        <f>VLOOKUP($E1059,Sheet3!$B$3:$G$54,3,0)</f>
        <v>1</v>
      </c>
      <c r="H1059" s="5">
        <f>VLOOKUP($A1059,Sheet3!$I$3:$J$38,2,0)</f>
        <v>17.47</v>
      </c>
      <c r="I1059" s="6">
        <f>VLOOKUP($E1059,Sheet3!$B$3:$G$54,5,0)</f>
        <v>126488</v>
      </c>
      <c r="J1059" s="5">
        <f>VLOOKUP($E1059,Sheet3!$B$3:$G$54,4,0)</f>
        <v>3.65</v>
      </c>
      <c r="K1059" s="5">
        <f>VLOOKUP($E1059,Sheet3!$B$3:$G$54,6,0)</f>
        <v>0.9</v>
      </c>
      <c r="L1059">
        <v>1460</v>
      </c>
      <c r="M1059">
        <v>1600</v>
      </c>
      <c r="N1059">
        <v>23</v>
      </c>
      <c r="O1059" s="14">
        <f t="shared" si="37"/>
        <v>1.095890410958904</v>
      </c>
    </row>
    <row r="1060" spans="1:15" x14ac:dyDescent="0.3">
      <c r="A1060" s="15" t="s">
        <v>37</v>
      </c>
      <c r="B1060" s="12" t="s">
        <v>30</v>
      </c>
      <c r="C1060" s="12" t="s">
        <v>33</v>
      </c>
      <c r="D1060" s="6">
        <f t="shared" si="38"/>
        <v>22</v>
      </c>
      <c r="E1060">
        <v>45</v>
      </c>
      <c r="F1060" s="6">
        <f>VLOOKUP($E1060,Sheet3!$B$3:$D$54,2,0)</f>
        <v>11</v>
      </c>
      <c r="G1060" s="6">
        <f>VLOOKUP($E1060,Sheet3!$B$3:$G$54,3,0)</f>
        <v>0</v>
      </c>
      <c r="H1060" s="5">
        <f>VLOOKUP($A1060,Sheet3!$I$3:$J$38,2,0)</f>
        <v>17.47</v>
      </c>
      <c r="I1060" s="6">
        <f>VLOOKUP($E1060,Sheet3!$B$3:$G$54,5,0)</f>
        <v>124251</v>
      </c>
      <c r="J1060" s="5">
        <f>VLOOKUP($E1060,Sheet3!$B$3:$G$54,4,0)</f>
        <v>3.65</v>
      </c>
      <c r="K1060" s="5">
        <f>VLOOKUP($E1060,Sheet3!$B$3:$G$54,6,0)</f>
        <v>1.3</v>
      </c>
      <c r="L1060">
        <v>1460</v>
      </c>
      <c r="M1060">
        <v>400</v>
      </c>
      <c r="N1060">
        <v>23</v>
      </c>
      <c r="O1060" s="14">
        <f t="shared" si="37"/>
        <v>0.27397260273972601</v>
      </c>
    </row>
    <row r="1061" spans="1:15" x14ac:dyDescent="0.3">
      <c r="A1061" s="15" t="s">
        <v>37</v>
      </c>
      <c r="B1061" s="12" t="s">
        <v>30</v>
      </c>
      <c r="C1061" s="12" t="s">
        <v>33</v>
      </c>
      <c r="D1061" s="6">
        <f t="shared" si="38"/>
        <v>22</v>
      </c>
      <c r="E1061">
        <v>46</v>
      </c>
      <c r="F1061" s="6">
        <f>VLOOKUP($E1061,Sheet3!$B$3:$D$54,2,0)</f>
        <v>11</v>
      </c>
      <c r="G1061" s="6">
        <f>VLOOKUP($E1061,Sheet3!$B$3:$G$54,3,0)</f>
        <v>0</v>
      </c>
      <c r="H1061" s="5">
        <f>VLOOKUP($A1061,Sheet3!$I$3:$J$38,2,0)</f>
        <v>17.47</v>
      </c>
      <c r="I1061" s="6">
        <f>VLOOKUP($E1061,Sheet3!$B$3:$G$54,5,0)</f>
        <v>124251</v>
      </c>
      <c r="J1061" s="5">
        <f>VLOOKUP($E1061,Sheet3!$B$3:$G$54,4,0)</f>
        <v>3.65</v>
      </c>
      <c r="K1061" s="5">
        <f>VLOOKUP($E1061,Sheet3!$B$3:$G$54,6,0)</f>
        <v>1.3</v>
      </c>
      <c r="L1061">
        <v>1460</v>
      </c>
      <c r="M1061">
        <v>4240</v>
      </c>
      <c r="N1061">
        <v>24</v>
      </c>
      <c r="O1061" s="14">
        <f t="shared" si="37"/>
        <v>2.904109589041096</v>
      </c>
    </row>
    <row r="1062" spans="1:15" x14ac:dyDescent="0.3">
      <c r="A1062" s="15" t="s">
        <v>37</v>
      </c>
      <c r="B1062" s="12" t="s">
        <v>30</v>
      </c>
      <c r="C1062" s="12" t="s">
        <v>33</v>
      </c>
      <c r="D1062" s="6">
        <f t="shared" si="38"/>
        <v>22</v>
      </c>
      <c r="E1062">
        <v>47</v>
      </c>
      <c r="F1062" s="6">
        <f>VLOOKUP($E1062,Sheet3!$B$3:$D$54,2,0)</f>
        <v>11</v>
      </c>
      <c r="G1062" s="6">
        <f>VLOOKUP($E1062,Sheet3!$B$3:$G$54,3,0)</f>
        <v>0</v>
      </c>
      <c r="H1062" s="5">
        <f>VLOOKUP($A1062,Sheet3!$I$3:$J$38,2,0)</f>
        <v>17.47</v>
      </c>
      <c r="I1062" s="6">
        <f>VLOOKUP($E1062,Sheet3!$B$3:$G$54,5,0)</f>
        <v>124251</v>
      </c>
      <c r="J1062" s="5">
        <f>VLOOKUP($E1062,Sheet3!$B$3:$G$54,4,0)</f>
        <v>3.65</v>
      </c>
      <c r="K1062" s="5">
        <f>VLOOKUP($E1062,Sheet3!$B$3:$G$54,6,0)</f>
        <v>1.3</v>
      </c>
      <c r="L1062">
        <v>1460</v>
      </c>
      <c r="M1062">
        <v>0</v>
      </c>
      <c r="N1062">
        <v>25</v>
      </c>
      <c r="O1062" s="14">
        <f t="shared" si="37"/>
        <v>0</v>
      </c>
    </row>
    <row r="1063" spans="1:15" x14ac:dyDescent="0.3">
      <c r="A1063" s="15" t="s">
        <v>37</v>
      </c>
      <c r="B1063" s="12" t="s">
        <v>30</v>
      </c>
      <c r="C1063" s="12" t="s">
        <v>33</v>
      </c>
      <c r="D1063" s="6">
        <f t="shared" si="38"/>
        <v>26</v>
      </c>
      <c r="E1063">
        <v>48</v>
      </c>
      <c r="F1063" s="6">
        <f>VLOOKUP($E1063,Sheet3!$B$3:$D$54,2,0)</f>
        <v>11</v>
      </c>
      <c r="G1063" s="6">
        <f>VLOOKUP($E1063,Sheet3!$B$3:$G$54,3,0)</f>
        <v>0</v>
      </c>
      <c r="H1063" s="5">
        <f>VLOOKUP($A1063,Sheet3!$I$3:$J$38,2,0)</f>
        <v>17.47</v>
      </c>
      <c r="I1063" s="6">
        <f>VLOOKUP($E1063,Sheet3!$B$3:$G$54,5,0)</f>
        <v>124251</v>
      </c>
      <c r="J1063" s="5">
        <f>VLOOKUP($E1063,Sheet3!$B$3:$G$54,4,0)</f>
        <v>3.65</v>
      </c>
      <c r="K1063" s="5">
        <f>VLOOKUP($E1063,Sheet3!$B$3:$G$54,6,0)</f>
        <v>1.3</v>
      </c>
      <c r="L1063">
        <v>672</v>
      </c>
      <c r="M1063">
        <v>0</v>
      </c>
      <c r="N1063">
        <v>22</v>
      </c>
      <c r="O1063" s="14">
        <f t="shared" si="37"/>
        <v>0</v>
      </c>
    </row>
    <row r="1064" spans="1:15" x14ac:dyDescent="0.3">
      <c r="A1064" s="15" t="s">
        <v>37</v>
      </c>
      <c r="B1064" s="12" t="s">
        <v>30</v>
      </c>
      <c r="C1064" s="12" t="s">
        <v>33</v>
      </c>
      <c r="D1064" s="6">
        <f t="shared" si="38"/>
        <v>26</v>
      </c>
      <c r="E1064">
        <v>49</v>
      </c>
      <c r="F1064" s="6">
        <f>VLOOKUP($E1064,Sheet3!$B$3:$D$54,2,0)</f>
        <v>12</v>
      </c>
      <c r="G1064" s="6">
        <f>VLOOKUP($E1064,Sheet3!$B$3:$G$54,3,0)</f>
        <v>1</v>
      </c>
      <c r="H1064" s="5">
        <f>VLOOKUP($A1064,Sheet3!$I$3:$J$38,2,0)</f>
        <v>17.47</v>
      </c>
      <c r="I1064" s="6">
        <f>VLOOKUP($E1064,Sheet3!$B$3:$G$54,5,0)</f>
        <v>105715</v>
      </c>
      <c r="J1064" s="5">
        <f>VLOOKUP($E1064,Sheet3!$B$3:$G$54,4,0)</f>
        <v>3.65</v>
      </c>
      <c r="K1064" s="5">
        <f>VLOOKUP($E1064,Sheet3!$B$3:$G$54,6,0)</f>
        <v>1.3</v>
      </c>
      <c r="L1064">
        <v>672</v>
      </c>
      <c r="M1064">
        <v>1040</v>
      </c>
      <c r="N1064">
        <v>23</v>
      </c>
      <c r="O1064" s="14">
        <f t="shared" si="37"/>
        <v>1.5476190476190477</v>
      </c>
    </row>
    <row r="1065" spans="1:15" x14ac:dyDescent="0.3">
      <c r="A1065" s="15" t="s">
        <v>37</v>
      </c>
      <c r="B1065" s="12" t="s">
        <v>30</v>
      </c>
      <c r="C1065" s="12" t="s">
        <v>33</v>
      </c>
      <c r="D1065" s="6">
        <f t="shared" si="38"/>
        <v>25</v>
      </c>
      <c r="E1065">
        <v>50</v>
      </c>
      <c r="F1065" s="6">
        <f>VLOOKUP($E1065,Sheet3!$B$3:$D$54,2,0)</f>
        <v>12</v>
      </c>
      <c r="G1065" s="6">
        <f>VLOOKUP($E1065,Sheet3!$B$3:$G$54,3,0)</f>
        <v>0</v>
      </c>
      <c r="H1065" s="5">
        <f>VLOOKUP($A1065,Sheet3!$I$3:$J$38,2,0)</f>
        <v>17.47</v>
      </c>
      <c r="I1065" s="6">
        <f>VLOOKUP($E1065,Sheet3!$B$3:$G$54,5,0)</f>
        <v>105715</v>
      </c>
      <c r="J1065" s="5">
        <f>VLOOKUP($E1065,Sheet3!$B$3:$G$54,4,0)</f>
        <v>3.4</v>
      </c>
      <c r="K1065" s="5">
        <f>VLOOKUP($E1065,Sheet3!$B$3:$G$54,6,0)</f>
        <v>1.3</v>
      </c>
      <c r="L1065">
        <v>672</v>
      </c>
      <c r="M1065">
        <v>2560</v>
      </c>
      <c r="N1065">
        <v>25</v>
      </c>
      <c r="O1065" s="14">
        <f t="shared" si="37"/>
        <v>3.8095238095238093</v>
      </c>
    </row>
    <row r="1066" spans="1:15" x14ac:dyDescent="0.3">
      <c r="A1066" s="15" t="s">
        <v>37</v>
      </c>
      <c r="B1066" s="12" t="s">
        <v>30</v>
      </c>
      <c r="C1066" s="12" t="s">
        <v>33</v>
      </c>
      <c r="D1066" s="6">
        <f t="shared" si="38"/>
        <v>25</v>
      </c>
      <c r="E1066">
        <v>51</v>
      </c>
      <c r="F1066" s="6">
        <f>VLOOKUP($E1066,Sheet3!$B$3:$D$54,2,0)</f>
        <v>12</v>
      </c>
      <c r="G1066" s="6">
        <f>VLOOKUP($E1066,Sheet3!$B$3:$G$54,3,0)</f>
        <v>0</v>
      </c>
      <c r="H1066" s="5">
        <f>VLOOKUP($A1066,Sheet3!$I$3:$J$38,2,0)</f>
        <v>17.47</v>
      </c>
      <c r="I1066" s="6">
        <f>VLOOKUP($E1066,Sheet3!$B$3:$G$54,5,0)</f>
        <v>105715</v>
      </c>
      <c r="J1066" s="5">
        <f>VLOOKUP($E1066,Sheet3!$B$3:$G$54,4,0)</f>
        <v>3.4</v>
      </c>
      <c r="K1066" s="5">
        <f>VLOOKUP($E1066,Sheet3!$B$3:$G$54,6,0)</f>
        <v>1.3</v>
      </c>
      <c r="L1066">
        <v>672</v>
      </c>
      <c r="M1066">
        <v>0</v>
      </c>
      <c r="N1066">
        <v>26</v>
      </c>
      <c r="O1066" s="14">
        <f t="shared" si="37"/>
        <v>0</v>
      </c>
    </row>
    <row r="1067" spans="1:15" x14ac:dyDescent="0.3">
      <c r="A1067" s="15" t="s">
        <v>37</v>
      </c>
      <c r="B1067" s="12" t="s">
        <v>30</v>
      </c>
      <c r="C1067" s="12" t="s">
        <v>33</v>
      </c>
      <c r="D1067" s="6">
        <f t="shared" si="38"/>
        <v>26</v>
      </c>
      <c r="E1067">
        <v>52</v>
      </c>
      <c r="F1067" s="6">
        <f>VLOOKUP($E1067,Sheet3!$B$3:$D$54,2,0)</f>
        <v>12</v>
      </c>
      <c r="G1067" s="6">
        <f>VLOOKUP($E1067,Sheet3!$B$3:$G$54,3,0)</f>
        <v>1</v>
      </c>
      <c r="H1067" s="5">
        <f>VLOOKUP($A1067,Sheet3!$I$3:$J$38,2,0)</f>
        <v>17.47</v>
      </c>
      <c r="I1067" s="6">
        <f>VLOOKUP($E1067,Sheet3!$B$3:$G$54,5,0)</f>
        <v>105715</v>
      </c>
      <c r="J1067" s="5">
        <f>VLOOKUP($E1067,Sheet3!$B$3:$G$54,4,0)</f>
        <v>3.4</v>
      </c>
      <c r="K1067" s="5">
        <f>VLOOKUP($E1067,Sheet3!$B$3:$G$54,6,0)</f>
        <v>1.3</v>
      </c>
      <c r="L1067">
        <v>672</v>
      </c>
      <c r="M1067">
        <v>0</v>
      </c>
      <c r="N1067">
        <v>26</v>
      </c>
      <c r="O1067" s="14">
        <f t="shared" si="37"/>
        <v>0</v>
      </c>
    </row>
    <row r="1068" spans="1:15" x14ac:dyDescent="0.3">
      <c r="A1068" s="15" t="s">
        <v>37</v>
      </c>
      <c r="B1068" s="12" t="s">
        <v>30</v>
      </c>
      <c r="C1068" s="12" t="s">
        <v>33</v>
      </c>
      <c r="D1068" s="6">
        <f t="shared" si="38"/>
        <v>28</v>
      </c>
      <c r="E1068">
        <v>1</v>
      </c>
      <c r="F1068" s="6">
        <f>VLOOKUP($E1068,Sheet3!$B$3:$D$54,2,0)</f>
        <v>12</v>
      </c>
      <c r="G1068" s="6">
        <f>VLOOKUP($E1068,Sheet3!$B$3:$G$54,3,0)</f>
        <v>1</v>
      </c>
      <c r="H1068" s="5">
        <f>VLOOKUP($A1068,Sheet3!$I$3:$J$38,2,0)</f>
        <v>17.47</v>
      </c>
      <c r="I1068" s="6">
        <f>VLOOKUP($E1068,Sheet3!$B$3:$G$54,5,0)</f>
        <v>105715</v>
      </c>
      <c r="J1068" s="5">
        <f>VLOOKUP($E1068,Sheet3!$B$3:$G$54,4,0)</f>
        <v>3.4</v>
      </c>
      <c r="K1068" s="5">
        <f>VLOOKUP($E1068,Sheet3!$B$3:$G$54,6,0)</f>
        <v>1.3</v>
      </c>
      <c r="L1068">
        <v>1120</v>
      </c>
      <c r="M1068">
        <v>3200</v>
      </c>
      <c r="N1068">
        <v>25</v>
      </c>
      <c r="O1068" s="14">
        <f t="shared" si="37"/>
        <v>2.8571428571428572</v>
      </c>
    </row>
    <row r="1069" spans="1:15" x14ac:dyDescent="0.3">
      <c r="A1069" s="15" t="s">
        <v>37</v>
      </c>
      <c r="B1069" s="12" t="s">
        <v>30</v>
      </c>
      <c r="C1069" s="12" t="s">
        <v>33</v>
      </c>
      <c r="D1069" s="6">
        <f t="shared" si="38"/>
        <v>28</v>
      </c>
      <c r="E1069">
        <v>2</v>
      </c>
      <c r="F1069" s="6">
        <f>VLOOKUP($E1069,Sheet3!$B$3:$D$54,2,0)</f>
        <v>1</v>
      </c>
      <c r="G1069" s="6">
        <f>VLOOKUP($E1069,Sheet3!$B$3:$G$54,3,0)</f>
        <v>1</v>
      </c>
      <c r="H1069" s="5">
        <f>VLOOKUP($A1069,Sheet3!$I$3:$J$38,2,0)</f>
        <v>17.47</v>
      </c>
      <c r="I1069" s="6">
        <f>VLOOKUP($E1069,Sheet3!$B$3:$G$54,5,0)</f>
        <v>133692</v>
      </c>
      <c r="J1069" s="5">
        <f>VLOOKUP($E1069,Sheet3!$B$3:$G$54,4,0)</f>
        <v>3.4</v>
      </c>
      <c r="K1069" s="5">
        <f>VLOOKUP($E1069,Sheet3!$B$3:$G$54,6,0)</f>
        <v>1.5</v>
      </c>
      <c r="L1069">
        <v>1120</v>
      </c>
      <c r="M1069">
        <v>1200</v>
      </c>
      <c r="N1069">
        <v>26</v>
      </c>
      <c r="O1069" s="14">
        <f t="shared" si="37"/>
        <v>1.0714285714285714</v>
      </c>
    </row>
    <row r="1070" spans="1:15" x14ac:dyDescent="0.3">
      <c r="A1070" s="15" t="s">
        <v>37</v>
      </c>
      <c r="B1070" s="12" t="s">
        <v>30</v>
      </c>
      <c r="C1070" s="12" t="s">
        <v>33</v>
      </c>
      <c r="D1070" s="6">
        <f t="shared" si="38"/>
        <v>29</v>
      </c>
      <c r="E1070">
        <v>3</v>
      </c>
      <c r="F1070" s="6">
        <f>VLOOKUP($E1070,Sheet3!$B$3:$D$54,2,0)</f>
        <v>1</v>
      </c>
      <c r="G1070" s="6">
        <f>VLOOKUP($E1070,Sheet3!$B$3:$G$54,3,0)</f>
        <v>0</v>
      </c>
      <c r="H1070" s="5">
        <f>VLOOKUP($A1070,Sheet3!$I$3:$J$38,2,0)</f>
        <v>17.47</v>
      </c>
      <c r="I1070" s="6">
        <f>VLOOKUP($E1070,Sheet3!$B$3:$G$54,5,0)</f>
        <v>133692</v>
      </c>
      <c r="J1070" s="5">
        <f>VLOOKUP($E1070,Sheet3!$B$3:$G$54,4,0)</f>
        <v>3.4</v>
      </c>
      <c r="K1070" s="5">
        <f>VLOOKUP($E1070,Sheet3!$B$3:$G$54,6,0)</f>
        <v>1.5</v>
      </c>
      <c r="L1070">
        <v>1120</v>
      </c>
      <c r="M1070">
        <v>2720</v>
      </c>
      <c r="N1070">
        <v>26</v>
      </c>
      <c r="O1070" s="14">
        <f t="shared" ref="O1070:O1093" si="39">M1070/L1070</f>
        <v>2.4285714285714284</v>
      </c>
    </row>
    <row r="1071" spans="1:15" x14ac:dyDescent="0.3">
      <c r="A1071" s="15" t="s">
        <v>37</v>
      </c>
      <c r="B1071" s="12" t="s">
        <v>30</v>
      </c>
      <c r="C1071" s="12" t="s">
        <v>33</v>
      </c>
      <c r="D1071" s="6">
        <f t="shared" si="38"/>
        <v>29</v>
      </c>
      <c r="E1071">
        <v>4</v>
      </c>
      <c r="F1071" s="6">
        <f>VLOOKUP($E1071,Sheet3!$B$3:$D$54,2,0)</f>
        <v>1</v>
      </c>
      <c r="G1071" s="6">
        <f>VLOOKUP($E1071,Sheet3!$B$3:$G$54,3,0)</f>
        <v>0</v>
      </c>
      <c r="H1071" s="5">
        <f>VLOOKUP($A1071,Sheet3!$I$3:$J$38,2,0)</f>
        <v>17.47</v>
      </c>
      <c r="I1071" s="6">
        <f>VLOOKUP($E1071,Sheet3!$B$3:$G$54,5,0)</f>
        <v>133692</v>
      </c>
      <c r="J1071" s="5">
        <f>VLOOKUP($E1071,Sheet3!$B$3:$G$54,4,0)</f>
        <v>3.4</v>
      </c>
      <c r="K1071" s="5">
        <f>VLOOKUP($E1071,Sheet3!$B$3:$G$54,6,0)</f>
        <v>1.5</v>
      </c>
      <c r="L1071">
        <v>1120</v>
      </c>
      <c r="M1071">
        <v>80</v>
      </c>
      <c r="N1071">
        <v>27</v>
      </c>
      <c r="O1071" s="14">
        <f t="shared" si="39"/>
        <v>7.1428571428571425E-2</v>
      </c>
    </row>
    <row r="1072" spans="1:15" x14ac:dyDescent="0.3">
      <c r="A1072" s="15" t="s">
        <v>37</v>
      </c>
      <c r="B1072" s="12" t="s">
        <v>30</v>
      </c>
      <c r="C1072" s="12" t="s">
        <v>33</v>
      </c>
      <c r="D1072" s="6">
        <f t="shared" si="38"/>
        <v>37</v>
      </c>
      <c r="E1072">
        <v>5</v>
      </c>
      <c r="F1072" s="6">
        <f>VLOOKUP($E1072,Sheet3!$B$3:$D$54,2,0)</f>
        <v>1</v>
      </c>
      <c r="G1072" s="6">
        <f>VLOOKUP($E1072,Sheet3!$B$3:$G$54,3,0)</f>
        <v>0</v>
      </c>
      <c r="H1072" s="5">
        <f>VLOOKUP($A1072,Sheet3!$I$3:$J$38,2,0)</f>
        <v>17.47</v>
      </c>
      <c r="I1072" s="6">
        <f>VLOOKUP($E1072,Sheet3!$B$3:$G$54,5,0)</f>
        <v>133692</v>
      </c>
      <c r="J1072" s="5">
        <f>VLOOKUP($E1072,Sheet3!$B$3:$G$54,4,0)</f>
        <v>3.4</v>
      </c>
      <c r="K1072" s="5">
        <f>VLOOKUP($E1072,Sheet3!$B$3:$G$54,6,0)</f>
        <v>1.5</v>
      </c>
      <c r="L1072">
        <v>1220</v>
      </c>
      <c r="M1072">
        <v>2880</v>
      </c>
      <c r="N1072">
        <v>20</v>
      </c>
      <c r="O1072" s="14">
        <f t="shared" si="39"/>
        <v>2.360655737704918</v>
      </c>
    </row>
    <row r="1073" spans="1:15" x14ac:dyDescent="0.3">
      <c r="A1073" s="15" t="s">
        <v>37</v>
      </c>
      <c r="B1073" s="12" t="s">
        <v>30</v>
      </c>
      <c r="C1073" s="12" t="s">
        <v>33</v>
      </c>
      <c r="D1073" s="6">
        <f t="shared" si="38"/>
        <v>37</v>
      </c>
      <c r="E1073">
        <v>6</v>
      </c>
      <c r="F1073" s="6">
        <f>VLOOKUP($E1073,Sheet3!$B$3:$D$54,2,0)</f>
        <v>2</v>
      </c>
      <c r="G1073" s="6">
        <f>VLOOKUP($E1073,Sheet3!$B$3:$G$54,3,0)</f>
        <v>0</v>
      </c>
      <c r="H1073" s="5">
        <f>VLOOKUP($A1073,Sheet3!$I$3:$J$38,2,0)</f>
        <v>17.47</v>
      </c>
      <c r="I1073" s="6">
        <f>VLOOKUP($E1073,Sheet3!$B$3:$G$54,5,0)</f>
        <v>137922</v>
      </c>
      <c r="J1073" s="5">
        <f>VLOOKUP($E1073,Sheet3!$B$3:$G$54,4,0)</f>
        <v>3.15</v>
      </c>
      <c r="K1073" s="5">
        <f>VLOOKUP($E1073,Sheet3!$B$3:$G$54,6,0)</f>
        <v>1.6</v>
      </c>
      <c r="L1073">
        <v>1220</v>
      </c>
      <c r="M1073">
        <v>0</v>
      </c>
      <c r="N1073">
        <v>21</v>
      </c>
      <c r="O1073" s="14">
        <f t="shared" si="39"/>
        <v>0</v>
      </c>
    </row>
    <row r="1074" spans="1:15" x14ac:dyDescent="0.3">
      <c r="A1074" s="15" t="s">
        <v>37</v>
      </c>
      <c r="B1074" s="12" t="s">
        <v>30</v>
      </c>
      <c r="C1074" s="12" t="s">
        <v>33</v>
      </c>
      <c r="D1074" s="6">
        <f t="shared" si="38"/>
        <v>37</v>
      </c>
      <c r="E1074">
        <v>7</v>
      </c>
      <c r="F1074" s="6">
        <f>VLOOKUP($E1074,Sheet3!$B$3:$D$54,2,0)</f>
        <v>2</v>
      </c>
      <c r="G1074" s="6">
        <f>VLOOKUP($E1074,Sheet3!$B$3:$G$54,3,0)</f>
        <v>0</v>
      </c>
      <c r="H1074" s="5">
        <f>VLOOKUP($A1074,Sheet3!$I$3:$J$38,2,0)</f>
        <v>17.47</v>
      </c>
      <c r="I1074" s="6">
        <f>VLOOKUP($E1074,Sheet3!$B$3:$G$54,5,0)</f>
        <v>137922</v>
      </c>
      <c r="J1074" s="5">
        <f>VLOOKUP($E1074,Sheet3!$B$3:$G$54,4,0)</f>
        <v>3.15</v>
      </c>
      <c r="K1074" s="5">
        <f>VLOOKUP($E1074,Sheet3!$B$3:$G$54,6,0)</f>
        <v>1.6</v>
      </c>
      <c r="L1074">
        <v>1220</v>
      </c>
      <c r="M1074">
        <v>0</v>
      </c>
      <c r="N1074">
        <v>22</v>
      </c>
      <c r="O1074" s="14">
        <f t="shared" si="39"/>
        <v>0</v>
      </c>
    </row>
    <row r="1075" spans="1:15" x14ac:dyDescent="0.3">
      <c r="A1075" s="15" t="s">
        <v>37</v>
      </c>
      <c r="B1075" s="12" t="s">
        <v>30</v>
      </c>
      <c r="C1075" s="12" t="s">
        <v>33</v>
      </c>
      <c r="D1075" s="6">
        <f t="shared" si="38"/>
        <v>37</v>
      </c>
      <c r="E1075">
        <v>8</v>
      </c>
      <c r="F1075" s="6">
        <f>VLOOKUP($E1075,Sheet3!$B$3:$D$54,2,0)</f>
        <v>2</v>
      </c>
      <c r="G1075" s="6">
        <f>VLOOKUP($E1075,Sheet3!$B$3:$G$54,3,0)</f>
        <v>0</v>
      </c>
      <c r="H1075" s="5">
        <f>VLOOKUP($A1075,Sheet3!$I$3:$J$38,2,0)</f>
        <v>17.47</v>
      </c>
      <c r="I1075" s="6">
        <f>VLOOKUP($E1075,Sheet3!$B$3:$G$54,5,0)</f>
        <v>137922</v>
      </c>
      <c r="J1075" s="5">
        <f>VLOOKUP($E1075,Sheet3!$B$3:$G$54,4,0)</f>
        <v>3.15</v>
      </c>
      <c r="K1075" s="5">
        <f>VLOOKUP($E1075,Sheet3!$B$3:$G$54,6,0)</f>
        <v>1.6</v>
      </c>
      <c r="L1075">
        <v>1220</v>
      </c>
      <c r="M1075">
        <v>0</v>
      </c>
      <c r="N1075">
        <v>23</v>
      </c>
      <c r="O1075" s="14">
        <f t="shared" si="39"/>
        <v>0</v>
      </c>
    </row>
    <row r="1076" spans="1:15" x14ac:dyDescent="0.3">
      <c r="A1076" s="15" t="s">
        <v>37</v>
      </c>
      <c r="B1076" s="12" t="s">
        <v>30</v>
      </c>
      <c r="C1076" s="12" t="s">
        <v>33</v>
      </c>
      <c r="D1076" s="6">
        <f t="shared" si="38"/>
        <v>38</v>
      </c>
      <c r="E1076">
        <v>9</v>
      </c>
      <c r="F1076" s="6">
        <f>VLOOKUP($E1076,Sheet3!$B$3:$D$54,2,0)</f>
        <v>2</v>
      </c>
      <c r="G1076" s="6">
        <f>VLOOKUP($E1076,Sheet3!$B$3:$G$54,3,0)</f>
        <v>0</v>
      </c>
      <c r="H1076" s="5">
        <f>VLOOKUP($A1076,Sheet3!$I$3:$J$38,2,0)</f>
        <v>17.47</v>
      </c>
      <c r="I1076" s="6">
        <f>VLOOKUP($E1076,Sheet3!$B$3:$G$54,5,0)</f>
        <v>137922</v>
      </c>
      <c r="J1076" s="5">
        <f>VLOOKUP($E1076,Sheet3!$B$3:$G$54,4,0)</f>
        <v>3.15</v>
      </c>
      <c r="K1076" s="5">
        <f>VLOOKUP($E1076,Sheet3!$B$3:$G$54,6,0)</f>
        <v>1.6</v>
      </c>
      <c r="L1076">
        <v>1264</v>
      </c>
      <c r="M1076">
        <v>0</v>
      </c>
      <c r="N1076">
        <v>23</v>
      </c>
      <c r="O1076" s="14">
        <f t="shared" si="39"/>
        <v>0</v>
      </c>
    </row>
    <row r="1077" spans="1:15" x14ac:dyDescent="0.3">
      <c r="A1077" s="15" t="s">
        <v>37</v>
      </c>
      <c r="B1077" s="12" t="s">
        <v>30</v>
      </c>
      <c r="C1077" s="12" t="s">
        <v>33</v>
      </c>
      <c r="D1077" s="6">
        <f t="shared" si="38"/>
        <v>38</v>
      </c>
      <c r="E1077">
        <v>10</v>
      </c>
      <c r="F1077" s="6">
        <f>VLOOKUP($E1077,Sheet3!$B$3:$D$54,2,0)</f>
        <v>3</v>
      </c>
      <c r="G1077" s="6">
        <f>VLOOKUP($E1077,Sheet3!$B$3:$G$54,3,0)</f>
        <v>0</v>
      </c>
      <c r="H1077" s="5">
        <f>VLOOKUP($A1077,Sheet3!$I$3:$J$38,2,0)</f>
        <v>17.47</v>
      </c>
      <c r="I1077" s="6">
        <f>VLOOKUP($E1077,Sheet3!$B$3:$G$54,5,0)</f>
        <v>172223</v>
      </c>
      <c r="J1077" s="5">
        <f>VLOOKUP($E1077,Sheet3!$B$3:$G$54,4,0)</f>
        <v>3.15</v>
      </c>
      <c r="K1077" s="5">
        <f>VLOOKUP($E1077,Sheet3!$B$3:$G$54,6,0)</f>
        <v>1.9</v>
      </c>
      <c r="L1077">
        <v>1264</v>
      </c>
      <c r="M1077">
        <v>240</v>
      </c>
      <c r="N1077">
        <v>24</v>
      </c>
      <c r="O1077" s="14">
        <f t="shared" si="39"/>
        <v>0.189873417721519</v>
      </c>
    </row>
    <row r="1078" spans="1:15" x14ac:dyDescent="0.3">
      <c r="A1078" s="15" t="s">
        <v>37</v>
      </c>
      <c r="B1078" s="12" t="s">
        <v>30</v>
      </c>
      <c r="C1078" s="12" t="s">
        <v>33</v>
      </c>
      <c r="D1078" s="6">
        <f t="shared" si="38"/>
        <v>38</v>
      </c>
      <c r="E1078">
        <v>11</v>
      </c>
      <c r="F1078" s="6">
        <f>VLOOKUP($E1078,Sheet3!$B$3:$D$54,2,0)</f>
        <v>3</v>
      </c>
      <c r="G1078" s="6">
        <f>VLOOKUP($E1078,Sheet3!$B$3:$G$54,3,0)</f>
        <v>0</v>
      </c>
      <c r="H1078" s="5">
        <f>VLOOKUP($A1078,Sheet3!$I$3:$J$38,2,0)</f>
        <v>17.47</v>
      </c>
      <c r="I1078" s="6">
        <f>VLOOKUP($E1078,Sheet3!$B$3:$G$54,5,0)</f>
        <v>172223</v>
      </c>
      <c r="J1078" s="5">
        <f>VLOOKUP($E1078,Sheet3!$B$3:$G$54,4,0)</f>
        <v>2.9</v>
      </c>
      <c r="K1078" s="5">
        <f>VLOOKUP($E1078,Sheet3!$B$3:$G$54,6,0)</f>
        <v>1.9</v>
      </c>
      <c r="L1078">
        <v>1264</v>
      </c>
      <c r="M1078">
        <v>880</v>
      </c>
      <c r="N1078">
        <v>25</v>
      </c>
      <c r="O1078" s="14">
        <f t="shared" si="39"/>
        <v>0.69620253164556967</v>
      </c>
    </row>
    <row r="1079" spans="1:15" x14ac:dyDescent="0.3">
      <c r="A1079" s="15" t="s">
        <v>37</v>
      </c>
      <c r="B1079" s="12" t="s">
        <v>30</v>
      </c>
      <c r="C1079" s="12" t="s">
        <v>33</v>
      </c>
      <c r="D1079" s="6">
        <f t="shared" si="38"/>
        <v>39</v>
      </c>
      <c r="E1079">
        <v>12</v>
      </c>
      <c r="F1079" s="6">
        <f>VLOOKUP($E1079,Sheet3!$B$3:$D$54,2,0)</f>
        <v>3</v>
      </c>
      <c r="G1079" s="6">
        <f>VLOOKUP($E1079,Sheet3!$B$3:$G$54,3,0)</f>
        <v>0</v>
      </c>
      <c r="H1079" s="5">
        <f>VLOOKUP($A1079,Sheet3!$I$3:$J$38,2,0)</f>
        <v>17.47</v>
      </c>
      <c r="I1079" s="6">
        <f>VLOOKUP($E1079,Sheet3!$B$3:$G$54,5,0)</f>
        <v>172223</v>
      </c>
      <c r="J1079" s="5">
        <f>VLOOKUP($E1079,Sheet3!$B$3:$G$54,4,0)</f>
        <v>2.9</v>
      </c>
      <c r="K1079" s="5">
        <f>VLOOKUP($E1079,Sheet3!$B$3:$G$54,6,0)</f>
        <v>1.9</v>
      </c>
      <c r="L1079">
        <v>1264</v>
      </c>
      <c r="M1079">
        <v>960</v>
      </c>
      <c r="N1079">
        <v>25</v>
      </c>
      <c r="O1079" s="14">
        <f t="shared" si="39"/>
        <v>0.759493670886076</v>
      </c>
    </row>
    <row r="1080" spans="1:15" x14ac:dyDescent="0.3">
      <c r="A1080" s="15" t="s">
        <v>37</v>
      </c>
      <c r="B1080" s="12" t="s">
        <v>30</v>
      </c>
      <c r="C1080" s="12" t="s">
        <v>33</v>
      </c>
      <c r="D1080" s="6">
        <f t="shared" si="38"/>
        <v>43</v>
      </c>
      <c r="E1080">
        <v>13</v>
      </c>
      <c r="F1080" s="6">
        <f>VLOOKUP($E1080,Sheet3!$B$3:$D$54,2,0)</f>
        <v>3</v>
      </c>
      <c r="G1080" s="6">
        <f>VLOOKUP($E1080,Sheet3!$B$3:$G$54,3,0)</f>
        <v>0</v>
      </c>
      <c r="H1080" s="5">
        <f>VLOOKUP($A1080,Sheet3!$I$3:$J$38,2,0)</f>
        <v>17.47</v>
      </c>
      <c r="I1080" s="6">
        <f>VLOOKUP($E1080,Sheet3!$B$3:$G$54,5,0)</f>
        <v>172223</v>
      </c>
      <c r="J1080" s="5">
        <f>VLOOKUP($E1080,Sheet3!$B$3:$G$54,4,0)</f>
        <v>2.9</v>
      </c>
      <c r="K1080" s="5">
        <f>VLOOKUP($E1080,Sheet3!$B$3:$G$54,6,0)</f>
        <v>1.9</v>
      </c>
      <c r="L1080">
        <v>1</v>
      </c>
      <c r="M1080">
        <v>960</v>
      </c>
      <c r="N1080">
        <v>22</v>
      </c>
      <c r="O1080" s="14">
        <f t="shared" si="39"/>
        <v>960</v>
      </c>
    </row>
    <row r="1081" spans="1:15" x14ac:dyDescent="0.3">
      <c r="A1081" s="15" t="s">
        <v>37</v>
      </c>
      <c r="B1081" s="12" t="s">
        <v>30</v>
      </c>
      <c r="C1081" s="12" t="s">
        <v>33</v>
      </c>
      <c r="D1081" s="6">
        <f t="shared" si="38"/>
        <v>46</v>
      </c>
      <c r="E1081">
        <v>14</v>
      </c>
      <c r="F1081" s="6">
        <f>VLOOKUP($E1081,Sheet3!$B$3:$D$54,2,0)</f>
        <v>3</v>
      </c>
      <c r="G1081" s="6">
        <f>VLOOKUP($E1081,Sheet3!$B$3:$G$54,3,0)</f>
        <v>0</v>
      </c>
      <c r="H1081" s="5">
        <f>VLOOKUP($A1081,Sheet3!$I$3:$J$38,2,0)</f>
        <v>17.47</v>
      </c>
      <c r="I1081" s="6">
        <f>VLOOKUP($E1081,Sheet3!$B$3:$G$54,5,0)</f>
        <v>172223</v>
      </c>
      <c r="J1081" s="5">
        <f>VLOOKUP($E1081,Sheet3!$B$3:$G$54,4,0)</f>
        <v>2.9</v>
      </c>
      <c r="K1081" s="5">
        <f>VLOOKUP($E1081,Sheet3!$B$3:$G$54,6,0)</f>
        <v>1.9</v>
      </c>
      <c r="L1081">
        <v>1540</v>
      </c>
      <c r="M1081">
        <v>1360</v>
      </c>
      <c r="N1081">
        <v>20</v>
      </c>
      <c r="O1081" s="14">
        <f t="shared" si="39"/>
        <v>0.88311688311688308</v>
      </c>
    </row>
    <row r="1082" spans="1:15" x14ac:dyDescent="0.3">
      <c r="A1082" s="15" t="s">
        <v>37</v>
      </c>
      <c r="B1082" s="12" t="s">
        <v>30</v>
      </c>
      <c r="C1082" s="12" t="s">
        <v>33</v>
      </c>
      <c r="D1082" s="6">
        <f t="shared" si="38"/>
        <v>47</v>
      </c>
      <c r="E1082">
        <v>15</v>
      </c>
      <c r="F1082" s="6">
        <f>VLOOKUP($E1082,Sheet3!$B$3:$D$54,2,0)</f>
        <v>4</v>
      </c>
      <c r="G1082" s="6">
        <f>VLOOKUP($E1082,Sheet3!$B$3:$G$54,3,0)</f>
        <v>0</v>
      </c>
      <c r="H1082" s="5">
        <f>VLOOKUP($A1082,Sheet3!$I$3:$J$38,2,0)</f>
        <v>17.47</v>
      </c>
      <c r="I1082" s="6">
        <f>VLOOKUP($E1082,Sheet3!$B$3:$G$54,5,0)</f>
        <v>139084</v>
      </c>
      <c r="J1082" s="5">
        <f>VLOOKUP($E1082,Sheet3!$B$3:$G$54,4,0)</f>
        <v>2.9</v>
      </c>
      <c r="K1082" s="5">
        <f>VLOOKUP($E1082,Sheet3!$B$3:$G$54,6,0)</f>
        <v>1.9</v>
      </c>
      <c r="L1082">
        <v>1540</v>
      </c>
      <c r="M1082">
        <v>1520</v>
      </c>
      <c r="N1082">
        <v>20</v>
      </c>
      <c r="O1082" s="14">
        <f t="shared" si="39"/>
        <v>0.98701298701298701</v>
      </c>
    </row>
    <row r="1083" spans="1:15" x14ac:dyDescent="0.3">
      <c r="A1083" s="15" t="s">
        <v>37</v>
      </c>
      <c r="B1083" s="12" t="s">
        <v>30</v>
      </c>
      <c r="C1083" s="12" t="s">
        <v>33</v>
      </c>
      <c r="D1083" s="6">
        <f t="shared" si="38"/>
        <v>48</v>
      </c>
      <c r="E1083">
        <v>16</v>
      </c>
      <c r="F1083" s="6">
        <f>VLOOKUP($E1083,Sheet3!$B$3:$D$54,2,0)</f>
        <v>4</v>
      </c>
      <c r="G1083" s="6">
        <f>VLOOKUP($E1083,Sheet3!$B$3:$G$54,3,0)</f>
        <v>0</v>
      </c>
      <c r="H1083" s="5">
        <f>VLOOKUP($A1083,Sheet3!$I$3:$J$38,2,0)</f>
        <v>17.47</v>
      </c>
      <c r="I1083" s="6">
        <f>VLOOKUP($E1083,Sheet3!$B$3:$G$54,5,0)</f>
        <v>139084</v>
      </c>
      <c r="J1083" s="5">
        <f>VLOOKUP($E1083,Sheet3!$B$3:$G$54,4,0)</f>
        <v>2.9</v>
      </c>
      <c r="K1083" s="5">
        <f>VLOOKUP($E1083,Sheet3!$B$3:$G$54,6,0)</f>
        <v>1.9</v>
      </c>
      <c r="L1083">
        <v>1540</v>
      </c>
      <c r="M1083">
        <v>1360</v>
      </c>
      <c r="N1083">
        <v>20</v>
      </c>
      <c r="O1083" s="14">
        <f t="shared" si="39"/>
        <v>0.88311688311688308</v>
      </c>
    </row>
    <row r="1084" spans="1:15" x14ac:dyDescent="0.3">
      <c r="A1084" s="15" t="s">
        <v>37</v>
      </c>
      <c r="B1084" s="12" t="s">
        <v>30</v>
      </c>
      <c r="C1084" s="12" t="s">
        <v>33</v>
      </c>
      <c r="D1084" s="6">
        <f t="shared" si="38"/>
        <v>1</v>
      </c>
      <c r="E1084">
        <v>17</v>
      </c>
      <c r="F1084" s="6">
        <f>VLOOKUP($E1084,Sheet3!$B$3:$D$54,2,0)</f>
        <v>4</v>
      </c>
      <c r="G1084" s="6">
        <f>VLOOKUP($E1084,Sheet3!$B$3:$G$54,3,0)</f>
        <v>1</v>
      </c>
      <c r="H1084" s="5">
        <f>VLOOKUP($A1084,Sheet3!$I$3:$J$38,2,0)</f>
        <v>17.47</v>
      </c>
      <c r="I1084" s="6">
        <f>VLOOKUP($E1084,Sheet3!$B$3:$G$54,5,0)</f>
        <v>139084</v>
      </c>
      <c r="J1084" s="5">
        <f>VLOOKUP($E1084,Sheet3!$B$3:$G$54,4,0)</f>
        <v>2.65</v>
      </c>
      <c r="K1084" s="5">
        <f>VLOOKUP($E1084,Sheet3!$B$3:$G$54,6,0)</f>
        <v>1.9</v>
      </c>
      <c r="L1084">
        <v>1080</v>
      </c>
      <c r="M1084">
        <v>1520</v>
      </c>
      <c r="N1084">
        <v>16</v>
      </c>
      <c r="O1084" s="14">
        <f t="shared" si="39"/>
        <v>1.4074074074074074</v>
      </c>
    </row>
    <row r="1085" spans="1:15" x14ac:dyDescent="0.3">
      <c r="A1085" s="15" t="s">
        <v>37</v>
      </c>
      <c r="B1085" s="12" t="s">
        <v>30</v>
      </c>
      <c r="C1085" s="12" t="s">
        <v>33</v>
      </c>
      <c r="D1085" s="6">
        <f t="shared" si="38"/>
        <v>1</v>
      </c>
      <c r="E1085">
        <v>18</v>
      </c>
      <c r="F1085" s="6">
        <f>VLOOKUP($E1085,Sheet3!$B$3:$D$54,2,0)</f>
        <v>4</v>
      </c>
      <c r="G1085" s="6">
        <f>VLOOKUP($E1085,Sheet3!$B$3:$G$54,3,0)</f>
        <v>1</v>
      </c>
      <c r="H1085" s="5">
        <f>VLOOKUP($A1085,Sheet3!$I$3:$J$38,2,0)</f>
        <v>17.47</v>
      </c>
      <c r="I1085" s="6">
        <f>VLOOKUP($E1085,Sheet3!$B$3:$G$54,5,0)</f>
        <v>139084</v>
      </c>
      <c r="J1085" s="5">
        <f>VLOOKUP($E1085,Sheet3!$B$3:$G$54,4,0)</f>
        <v>2.65</v>
      </c>
      <c r="K1085" s="5">
        <f>VLOOKUP($E1085,Sheet3!$B$3:$G$54,6,0)</f>
        <v>1.9</v>
      </c>
      <c r="L1085">
        <v>940</v>
      </c>
      <c r="M1085">
        <v>400</v>
      </c>
      <c r="N1085">
        <v>17</v>
      </c>
      <c r="O1085" s="14">
        <f t="shared" si="39"/>
        <v>0.42553191489361702</v>
      </c>
    </row>
    <row r="1086" spans="1:15" x14ac:dyDescent="0.3">
      <c r="A1086" s="15" t="s">
        <v>37</v>
      </c>
      <c r="B1086" s="12" t="s">
        <v>30</v>
      </c>
      <c r="C1086" s="12" t="s">
        <v>33</v>
      </c>
      <c r="D1086" s="6">
        <f t="shared" si="38"/>
        <v>2</v>
      </c>
      <c r="E1086">
        <v>19</v>
      </c>
      <c r="F1086" s="6">
        <f>VLOOKUP($E1086,Sheet3!$B$3:$D$54,2,0)</f>
        <v>5</v>
      </c>
      <c r="G1086" s="6">
        <f>VLOOKUP($E1086,Sheet3!$B$3:$G$54,3,0)</f>
        <v>0</v>
      </c>
      <c r="H1086" s="5">
        <f>VLOOKUP($A1086,Sheet3!$I$3:$J$38,2,0)</f>
        <v>17.47</v>
      </c>
      <c r="I1086" s="6">
        <f>VLOOKUP($E1086,Sheet3!$B$3:$G$54,5,0)</f>
        <v>139390</v>
      </c>
      <c r="J1086" s="5">
        <f>VLOOKUP($E1086,Sheet3!$B$3:$G$54,4,0)</f>
        <v>2.65</v>
      </c>
      <c r="K1086" s="5">
        <f>VLOOKUP($E1086,Sheet3!$B$3:$G$54,6,0)</f>
        <v>1.6</v>
      </c>
      <c r="L1086">
        <v>940</v>
      </c>
      <c r="M1086">
        <v>640</v>
      </c>
      <c r="N1086">
        <v>17</v>
      </c>
      <c r="O1086" s="14">
        <f t="shared" si="39"/>
        <v>0.68085106382978722</v>
      </c>
    </row>
    <row r="1087" spans="1:15" x14ac:dyDescent="0.3">
      <c r="A1087" s="15" t="s">
        <v>37</v>
      </c>
      <c r="B1087" s="12" t="s">
        <v>30</v>
      </c>
      <c r="C1087" s="12" t="s">
        <v>33</v>
      </c>
      <c r="D1087" s="6">
        <f t="shared" ref="D1087:D1093" si="40">IF(E1087-N1087&lt;0,E1087-N1087+52,E1087-N1087)</f>
        <v>2</v>
      </c>
      <c r="E1087">
        <v>20</v>
      </c>
      <c r="F1087" s="6">
        <f>VLOOKUP($E1087,Sheet3!$B$3:$D$54,2,0)</f>
        <v>5</v>
      </c>
      <c r="G1087" s="6">
        <f>VLOOKUP($E1087,Sheet3!$B$3:$G$54,3,0)</f>
        <v>0</v>
      </c>
      <c r="H1087" s="5">
        <f>VLOOKUP($A1087,Sheet3!$I$3:$J$38,2,0)</f>
        <v>17.47</v>
      </c>
      <c r="I1087" s="6">
        <f>VLOOKUP($E1087,Sheet3!$B$3:$G$54,5,0)</f>
        <v>139390</v>
      </c>
      <c r="J1087" s="5">
        <f>VLOOKUP($E1087,Sheet3!$B$3:$G$54,4,0)</f>
        <v>2.65</v>
      </c>
      <c r="K1087" s="5">
        <f>VLOOKUP($E1087,Sheet3!$B$3:$G$54,6,0)</f>
        <v>1.6</v>
      </c>
      <c r="L1087">
        <v>940</v>
      </c>
      <c r="M1087">
        <v>2080</v>
      </c>
      <c r="N1087">
        <v>18</v>
      </c>
      <c r="O1087" s="14">
        <f t="shared" si="39"/>
        <v>2.2127659574468086</v>
      </c>
    </row>
    <row r="1088" spans="1:15" x14ac:dyDescent="0.3">
      <c r="A1088" s="15" t="s">
        <v>37</v>
      </c>
      <c r="B1088" s="12" t="s">
        <v>30</v>
      </c>
      <c r="C1088" s="12" t="s">
        <v>33</v>
      </c>
      <c r="D1088" s="6">
        <f t="shared" si="40"/>
        <v>2</v>
      </c>
      <c r="E1088">
        <v>21</v>
      </c>
      <c r="F1088" s="6">
        <f>VLOOKUP($E1088,Sheet3!$B$3:$D$54,2,0)</f>
        <v>5</v>
      </c>
      <c r="G1088" s="6">
        <f>VLOOKUP($E1088,Sheet3!$B$3:$G$54,3,0)</f>
        <v>0</v>
      </c>
      <c r="H1088" s="5">
        <f>VLOOKUP($A1088,Sheet3!$I$3:$J$38,2,0)</f>
        <v>17.47</v>
      </c>
      <c r="I1088" s="6">
        <f>VLOOKUP($E1088,Sheet3!$B$3:$G$54,5,0)</f>
        <v>139390</v>
      </c>
      <c r="J1088" s="5">
        <f>VLOOKUP($E1088,Sheet3!$B$3:$G$54,4,0)</f>
        <v>2.65</v>
      </c>
      <c r="K1088" s="5">
        <f>VLOOKUP($E1088,Sheet3!$B$3:$G$54,6,0)</f>
        <v>1.6</v>
      </c>
      <c r="L1088">
        <v>940</v>
      </c>
      <c r="M1088">
        <v>1120</v>
      </c>
      <c r="N1088">
        <v>19</v>
      </c>
      <c r="O1088" s="14">
        <f t="shared" si="39"/>
        <v>1.1914893617021276</v>
      </c>
    </row>
    <row r="1089" spans="1:15" x14ac:dyDescent="0.3">
      <c r="A1089" s="15" t="s">
        <v>37</v>
      </c>
      <c r="B1089" s="12" t="s">
        <v>30</v>
      </c>
      <c r="C1089" s="12" t="s">
        <v>33</v>
      </c>
      <c r="D1089" s="6">
        <f t="shared" si="40"/>
        <v>6</v>
      </c>
      <c r="E1089">
        <v>22</v>
      </c>
      <c r="F1089" s="6">
        <f>VLOOKUP($E1089,Sheet3!$B$3:$D$54,2,0)</f>
        <v>5</v>
      </c>
      <c r="G1089" s="6">
        <f>VLOOKUP($E1089,Sheet3!$B$3:$G$54,3,0)</f>
        <v>0</v>
      </c>
      <c r="H1089" s="5">
        <f>VLOOKUP($A1089,Sheet3!$I$3:$J$38,2,0)</f>
        <v>17.47</v>
      </c>
      <c r="I1089" s="6">
        <f>VLOOKUP($E1089,Sheet3!$B$3:$G$54,5,0)</f>
        <v>139390</v>
      </c>
      <c r="J1089" s="5">
        <f>VLOOKUP($E1089,Sheet3!$B$3:$G$54,4,0)</f>
        <v>2.65</v>
      </c>
      <c r="K1089" s="5">
        <f>VLOOKUP($E1089,Sheet3!$B$3:$G$54,6,0)</f>
        <v>1.6</v>
      </c>
      <c r="L1089">
        <v>1376</v>
      </c>
      <c r="M1089">
        <v>800</v>
      </c>
      <c r="N1089">
        <v>16</v>
      </c>
      <c r="O1089" s="14">
        <f t="shared" si="39"/>
        <v>0.58139534883720934</v>
      </c>
    </row>
    <row r="1090" spans="1:15" x14ac:dyDescent="0.3">
      <c r="A1090" s="15" t="s">
        <v>37</v>
      </c>
      <c r="B1090" s="12" t="s">
        <v>30</v>
      </c>
      <c r="C1090" s="12" t="s">
        <v>33</v>
      </c>
      <c r="D1090" s="6">
        <f t="shared" si="40"/>
        <v>6</v>
      </c>
      <c r="E1090">
        <v>23</v>
      </c>
      <c r="F1090" s="6">
        <f>VLOOKUP($E1090,Sheet3!$B$3:$D$54,2,0)</f>
        <v>5</v>
      </c>
      <c r="G1090" s="6">
        <f>VLOOKUP($E1090,Sheet3!$B$3:$G$54,3,0)</f>
        <v>1</v>
      </c>
      <c r="H1090" s="5">
        <f>VLOOKUP($A1090,Sheet3!$I$3:$J$38,2,0)</f>
        <v>17.47</v>
      </c>
      <c r="I1090" s="6">
        <f>VLOOKUP($E1090,Sheet3!$B$3:$G$54,5,0)</f>
        <v>139390</v>
      </c>
      <c r="J1090" s="5">
        <f>VLOOKUP($E1090,Sheet3!$B$3:$G$54,4,0)</f>
        <v>2.4</v>
      </c>
      <c r="K1090" s="5">
        <f>VLOOKUP($E1090,Sheet3!$B$3:$G$54,6,0)</f>
        <v>1.6</v>
      </c>
      <c r="L1090">
        <v>1376</v>
      </c>
      <c r="M1090">
        <v>1280</v>
      </c>
      <c r="N1090">
        <v>17</v>
      </c>
      <c r="O1090" s="14">
        <f t="shared" si="39"/>
        <v>0.93023255813953487</v>
      </c>
    </row>
    <row r="1091" spans="1:15" x14ac:dyDescent="0.3">
      <c r="A1091" s="15" t="s">
        <v>37</v>
      </c>
      <c r="B1091" s="12" t="s">
        <v>30</v>
      </c>
      <c r="C1091" s="12" t="s">
        <v>33</v>
      </c>
      <c r="D1091" s="6">
        <f t="shared" si="40"/>
        <v>6</v>
      </c>
      <c r="E1091">
        <v>24</v>
      </c>
      <c r="F1091" s="6">
        <f>VLOOKUP($E1091,Sheet3!$B$3:$D$54,2,0)</f>
        <v>6</v>
      </c>
      <c r="G1091" s="6">
        <f>VLOOKUP($E1091,Sheet3!$B$3:$G$54,3,0)</f>
        <v>0</v>
      </c>
      <c r="H1091" s="5">
        <f>VLOOKUP($A1091,Sheet3!$I$3:$J$38,2,0)</f>
        <v>17.47</v>
      </c>
      <c r="I1091" s="6">
        <f>VLOOKUP($E1091,Sheet3!$B$3:$G$54,5,0)</f>
        <v>132191</v>
      </c>
      <c r="J1091" s="5">
        <f>VLOOKUP($E1091,Sheet3!$B$3:$G$54,4,0)</f>
        <v>2.4</v>
      </c>
      <c r="K1091" s="5">
        <f>VLOOKUP($E1091,Sheet3!$B$3:$G$54,6,0)</f>
        <v>1.7</v>
      </c>
      <c r="L1091">
        <v>1376</v>
      </c>
      <c r="M1091">
        <v>1760</v>
      </c>
      <c r="N1091">
        <v>18</v>
      </c>
      <c r="O1091" s="14">
        <f t="shared" si="39"/>
        <v>1.2790697674418605</v>
      </c>
    </row>
    <row r="1092" spans="1:15" x14ac:dyDescent="0.3">
      <c r="A1092" s="15" t="s">
        <v>37</v>
      </c>
      <c r="B1092" s="12" t="s">
        <v>30</v>
      </c>
      <c r="C1092" s="12" t="s">
        <v>33</v>
      </c>
      <c r="D1092" s="6">
        <f t="shared" si="40"/>
        <v>6</v>
      </c>
      <c r="E1092">
        <v>25</v>
      </c>
      <c r="F1092" s="6">
        <f>VLOOKUP($E1092,Sheet3!$B$3:$D$54,2,0)</f>
        <v>6</v>
      </c>
      <c r="G1092" s="6">
        <f>VLOOKUP($E1092,Sheet3!$B$3:$G$54,3,0)</f>
        <v>0</v>
      </c>
      <c r="H1092" s="5">
        <f>VLOOKUP($A1092,Sheet3!$I$3:$J$38,2,0)</f>
        <v>17.47</v>
      </c>
      <c r="I1092" s="6">
        <f>VLOOKUP($E1092,Sheet3!$B$3:$G$54,5,0)</f>
        <v>132191</v>
      </c>
      <c r="J1092" s="5">
        <f>VLOOKUP($E1092,Sheet3!$B$3:$G$54,4,0)</f>
        <v>2.4</v>
      </c>
      <c r="K1092" s="5">
        <f>VLOOKUP($E1092,Sheet3!$B$3:$G$54,6,0)</f>
        <v>1.7</v>
      </c>
      <c r="L1092">
        <v>1376</v>
      </c>
      <c r="M1092">
        <v>560</v>
      </c>
      <c r="N1092">
        <v>19</v>
      </c>
      <c r="O1092" s="14">
        <f t="shared" si="39"/>
        <v>0.40697674418604651</v>
      </c>
    </row>
    <row r="1093" spans="1:15" x14ac:dyDescent="0.3">
      <c r="A1093" s="15" t="s">
        <v>37</v>
      </c>
      <c r="B1093" s="12" t="s">
        <v>30</v>
      </c>
      <c r="C1093" s="12" t="s">
        <v>33</v>
      </c>
      <c r="D1093" s="6">
        <f t="shared" si="40"/>
        <v>7</v>
      </c>
      <c r="E1093">
        <v>26</v>
      </c>
      <c r="F1093" s="6">
        <f>VLOOKUP($E1093,Sheet3!$B$3:$D$54,2,0)</f>
        <v>6</v>
      </c>
      <c r="G1093" s="6">
        <f>VLOOKUP($E1093,Sheet3!$B$3:$G$54,3,0)</f>
        <v>0</v>
      </c>
      <c r="H1093" s="5">
        <f>VLOOKUP($A1093,Sheet3!$I$3:$J$38,2,0)</f>
        <v>17.47</v>
      </c>
      <c r="I1093" s="6">
        <f>VLOOKUP($E1093,Sheet3!$B$3:$G$54,5,0)</f>
        <v>132191</v>
      </c>
      <c r="J1093" s="5">
        <f>VLOOKUP($E1093,Sheet3!$B$3:$G$54,4,0)</f>
        <v>2.4</v>
      </c>
      <c r="K1093" s="5">
        <f>VLOOKUP($E1093,Sheet3!$B$3:$G$54,6,0)</f>
        <v>1.7</v>
      </c>
      <c r="L1093">
        <v>1376</v>
      </c>
      <c r="M1093">
        <v>560</v>
      </c>
      <c r="N1093">
        <v>19</v>
      </c>
      <c r="O1093" s="14">
        <f t="shared" si="39"/>
        <v>0.40697674418604651</v>
      </c>
    </row>
  </sheetData>
  <autoFilter ref="A1:O1093" xr:uid="{26EEF264-E490-45E0-BDA0-B9E6B89B7034}"/>
  <phoneticPr fontId="2" type="noConversion"/>
  <pageMargins left="0.7" right="0.7" top="0.75" bottom="0.75" header="0.3" footer="0.3"/>
  <headerFooter>
    <oddHeader>&amp;R&amp;"Calibri"&amp;12&amp;K000000 ZF-Lifetec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0A17-BCA5-4AEA-8483-DD663C6A0A69}">
  <dimension ref="A1:O54"/>
  <sheetViews>
    <sheetView workbookViewId="0">
      <selection activeCell="Q1" sqref="Q1:S1048576"/>
    </sheetView>
  </sheetViews>
  <sheetFormatPr defaultRowHeight="14.4" x14ac:dyDescent="0.3"/>
  <cols>
    <col min="1" max="5" width="12.33203125" style="1" customWidth="1"/>
    <col min="6" max="6" width="14.6640625" style="1" bestFit="1" customWidth="1"/>
    <col min="7" max="7" width="12.5546875" style="1" customWidth="1"/>
    <col min="9" max="9" width="13.5546875" style="1" bestFit="1" customWidth="1"/>
    <col min="10" max="10" width="14.109375" style="1" bestFit="1" customWidth="1"/>
    <col min="12" max="12" width="11.21875" style="1" bestFit="1" customWidth="1"/>
    <col min="13" max="13" width="10.88671875" style="1" customWidth="1"/>
    <col min="14" max="14" width="10.21875" style="1" bestFit="1" customWidth="1"/>
    <col min="15" max="15" width="10.5546875" style="1" customWidth="1"/>
  </cols>
  <sheetData>
    <row r="1" spans="1:15" s="4" customFormat="1" ht="28.8" x14ac:dyDescent="0.3">
      <c r="A1" s="3" t="s">
        <v>19</v>
      </c>
      <c r="B1" s="3" t="s">
        <v>19</v>
      </c>
      <c r="C1" s="3" t="s">
        <v>19</v>
      </c>
      <c r="D1" s="3" t="s">
        <v>19</v>
      </c>
      <c r="E1" s="3" t="s">
        <v>20</v>
      </c>
      <c r="F1" s="3" t="s">
        <v>27</v>
      </c>
      <c r="G1" s="3" t="s">
        <v>24</v>
      </c>
      <c r="I1" s="3" t="s">
        <v>21</v>
      </c>
      <c r="J1" s="3" t="s">
        <v>21</v>
      </c>
      <c r="L1" s="3" t="s">
        <v>27</v>
      </c>
      <c r="M1" s="3" t="s">
        <v>27</v>
      </c>
      <c r="N1" s="3" t="s">
        <v>27</v>
      </c>
      <c r="O1" s="3" t="s">
        <v>24</v>
      </c>
    </row>
    <row r="2" spans="1:15" x14ac:dyDescent="0.3">
      <c r="A2" s="1" t="s">
        <v>14</v>
      </c>
      <c r="B2" s="1" t="s">
        <v>15</v>
      </c>
      <c r="C2" s="1" t="s">
        <v>1</v>
      </c>
      <c r="D2" s="1" t="s">
        <v>4</v>
      </c>
      <c r="E2" s="1" t="s">
        <v>18</v>
      </c>
      <c r="F2" s="1" t="s">
        <v>23</v>
      </c>
      <c r="G2" s="1" t="s">
        <v>22</v>
      </c>
      <c r="I2" s="1" t="s">
        <v>16</v>
      </c>
      <c r="J2" s="1" t="s">
        <v>17</v>
      </c>
      <c r="L2" s="1" t="s">
        <v>25</v>
      </c>
      <c r="M2" s="1" t="s">
        <v>1</v>
      </c>
      <c r="N2" s="1" t="s">
        <v>26</v>
      </c>
      <c r="O2" s="1" t="s">
        <v>22</v>
      </c>
    </row>
    <row r="3" spans="1:15" x14ac:dyDescent="0.3">
      <c r="A3" s="1">
        <v>2024</v>
      </c>
      <c r="B3" s="1">
        <v>27</v>
      </c>
      <c r="C3" s="1">
        <v>7</v>
      </c>
      <c r="D3" s="1">
        <v>0</v>
      </c>
      <c r="E3" s="1">
        <v>4.5</v>
      </c>
      <c r="F3" s="1">
        <f t="shared" ref="F3:F34" si="0">VLOOKUP($C3,$M$3:$N$14,2,0)</f>
        <v>124806</v>
      </c>
      <c r="G3" s="1">
        <v>1.3</v>
      </c>
      <c r="I3" s="1" t="s">
        <v>29</v>
      </c>
      <c r="J3" s="1">
        <v>19.29</v>
      </c>
      <c r="L3" s="7">
        <v>45474</v>
      </c>
      <c r="M3" s="2">
        <v>7</v>
      </c>
      <c r="N3" s="1">
        <v>124806</v>
      </c>
      <c r="O3" s="1">
        <v>1.3</v>
      </c>
    </row>
    <row r="4" spans="1:15" x14ac:dyDescent="0.3">
      <c r="A4" s="1">
        <v>2024</v>
      </c>
      <c r="B4" s="1">
        <v>28</v>
      </c>
      <c r="C4" s="1">
        <v>7</v>
      </c>
      <c r="D4" s="1">
        <v>0</v>
      </c>
      <c r="E4" s="1">
        <v>4.5</v>
      </c>
      <c r="F4" s="1">
        <f t="shared" si="0"/>
        <v>124806</v>
      </c>
      <c r="G4" s="1">
        <v>1.3</v>
      </c>
      <c r="I4" s="1" t="s">
        <v>30</v>
      </c>
      <c r="J4" s="1">
        <v>29.53</v>
      </c>
      <c r="L4" s="7">
        <v>45505</v>
      </c>
      <c r="M4" s="2">
        <v>8</v>
      </c>
      <c r="N4" s="1">
        <v>69121</v>
      </c>
      <c r="O4" s="1">
        <v>1.1000000000000001</v>
      </c>
    </row>
    <row r="5" spans="1:15" x14ac:dyDescent="0.3">
      <c r="A5" s="1">
        <v>2024</v>
      </c>
      <c r="B5" s="1">
        <v>29</v>
      </c>
      <c r="C5" s="1">
        <v>7</v>
      </c>
      <c r="D5" s="1">
        <v>0</v>
      </c>
      <c r="E5" s="1">
        <v>4.5</v>
      </c>
      <c r="F5" s="1">
        <f t="shared" si="0"/>
        <v>124806</v>
      </c>
      <c r="G5" s="1">
        <v>1.3</v>
      </c>
      <c r="I5" s="1" t="s">
        <v>32</v>
      </c>
      <c r="J5" s="1">
        <v>27.57</v>
      </c>
      <c r="L5" s="7">
        <v>45536</v>
      </c>
      <c r="M5" s="2">
        <v>9</v>
      </c>
      <c r="N5" s="1">
        <v>121666</v>
      </c>
      <c r="O5" s="1">
        <v>0.7</v>
      </c>
    </row>
    <row r="6" spans="1:15" x14ac:dyDescent="0.3">
      <c r="A6" s="1">
        <v>2024</v>
      </c>
      <c r="B6" s="1">
        <v>30</v>
      </c>
      <c r="C6" s="1">
        <v>7</v>
      </c>
      <c r="D6" s="1">
        <v>0</v>
      </c>
      <c r="E6" s="1">
        <v>4.5</v>
      </c>
      <c r="F6" s="1">
        <f t="shared" si="0"/>
        <v>124806</v>
      </c>
      <c r="G6" s="1">
        <v>1.3</v>
      </c>
      <c r="I6" s="1" t="s">
        <v>31</v>
      </c>
      <c r="J6" s="1">
        <v>23.37</v>
      </c>
      <c r="L6" s="7">
        <v>45566</v>
      </c>
      <c r="M6" s="2">
        <v>10</v>
      </c>
      <c r="N6" s="1">
        <v>126488</v>
      </c>
      <c r="O6" s="1">
        <v>0.9</v>
      </c>
    </row>
    <row r="7" spans="1:15" x14ac:dyDescent="0.3">
      <c r="A7" s="1">
        <v>2024</v>
      </c>
      <c r="B7" s="1">
        <v>31</v>
      </c>
      <c r="C7" s="1">
        <v>7</v>
      </c>
      <c r="D7" s="1">
        <v>0</v>
      </c>
      <c r="E7" s="1">
        <v>4.5</v>
      </c>
      <c r="F7" s="1">
        <f t="shared" si="0"/>
        <v>124806</v>
      </c>
      <c r="G7" s="1">
        <v>1.3</v>
      </c>
      <c r="I7" s="1" t="s">
        <v>33</v>
      </c>
      <c r="J7" s="1">
        <v>19.18</v>
      </c>
      <c r="L7" s="7">
        <v>45597</v>
      </c>
      <c r="M7" s="2">
        <v>11</v>
      </c>
      <c r="N7" s="1">
        <v>124251</v>
      </c>
      <c r="O7" s="1">
        <v>1.3</v>
      </c>
    </row>
    <row r="8" spans="1:15" x14ac:dyDescent="0.3">
      <c r="A8" s="1">
        <v>2024</v>
      </c>
      <c r="B8" s="1">
        <v>32</v>
      </c>
      <c r="C8" s="1">
        <v>8</v>
      </c>
      <c r="D8" s="1">
        <v>1</v>
      </c>
      <c r="E8" s="1">
        <v>4.5</v>
      </c>
      <c r="F8" s="1">
        <f t="shared" si="0"/>
        <v>69121</v>
      </c>
      <c r="G8" s="1">
        <v>1.1000000000000001</v>
      </c>
      <c r="I8" s="1" t="s">
        <v>34</v>
      </c>
      <c r="J8" s="1">
        <v>29.17</v>
      </c>
      <c r="L8" s="7">
        <v>45627</v>
      </c>
      <c r="M8" s="2">
        <v>12</v>
      </c>
      <c r="N8" s="1">
        <v>105715</v>
      </c>
      <c r="O8" s="1">
        <v>1.3</v>
      </c>
    </row>
    <row r="9" spans="1:15" x14ac:dyDescent="0.3">
      <c r="A9" s="1">
        <v>2024</v>
      </c>
      <c r="B9" s="1">
        <v>33</v>
      </c>
      <c r="C9" s="1">
        <v>8</v>
      </c>
      <c r="D9" s="1">
        <v>1</v>
      </c>
      <c r="E9" s="1">
        <v>4.5</v>
      </c>
      <c r="F9" s="1">
        <f t="shared" si="0"/>
        <v>69121</v>
      </c>
      <c r="G9" s="1">
        <v>1.1000000000000001</v>
      </c>
      <c r="I9" s="1" t="s">
        <v>35</v>
      </c>
      <c r="J9" s="1">
        <v>23.6</v>
      </c>
      <c r="L9" s="7">
        <v>45658</v>
      </c>
      <c r="M9" s="2">
        <v>1</v>
      </c>
      <c r="N9" s="1">
        <v>133692</v>
      </c>
      <c r="O9" s="1">
        <v>1.5</v>
      </c>
    </row>
    <row r="10" spans="1:15" x14ac:dyDescent="0.3">
      <c r="A10" s="1">
        <v>2024</v>
      </c>
      <c r="B10" s="1">
        <v>34</v>
      </c>
      <c r="C10" s="1">
        <v>8</v>
      </c>
      <c r="D10" s="1">
        <v>0</v>
      </c>
      <c r="E10" s="1">
        <v>4.5</v>
      </c>
      <c r="F10" s="1">
        <f t="shared" si="0"/>
        <v>69121</v>
      </c>
      <c r="G10" s="1">
        <v>1.1000000000000001</v>
      </c>
      <c r="I10" s="1" t="s">
        <v>36</v>
      </c>
      <c r="J10" s="1">
        <v>12.72</v>
      </c>
      <c r="L10" s="7">
        <v>45689</v>
      </c>
      <c r="M10" s="2">
        <v>2</v>
      </c>
      <c r="N10" s="1">
        <v>137922</v>
      </c>
      <c r="O10" s="1">
        <v>1.6</v>
      </c>
    </row>
    <row r="11" spans="1:15" x14ac:dyDescent="0.3">
      <c r="A11" s="1">
        <v>2024</v>
      </c>
      <c r="B11" s="1">
        <v>35</v>
      </c>
      <c r="C11" s="1">
        <v>8</v>
      </c>
      <c r="D11" s="1">
        <v>0</v>
      </c>
      <c r="E11" s="1">
        <v>4.5</v>
      </c>
      <c r="F11" s="1">
        <f t="shared" si="0"/>
        <v>69121</v>
      </c>
      <c r="G11" s="1">
        <v>1.1000000000000001</v>
      </c>
      <c r="I11" s="1" t="s">
        <v>37</v>
      </c>
      <c r="J11" s="1">
        <v>17.47</v>
      </c>
      <c r="L11" s="7">
        <v>45717</v>
      </c>
      <c r="M11" s="2">
        <v>3</v>
      </c>
      <c r="N11" s="1">
        <v>172223</v>
      </c>
      <c r="O11" s="1">
        <v>1.9</v>
      </c>
    </row>
    <row r="12" spans="1:15" x14ac:dyDescent="0.3">
      <c r="A12" s="1">
        <v>2024</v>
      </c>
      <c r="B12" s="1">
        <v>36</v>
      </c>
      <c r="C12" s="1">
        <v>9</v>
      </c>
      <c r="D12" s="1">
        <v>0</v>
      </c>
      <c r="E12" s="1">
        <v>4.5</v>
      </c>
      <c r="F12" s="1">
        <f t="shared" si="0"/>
        <v>121666</v>
      </c>
      <c r="G12" s="1">
        <v>0.7</v>
      </c>
      <c r="I12" s="1" t="s">
        <v>38</v>
      </c>
      <c r="J12" s="1">
        <v>24.18</v>
      </c>
      <c r="L12" s="7">
        <v>45748</v>
      </c>
      <c r="M12" s="2">
        <v>4</v>
      </c>
      <c r="N12" s="1">
        <v>139084</v>
      </c>
      <c r="O12" s="1">
        <v>1.9</v>
      </c>
    </row>
    <row r="13" spans="1:15" x14ac:dyDescent="0.3">
      <c r="A13" s="1">
        <v>2024</v>
      </c>
      <c r="B13" s="1">
        <v>37</v>
      </c>
      <c r="C13" s="1">
        <v>9</v>
      </c>
      <c r="D13" s="1">
        <v>0</v>
      </c>
      <c r="E13" s="1">
        <v>4.5</v>
      </c>
      <c r="F13" s="1">
        <f t="shared" si="0"/>
        <v>121666</v>
      </c>
      <c r="G13" s="1">
        <v>0.7</v>
      </c>
      <c r="I13" s="1" t="s">
        <v>39</v>
      </c>
      <c r="J13" s="1">
        <v>18.5</v>
      </c>
      <c r="L13" s="7">
        <v>45778</v>
      </c>
      <c r="M13" s="2">
        <v>5</v>
      </c>
      <c r="N13" s="1">
        <v>139390</v>
      </c>
      <c r="O13" s="1">
        <v>1.6</v>
      </c>
    </row>
    <row r="14" spans="1:15" x14ac:dyDescent="0.3">
      <c r="A14" s="1">
        <v>2024</v>
      </c>
      <c r="B14" s="1">
        <v>38</v>
      </c>
      <c r="C14" s="1">
        <v>9</v>
      </c>
      <c r="D14" s="1">
        <v>0</v>
      </c>
      <c r="E14" s="1">
        <v>3.9</v>
      </c>
      <c r="F14" s="1">
        <f t="shared" si="0"/>
        <v>121666</v>
      </c>
      <c r="G14" s="1">
        <v>0.7</v>
      </c>
      <c r="I14" s="1" t="s">
        <v>40</v>
      </c>
      <c r="J14" s="1">
        <v>21.88</v>
      </c>
      <c r="L14" s="7">
        <v>45809</v>
      </c>
      <c r="M14" s="2">
        <v>6</v>
      </c>
      <c r="N14" s="1">
        <v>132191</v>
      </c>
      <c r="O14" s="1">
        <v>1.7</v>
      </c>
    </row>
    <row r="15" spans="1:15" x14ac:dyDescent="0.3">
      <c r="A15" s="1">
        <v>2024</v>
      </c>
      <c r="B15" s="1">
        <v>39</v>
      </c>
      <c r="C15" s="1">
        <v>9</v>
      </c>
      <c r="D15" s="1">
        <v>0</v>
      </c>
      <c r="E15" s="1">
        <v>3.9</v>
      </c>
      <c r="F15" s="1">
        <f t="shared" si="0"/>
        <v>121666</v>
      </c>
      <c r="G15" s="1">
        <v>0.7</v>
      </c>
      <c r="I15" s="1" t="s">
        <v>49</v>
      </c>
      <c r="J15" s="1">
        <v>21.63</v>
      </c>
    </row>
    <row r="16" spans="1:15" x14ac:dyDescent="0.3">
      <c r="A16" s="1">
        <v>2024</v>
      </c>
      <c r="B16" s="1">
        <v>40</v>
      </c>
      <c r="C16" s="1">
        <v>9</v>
      </c>
      <c r="D16" s="1">
        <v>0</v>
      </c>
      <c r="E16" s="1">
        <v>3.9</v>
      </c>
      <c r="F16" s="1">
        <f t="shared" si="0"/>
        <v>121666</v>
      </c>
      <c r="G16" s="1">
        <v>0.7</v>
      </c>
      <c r="I16" s="1" t="s">
        <v>41</v>
      </c>
      <c r="J16" s="1">
        <v>10.1</v>
      </c>
    </row>
    <row r="17" spans="1:10" x14ac:dyDescent="0.3">
      <c r="A17" s="1">
        <v>2024</v>
      </c>
      <c r="B17" s="1">
        <v>41</v>
      </c>
      <c r="C17" s="1">
        <v>10</v>
      </c>
      <c r="D17" s="1">
        <v>0</v>
      </c>
      <c r="E17" s="1">
        <v>3.9</v>
      </c>
      <c r="F17" s="1">
        <f t="shared" si="0"/>
        <v>126488</v>
      </c>
      <c r="G17" s="1">
        <v>0.9</v>
      </c>
      <c r="I17" s="1" t="s">
        <v>42</v>
      </c>
      <c r="J17" s="1">
        <v>22.25</v>
      </c>
    </row>
    <row r="18" spans="1:10" x14ac:dyDescent="0.3">
      <c r="A18" s="1">
        <v>2024</v>
      </c>
      <c r="B18" s="1">
        <v>42</v>
      </c>
      <c r="C18" s="1">
        <v>10</v>
      </c>
      <c r="D18" s="1">
        <v>0</v>
      </c>
      <c r="E18" s="1">
        <v>3.9</v>
      </c>
      <c r="F18" s="1">
        <f t="shared" si="0"/>
        <v>126488</v>
      </c>
      <c r="G18" s="1">
        <v>0.9</v>
      </c>
      <c r="I18" s="1" t="s">
        <v>43</v>
      </c>
      <c r="J18" s="1">
        <v>18.100000000000001</v>
      </c>
    </row>
    <row r="19" spans="1:10" x14ac:dyDescent="0.3">
      <c r="A19" s="1">
        <v>2024</v>
      </c>
      <c r="B19" s="1">
        <v>43</v>
      </c>
      <c r="C19" s="1">
        <v>10</v>
      </c>
      <c r="D19" s="1">
        <v>0</v>
      </c>
      <c r="E19" s="1">
        <v>3.65</v>
      </c>
      <c r="F19" s="1">
        <f t="shared" si="0"/>
        <v>126488</v>
      </c>
      <c r="G19" s="1">
        <v>0.9</v>
      </c>
      <c r="I19" s="1" t="s">
        <v>44</v>
      </c>
      <c r="J19" s="1">
        <v>26.39</v>
      </c>
    </row>
    <row r="20" spans="1:10" x14ac:dyDescent="0.3">
      <c r="A20" s="1">
        <v>2024</v>
      </c>
      <c r="B20" s="1">
        <v>44</v>
      </c>
      <c r="C20" s="1">
        <v>10</v>
      </c>
      <c r="D20" s="1">
        <v>1</v>
      </c>
      <c r="E20" s="1">
        <v>3.65</v>
      </c>
      <c r="F20" s="1">
        <f t="shared" si="0"/>
        <v>126488</v>
      </c>
      <c r="G20" s="1">
        <v>0.9</v>
      </c>
      <c r="I20" s="1" t="s">
        <v>45</v>
      </c>
      <c r="J20" s="1">
        <v>17.2</v>
      </c>
    </row>
    <row r="21" spans="1:10" x14ac:dyDescent="0.3">
      <c r="A21" s="1">
        <v>2024</v>
      </c>
      <c r="B21" s="1">
        <v>45</v>
      </c>
      <c r="C21" s="1">
        <v>11</v>
      </c>
      <c r="D21" s="1">
        <v>0</v>
      </c>
      <c r="E21" s="1">
        <v>3.65</v>
      </c>
      <c r="F21" s="1">
        <f t="shared" si="0"/>
        <v>124251</v>
      </c>
      <c r="G21" s="1">
        <v>1.3</v>
      </c>
      <c r="I21" s="1" t="s">
        <v>46</v>
      </c>
      <c r="J21" s="1">
        <v>17.53</v>
      </c>
    </row>
    <row r="22" spans="1:10" x14ac:dyDescent="0.3">
      <c r="A22" s="1">
        <v>2024</v>
      </c>
      <c r="B22" s="1">
        <v>46</v>
      </c>
      <c r="C22" s="1">
        <v>11</v>
      </c>
      <c r="D22" s="1">
        <v>0</v>
      </c>
      <c r="E22" s="1">
        <v>3.65</v>
      </c>
      <c r="F22" s="1">
        <f t="shared" si="0"/>
        <v>124251</v>
      </c>
      <c r="G22" s="1">
        <v>1.3</v>
      </c>
      <c r="I22" s="1" t="s">
        <v>47</v>
      </c>
      <c r="J22" s="1">
        <v>26.77</v>
      </c>
    </row>
    <row r="23" spans="1:10" x14ac:dyDescent="0.3">
      <c r="A23" s="1">
        <v>2024</v>
      </c>
      <c r="B23" s="1">
        <v>47</v>
      </c>
      <c r="C23" s="1">
        <v>11</v>
      </c>
      <c r="D23" s="1">
        <v>0</v>
      </c>
      <c r="E23" s="1">
        <v>3.65</v>
      </c>
      <c r="F23" s="1">
        <f t="shared" si="0"/>
        <v>124251</v>
      </c>
      <c r="G23" s="1">
        <v>1.3</v>
      </c>
      <c r="I23" s="1" t="s">
        <v>48</v>
      </c>
      <c r="J23" s="1">
        <v>17.21</v>
      </c>
    </row>
    <row r="24" spans="1:10" x14ac:dyDescent="0.3">
      <c r="A24" s="1">
        <v>2024</v>
      </c>
      <c r="B24" s="1">
        <v>48</v>
      </c>
      <c r="C24" s="1">
        <v>11</v>
      </c>
      <c r="D24" s="1">
        <v>0</v>
      </c>
      <c r="E24" s="1">
        <v>3.65</v>
      </c>
      <c r="F24" s="1">
        <f t="shared" si="0"/>
        <v>124251</v>
      </c>
      <c r="G24" s="1">
        <v>1.3</v>
      </c>
    </row>
    <row r="25" spans="1:10" x14ac:dyDescent="0.3">
      <c r="A25" s="1">
        <v>2024</v>
      </c>
      <c r="B25" s="1">
        <v>49</v>
      </c>
      <c r="C25" s="1">
        <v>12</v>
      </c>
      <c r="D25" s="1">
        <v>1</v>
      </c>
      <c r="E25" s="1">
        <v>3.65</v>
      </c>
      <c r="F25" s="1">
        <f t="shared" si="0"/>
        <v>105715</v>
      </c>
      <c r="G25" s="1">
        <v>1.3</v>
      </c>
    </row>
    <row r="26" spans="1:10" x14ac:dyDescent="0.3">
      <c r="A26" s="1">
        <v>2024</v>
      </c>
      <c r="B26" s="1">
        <v>50</v>
      </c>
      <c r="C26" s="1">
        <v>12</v>
      </c>
      <c r="D26" s="1">
        <v>0</v>
      </c>
      <c r="E26" s="1">
        <v>3.4</v>
      </c>
      <c r="F26" s="1">
        <f t="shared" si="0"/>
        <v>105715</v>
      </c>
      <c r="G26" s="1">
        <v>1.3</v>
      </c>
    </row>
    <row r="27" spans="1:10" x14ac:dyDescent="0.3">
      <c r="A27" s="1">
        <v>2024</v>
      </c>
      <c r="B27" s="1">
        <v>51</v>
      </c>
      <c r="C27" s="1">
        <v>12</v>
      </c>
      <c r="D27" s="1">
        <v>0</v>
      </c>
      <c r="E27" s="1">
        <v>3.4</v>
      </c>
      <c r="F27" s="1">
        <f t="shared" si="0"/>
        <v>105715</v>
      </c>
      <c r="G27" s="1">
        <v>1.3</v>
      </c>
    </row>
    <row r="28" spans="1:10" x14ac:dyDescent="0.3">
      <c r="A28" s="1">
        <v>2024</v>
      </c>
      <c r="B28" s="1">
        <v>52</v>
      </c>
      <c r="C28" s="1">
        <v>12</v>
      </c>
      <c r="D28" s="1">
        <v>1</v>
      </c>
      <c r="E28" s="1">
        <v>3.4</v>
      </c>
      <c r="F28" s="1">
        <f t="shared" si="0"/>
        <v>105715</v>
      </c>
      <c r="G28" s="1">
        <v>1.3</v>
      </c>
    </row>
    <row r="29" spans="1:10" x14ac:dyDescent="0.3">
      <c r="A29" s="1">
        <v>2025</v>
      </c>
      <c r="B29" s="1">
        <v>1</v>
      </c>
      <c r="C29" s="1">
        <v>12</v>
      </c>
      <c r="D29" s="1">
        <v>1</v>
      </c>
      <c r="E29" s="1">
        <v>3.4</v>
      </c>
      <c r="F29" s="1">
        <f t="shared" si="0"/>
        <v>105715</v>
      </c>
      <c r="G29" s="1">
        <v>1.3</v>
      </c>
    </row>
    <row r="30" spans="1:10" x14ac:dyDescent="0.3">
      <c r="A30" s="1">
        <v>2025</v>
      </c>
      <c r="B30" s="1">
        <v>2</v>
      </c>
      <c r="C30" s="1">
        <v>1</v>
      </c>
      <c r="D30" s="1">
        <v>1</v>
      </c>
      <c r="E30" s="1">
        <v>3.4</v>
      </c>
      <c r="F30" s="1">
        <f t="shared" si="0"/>
        <v>133692</v>
      </c>
      <c r="G30" s="1">
        <v>1.5</v>
      </c>
    </row>
    <row r="31" spans="1:10" x14ac:dyDescent="0.3">
      <c r="A31" s="1">
        <v>2025</v>
      </c>
      <c r="B31" s="1">
        <v>3</v>
      </c>
      <c r="C31" s="1">
        <v>1</v>
      </c>
      <c r="D31" s="1">
        <v>0</v>
      </c>
      <c r="E31" s="1">
        <v>3.4</v>
      </c>
      <c r="F31" s="1">
        <f t="shared" si="0"/>
        <v>133692</v>
      </c>
      <c r="G31" s="1">
        <v>1.5</v>
      </c>
    </row>
    <row r="32" spans="1:10" x14ac:dyDescent="0.3">
      <c r="A32" s="1">
        <v>2025</v>
      </c>
      <c r="B32" s="1">
        <v>4</v>
      </c>
      <c r="C32" s="1">
        <v>1</v>
      </c>
      <c r="D32" s="1">
        <v>0</v>
      </c>
      <c r="E32" s="1">
        <v>3.4</v>
      </c>
      <c r="F32" s="1">
        <f t="shared" si="0"/>
        <v>133692</v>
      </c>
      <c r="G32" s="1">
        <v>1.5</v>
      </c>
    </row>
    <row r="33" spans="1:7" x14ac:dyDescent="0.3">
      <c r="A33" s="1">
        <v>2025</v>
      </c>
      <c r="B33" s="1">
        <v>5</v>
      </c>
      <c r="C33" s="1">
        <v>1</v>
      </c>
      <c r="D33" s="1">
        <v>0</v>
      </c>
      <c r="E33" s="1">
        <v>3.4</v>
      </c>
      <c r="F33" s="1">
        <f t="shared" si="0"/>
        <v>133692</v>
      </c>
      <c r="G33" s="1">
        <v>1.5</v>
      </c>
    </row>
    <row r="34" spans="1:7" x14ac:dyDescent="0.3">
      <c r="A34" s="1">
        <v>2025</v>
      </c>
      <c r="B34" s="1">
        <v>6</v>
      </c>
      <c r="C34" s="1">
        <v>2</v>
      </c>
      <c r="D34" s="1">
        <v>0</v>
      </c>
      <c r="E34" s="1">
        <v>3.15</v>
      </c>
      <c r="F34" s="1">
        <f t="shared" si="0"/>
        <v>137922</v>
      </c>
      <c r="G34" s="1">
        <v>1.6</v>
      </c>
    </row>
    <row r="35" spans="1:7" x14ac:dyDescent="0.3">
      <c r="A35" s="1">
        <v>2025</v>
      </c>
      <c r="B35" s="1">
        <v>7</v>
      </c>
      <c r="C35" s="1">
        <v>2</v>
      </c>
      <c r="D35" s="1">
        <v>0</v>
      </c>
      <c r="E35" s="1">
        <v>3.15</v>
      </c>
      <c r="F35" s="1">
        <f t="shared" ref="F35:F54" si="1">VLOOKUP($C35,$M$3:$N$14,2,0)</f>
        <v>137922</v>
      </c>
      <c r="G35" s="1">
        <v>1.6</v>
      </c>
    </row>
    <row r="36" spans="1:7" x14ac:dyDescent="0.3">
      <c r="A36" s="1">
        <v>2025</v>
      </c>
      <c r="B36" s="1">
        <v>8</v>
      </c>
      <c r="C36" s="1">
        <v>2</v>
      </c>
      <c r="D36" s="1">
        <v>0</v>
      </c>
      <c r="E36" s="1">
        <v>3.15</v>
      </c>
      <c r="F36" s="1">
        <f t="shared" si="1"/>
        <v>137922</v>
      </c>
      <c r="G36" s="1">
        <v>1.6</v>
      </c>
    </row>
    <row r="37" spans="1:7" x14ac:dyDescent="0.3">
      <c r="A37" s="1">
        <v>2025</v>
      </c>
      <c r="B37" s="1">
        <v>9</v>
      </c>
      <c r="C37" s="1">
        <v>2</v>
      </c>
      <c r="D37" s="1">
        <v>0</v>
      </c>
      <c r="E37" s="1">
        <v>3.15</v>
      </c>
      <c r="F37" s="1">
        <f t="shared" si="1"/>
        <v>137922</v>
      </c>
      <c r="G37" s="1">
        <v>1.6</v>
      </c>
    </row>
    <row r="38" spans="1:7" x14ac:dyDescent="0.3">
      <c r="A38" s="1">
        <v>2025</v>
      </c>
      <c r="B38" s="1">
        <v>10</v>
      </c>
      <c r="C38" s="1">
        <v>3</v>
      </c>
      <c r="D38" s="1">
        <v>0</v>
      </c>
      <c r="E38" s="1">
        <v>3.15</v>
      </c>
      <c r="F38" s="1">
        <f t="shared" si="1"/>
        <v>172223</v>
      </c>
      <c r="G38" s="1">
        <v>1.9</v>
      </c>
    </row>
    <row r="39" spans="1:7" x14ac:dyDescent="0.3">
      <c r="A39" s="1">
        <v>2025</v>
      </c>
      <c r="B39" s="1">
        <v>11</v>
      </c>
      <c r="C39" s="1">
        <v>3</v>
      </c>
      <c r="D39" s="1">
        <v>0</v>
      </c>
      <c r="E39" s="1">
        <v>2.9</v>
      </c>
      <c r="F39" s="1">
        <f t="shared" si="1"/>
        <v>172223</v>
      </c>
      <c r="G39" s="1">
        <v>1.9</v>
      </c>
    </row>
    <row r="40" spans="1:7" x14ac:dyDescent="0.3">
      <c r="A40" s="1">
        <v>2025</v>
      </c>
      <c r="B40" s="1">
        <v>12</v>
      </c>
      <c r="C40" s="1">
        <v>3</v>
      </c>
      <c r="D40" s="1">
        <v>0</v>
      </c>
      <c r="E40" s="1">
        <v>2.9</v>
      </c>
      <c r="F40" s="1">
        <f t="shared" si="1"/>
        <v>172223</v>
      </c>
      <c r="G40" s="1">
        <v>1.9</v>
      </c>
    </row>
    <row r="41" spans="1:7" x14ac:dyDescent="0.3">
      <c r="A41" s="1">
        <v>2025</v>
      </c>
      <c r="B41" s="1">
        <v>13</v>
      </c>
      <c r="C41" s="1">
        <v>3</v>
      </c>
      <c r="D41" s="1">
        <v>0</v>
      </c>
      <c r="E41" s="1">
        <v>2.9</v>
      </c>
      <c r="F41" s="1">
        <f t="shared" si="1"/>
        <v>172223</v>
      </c>
      <c r="G41" s="1">
        <v>1.9</v>
      </c>
    </row>
    <row r="42" spans="1:7" x14ac:dyDescent="0.3">
      <c r="A42" s="1">
        <v>2025</v>
      </c>
      <c r="B42" s="1">
        <v>14</v>
      </c>
      <c r="C42" s="1">
        <v>3</v>
      </c>
      <c r="D42" s="1">
        <v>0</v>
      </c>
      <c r="E42" s="1">
        <v>2.9</v>
      </c>
      <c r="F42" s="1">
        <f t="shared" si="1"/>
        <v>172223</v>
      </c>
      <c r="G42" s="1">
        <v>1.9</v>
      </c>
    </row>
    <row r="43" spans="1:7" x14ac:dyDescent="0.3">
      <c r="A43" s="1">
        <v>2025</v>
      </c>
      <c r="B43" s="1">
        <v>15</v>
      </c>
      <c r="C43" s="1">
        <v>4</v>
      </c>
      <c r="D43" s="1">
        <v>0</v>
      </c>
      <c r="E43" s="1">
        <v>2.9</v>
      </c>
      <c r="F43" s="1">
        <f t="shared" si="1"/>
        <v>139084</v>
      </c>
      <c r="G43" s="1">
        <v>1.9</v>
      </c>
    </row>
    <row r="44" spans="1:7" x14ac:dyDescent="0.3">
      <c r="A44" s="1">
        <v>2025</v>
      </c>
      <c r="B44" s="1">
        <v>16</v>
      </c>
      <c r="C44" s="1">
        <v>4</v>
      </c>
      <c r="D44" s="1">
        <v>0</v>
      </c>
      <c r="E44" s="1">
        <v>2.9</v>
      </c>
      <c r="F44" s="1">
        <f t="shared" si="1"/>
        <v>139084</v>
      </c>
      <c r="G44" s="1">
        <v>1.9</v>
      </c>
    </row>
    <row r="45" spans="1:7" x14ac:dyDescent="0.3">
      <c r="A45" s="1">
        <v>2025</v>
      </c>
      <c r="B45" s="1">
        <v>17</v>
      </c>
      <c r="C45" s="1">
        <v>4</v>
      </c>
      <c r="D45" s="1">
        <v>1</v>
      </c>
      <c r="E45" s="1">
        <v>2.65</v>
      </c>
      <c r="F45" s="1">
        <f t="shared" si="1"/>
        <v>139084</v>
      </c>
      <c r="G45" s="1">
        <v>1.9</v>
      </c>
    </row>
    <row r="46" spans="1:7" x14ac:dyDescent="0.3">
      <c r="A46" s="1">
        <v>2025</v>
      </c>
      <c r="B46" s="1">
        <v>18</v>
      </c>
      <c r="C46" s="1">
        <v>4</v>
      </c>
      <c r="D46" s="1">
        <v>1</v>
      </c>
      <c r="E46" s="1">
        <v>2.65</v>
      </c>
      <c r="F46" s="1">
        <f t="shared" si="1"/>
        <v>139084</v>
      </c>
      <c r="G46" s="1">
        <v>1.9</v>
      </c>
    </row>
    <row r="47" spans="1:7" x14ac:dyDescent="0.3">
      <c r="A47" s="1">
        <v>2025</v>
      </c>
      <c r="B47" s="1">
        <v>19</v>
      </c>
      <c r="C47" s="1">
        <v>5</v>
      </c>
      <c r="D47" s="1">
        <v>0</v>
      </c>
      <c r="E47" s="1">
        <v>2.65</v>
      </c>
      <c r="F47" s="1">
        <f t="shared" si="1"/>
        <v>139390</v>
      </c>
      <c r="G47" s="1">
        <v>1.6</v>
      </c>
    </row>
    <row r="48" spans="1:7" x14ac:dyDescent="0.3">
      <c r="A48" s="1">
        <v>2025</v>
      </c>
      <c r="B48" s="1">
        <v>20</v>
      </c>
      <c r="C48" s="1">
        <v>5</v>
      </c>
      <c r="D48" s="1">
        <v>0</v>
      </c>
      <c r="E48" s="1">
        <v>2.65</v>
      </c>
      <c r="F48" s="1">
        <f t="shared" si="1"/>
        <v>139390</v>
      </c>
      <c r="G48" s="1">
        <v>1.6</v>
      </c>
    </row>
    <row r="49" spans="1:7" x14ac:dyDescent="0.3">
      <c r="A49" s="1">
        <v>2025</v>
      </c>
      <c r="B49" s="1">
        <v>21</v>
      </c>
      <c r="C49" s="1">
        <v>5</v>
      </c>
      <c r="D49" s="1">
        <v>0</v>
      </c>
      <c r="E49" s="1">
        <v>2.65</v>
      </c>
      <c r="F49" s="1">
        <f t="shared" si="1"/>
        <v>139390</v>
      </c>
      <c r="G49" s="1">
        <v>1.6</v>
      </c>
    </row>
    <row r="50" spans="1:7" x14ac:dyDescent="0.3">
      <c r="A50" s="1">
        <v>2025</v>
      </c>
      <c r="B50" s="1">
        <v>22</v>
      </c>
      <c r="C50" s="1">
        <v>5</v>
      </c>
      <c r="D50" s="1">
        <v>0</v>
      </c>
      <c r="E50" s="1">
        <v>2.65</v>
      </c>
      <c r="F50" s="1">
        <f t="shared" si="1"/>
        <v>139390</v>
      </c>
      <c r="G50" s="1">
        <v>1.6</v>
      </c>
    </row>
    <row r="51" spans="1:7" x14ac:dyDescent="0.3">
      <c r="A51" s="1">
        <v>2025</v>
      </c>
      <c r="B51" s="1">
        <v>23</v>
      </c>
      <c r="C51" s="1">
        <v>5</v>
      </c>
      <c r="D51" s="1">
        <v>1</v>
      </c>
      <c r="E51" s="1">
        <v>2.4</v>
      </c>
      <c r="F51" s="1">
        <f t="shared" si="1"/>
        <v>139390</v>
      </c>
      <c r="G51" s="1">
        <v>1.6</v>
      </c>
    </row>
    <row r="52" spans="1:7" x14ac:dyDescent="0.3">
      <c r="A52" s="1">
        <v>2025</v>
      </c>
      <c r="B52" s="1">
        <v>24</v>
      </c>
      <c r="C52" s="1">
        <v>6</v>
      </c>
      <c r="D52" s="1">
        <v>0</v>
      </c>
      <c r="E52" s="1">
        <v>2.4</v>
      </c>
      <c r="F52" s="1">
        <f t="shared" si="1"/>
        <v>132191</v>
      </c>
      <c r="G52" s="1">
        <v>1.7</v>
      </c>
    </row>
    <row r="53" spans="1:7" x14ac:dyDescent="0.3">
      <c r="A53" s="1">
        <v>2025</v>
      </c>
      <c r="B53" s="1">
        <v>25</v>
      </c>
      <c r="C53" s="1">
        <v>6</v>
      </c>
      <c r="D53" s="1">
        <v>0</v>
      </c>
      <c r="E53" s="1">
        <v>2.4</v>
      </c>
      <c r="F53" s="1">
        <f t="shared" si="1"/>
        <v>132191</v>
      </c>
      <c r="G53" s="1">
        <v>1.7</v>
      </c>
    </row>
    <row r="54" spans="1:7" x14ac:dyDescent="0.3">
      <c r="A54" s="1">
        <v>2025</v>
      </c>
      <c r="B54" s="1">
        <v>26</v>
      </c>
      <c r="C54" s="1">
        <v>6</v>
      </c>
      <c r="D54" s="1">
        <v>0</v>
      </c>
      <c r="E54" s="1">
        <v>2.4</v>
      </c>
      <c r="F54" s="1">
        <f t="shared" si="1"/>
        <v>132191</v>
      </c>
      <c r="G54" s="1">
        <v>1.7</v>
      </c>
    </row>
  </sheetData>
  <sortState xmlns:xlrd2="http://schemas.microsoft.com/office/spreadsheetml/2017/richdata2" ref="I7:I29">
    <sortCondition ref="I7:I2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3A14-D0F4-4250-BC67-028B92A86AE4}">
  <dimension ref="A1:O1093"/>
  <sheetViews>
    <sheetView tabSelected="1" workbookViewId="0">
      <selection activeCell="A2" sqref="A2"/>
    </sheetView>
  </sheetViews>
  <sheetFormatPr defaultRowHeight="14.4" x14ac:dyDescent="0.3"/>
  <cols>
    <col min="1" max="1" width="12.21875" style="13" bestFit="1" customWidth="1"/>
  </cols>
  <sheetData>
    <row r="1" spans="1:15" s="3" customFormat="1" ht="43.2" customHeight="1" x14ac:dyDescent="0.3">
      <c r="A1" s="3" t="s">
        <v>0</v>
      </c>
      <c r="B1" s="3" t="s">
        <v>2</v>
      </c>
      <c r="C1" s="3" t="s">
        <v>3</v>
      </c>
      <c r="D1" s="3" t="s">
        <v>13</v>
      </c>
      <c r="E1" s="3" t="s">
        <v>12</v>
      </c>
      <c r="F1" s="3" t="s">
        <v>1</v>
      </c>
      <c r="G1" s="3" t="s">
        <v>4</v>
      </c>
      <c r="H1" s="3" t="s">
        <v>5</v>
      </c>
      <c r="I1" s="3" t="s">
        <v>6</v>
      </c>
      <c r="J1" s="3" t="s">
        <v>10</v>
      </c>
      <c r="K1" s="3" t="s">
        <v>11</v>
      </c>
      <c r="L1" s="3" t="s">
        <v>7</v>
      </c>
      <c r="M1" s="3" t="s">
        <v>8</v>
      </c>
      <c r="N1" s="3" t="s">
        <v>9</v>
      </c>
      <c r="O1" s="3" t="s">
        <v>28</v>
      </c>
    </row>
    <row r="2" spans="1:15" x14ac:dyDescent="0.3">
      <c r="A2" s="13" t="s">
        <v>32</v>
      </c>
      <c r="B2" s="12" t="s">
        <v>29</v>
      </c>
      <c r="C2" s="12" t="s">
        <v>29</v>
      </c>
      <c r="D2">
        <v>12</v>
      </c>
      <c r="E2">
        <v>27</v>
      </c>
      <c r="F2">
        <v>7</v>
      </c>
      <c r="G2" t="b">
        <v>0</v>
      </c>
      <c r="H2">
        <v>17.25</v>
      </c>
      <c r="I2">
        <v>124806</v>
      </c>
      <c r="J2">
        <v>4.5</v>
      </c>
      <c r="K2">
        <v>1.3</v>
      </c>
      <c r="L2">
        <v>4770</v>
      </c>
      <c r="M2">
        <v>1620</v>
      </c>
      <c r="N2">
        <v>15</v>
      </c>
      <c r="O2">
        <v>0.33962264150943394</v>
      </c>
    </row>
    <row r="3" spans="1:15" x14ac:dyDescent="0.3">
      <c r="A3" s="13" t="s">
        <v>32</v>
      </c>
      <c r="B3" s="12" t="s">
        <v>29</v>
      </c>
      <c r="C3" s="12" t="s">
        <v>29</v>
      </c>
      <c r="D3">
        <v>12</v>
      </c>
      <c r="E3">
        <v>28</v>
      </c>
      <c r="F3">
        <v>7</v>
      </c>
      <c r="G3" t="b">
        <v>0</v>
      </c>
      <c r="H3">
        <v>17.25</v>
      </c>
      <c r="I3">
        <v>124806</v>
      </c>
      <c r="J3">
        <v>4.5</v>
      </c>
      <c r="K3">
        <v>1.3</v>
      </c>
      <c r="L3">
        <v>4770</v>
      </c>
      <c r="M3">
        <v>2070</v>
      </c>
      <c r="N3">
        <v>16</v>
      </c>
      <c r="O3">
        <v>0.43396226415094341</v>
      </c>
    </row>
    <row r="4" spans="1:15" x14ac:dyDescent="0.3">
      <c r="A4" s="13" t="s">
        <v>32</v>
      </c>
      <c r="B4" s="12" t="s">
        <v>29</v>
      </c>
      <c r="C4" s="12" t="s">
        <v>29</v>
      </c>
      <c r="D4">
        <v>12</v>
      </c>
      <c r="E4">
        <v>29</v>
      </c>
      <c r="F4">
        <v>7</v>
      </c>
      <c r="G4" t="b">
        <v>0</v>
      </c>
      <c r="H4">
        <v>17.25</v>
      </c>
      <c r="I4">
        <v>124806</v>
      </c>
      <c r="J4">
        <v>4.5</v>
      </c>
      <c r="K4">
        <v>1.3</v>
      </c>
      <c r="L4">
        <v>4860</v>
      </c>
      <c r="M4">
        <v>2880</v>
      </c>
      <c r="N4">
        <v>17</v>
      </c>
      <c r="O4">
        <v>0.59259259259259256</v>
      </c>
    </row>
    <row r="5" spans="1:15" x14ac:dyDescent="0.3">
      <c r="A5" s="13" t="s">
        <v>32</v>
      </c>
      <c r="B5" s="12" t="s">
        <v>29</v>
      </c>
      <c r="C5" s="12" t="s">
        <v>29</v>
      </c>
      <c r="D5">
        <v>12</v>
      </c>
      <c r="E5">
        <v>30</v>
      </c>
      <c r="F5">
        <v>7</v>
      </c>
      <c r="G5" t="b">
        <v>0</v>
      </c>
      <c r="H5">
        <v>17.25</v>
      </c>
      <c r="I5">
        <v>124806</v>
      </c>
      <c r="J5">
        <v>4.5</v>
      </c>
      <c r="K5">
        <v>1.3</v>
      </c>
      <c r="L5">
        <v>4770</v>
      </c>
      <c r="M5">
        <v>2700</v>
      </c>
      <c r="N5">
        <v>18</v>
      </c>
      <c r="O5">
        <v>0.56603773584905659</v>
      </c>
    </row>
    <row r="6" spans="1:15" x14ac:dyDescent="0.3">
      <c r="A6" s="13" t="s">
        <v>32</v>
      </c>
      <c r="B6" s="12" t="s">
        <v>29</v>
      </c>
      <c r="C6" s="12" t="s">
        <v>29</v>
      </c>
      <c r="D6">
        <v>12</v>
      </c>
      <c r="E6">
        <v>31</v>
      </c>
      <c r="F6">
        <v>7</v>
      </c>
      <c r="G6" t="b">
        <v>0</v>
      </c>
      <c r="H6">
        <v>17.25</v>
      </c>
      <c r="I6">
        <v>124806</v>
      </c>
      <c r="J6">
        <v>4.5</v>
      </c>
      <c r="K6">
        <v>1.3</v>
      </c>
      <c r="L6">
        <v>3960</v>
      </c>
      <c r="M6">
        <v>2790</v>
      </c>
      <c r="N6">
        <v>19</v>
      </c>
      <c r="O6">
        <v>0.70454545454545459</v>
      </c>
    </row>
    <row r="7" spans="1:15" x14ac:dyDescent="0.3">
      <c r="A7" s="13" t="s">
        <v>32</v>
      </c>
      <c r="B7" s="12" t="s">
        <v>29</v>
      </c>
      <c r="C7" s="12" t="s">
        <v>29</v>
      </c>
      <c r="D7">
        <v>14</v>
      </c>
      <c r="E7">
        <v>32</v>
      </c>
      <c r="F7">
        <v>8</v>
      </c>
      <c r="G7" t="b">
        <v>1</v>
      </c>
      <c r="H7">
        <v>17.25</v>
      </c>
      <c r="I7">
        <v>69121</v>
      </c>
      <c r="J7">
        <v>4.5</v>
      </c>
      <c r="K7">
        <v>1.1000000000000001</v>
      </c>
      <c r="L7">
        <v>0</v>
      </c>
      <c r="M7">
        <v>0</v>
      </c>
      <c r="N7">
        <v>18</v>
      </c>
      <c r="O7" t="e">
        <v>#DIV/0!</v>
      </c>
    </row>
    <row r="8" spans="1:15" x14ac:dyDescent="0.3">
      <c r="A8" s="13" t="s">
        <v>32</v>
      </c>
      <c r="B8" s="12" t="s">
        <v>29</v>
      </c>
      <c r="C8" s="12" t="s">
        <v>29</v>
      </c>
      <c r="D8">
        <v>15</v>
      </c>
      <c r="E8">
        <v>33</v>
      </c>
      <c r="F8">
        <v>8</v>
      </c>
      <c r="G8" t="b">
        <v>1</v>
      </c>
      <c r="H8">
        <v>17.25</v>
      </c>
      <c r="I8">
        <v>69121</v>
      </c>
      <c r="J8">
        <v>4.5</v>
      </c>
      <c r="K8">
        <v>1.1000000000000001</v>
      </c>
      <c r="L8">
        <v>0</v>
      </c>
      <c r="M8">
        <v>0</v>
      </c>
      <c r="N8">
        <v>18</v>
      </c>
      <c r="O8" t="e">
        <v>#DIV/0!</v>
      </c>
    </row>
    <row r="9" spans="1:15" x14ac:dyDescent="0.3">
      <c r="A9" s="13" t="s">
        <v>32</v>
      </c>
      <c r="B9" s="12" t="s">
        <v>29</v>
      </c>
      <c r="C9" s="12" t="s">
        <v>29</v>
      </c>
      <c r="D9">
        <v>15</v>
      </c>
      <c r="E9">
        <v>34</v>
      </c>
      <c r="F9">
        <v>8</v>
      </c>
      <c r="G9" t="b">
        <v>0</v>
      </c>
      <c r="H9">
        <v>17.25</v>
      </c>
      <c r="I9">
        <v>69121</v>
      </c>
      <c r="J9">
        <v>4.5</v>
      </c>
      <c r="K9">
        <v>1.1000000000000001</v>
      </c>
      <c r="L9">
        <v>2880</v>
      </c>
      <c r="M9">
        <v>0</v>
      </c>
      <c r="N9">
        <v>19</v>
      </c>
      <c r="O9">
        <v>0</v>
      </c>
    </row>
    <row r="10" spans="1:15" x14ac:dyDescent="0.3">
      <c r="A10" s="13" t="s">
        <v>32</v>
      </c>
      <c r="B10" s="12" t="s">
        <v>29</v>
      </c>
      <c r="C10" s="12" t="s">
        <v>29</v>
      </c>
      <c r="D10">
        <v>15</v>
      </c>
      <c r="E10">
        <v>35</v>
      </c>
      <c r="F10">
        <v>8</v>
      </c>
      <c r="G10" t="b">
        <v>0</v>
      </c>
      <c r="H10">
        <v>17.25</v>
      </c>
      <c r="I10">
        <v>69121</v>
      </c>
      <c r="J10">
        <v>4.5</v>
      </c>
      <c r="K10">
        <v>1.1000000000000001</v>
      </c>
      <c r="L10">
        <v>3586</v>
      </c>
      <c r="M10">
        <v>3420</v>
      </c>
      <c r="N10">
        <v>20</v>
      </c>
      <c r="O10">
        <v>0.95370886781929731</v>
      </c>
    </row>
    <row r="11" spans="1:15" x14ac:dyDescent="0.3">
      <c r="A11" s="13" t="s">
        <v>32</v>
      </c>
      <c r="B11" s="12" t="s">
        <v>29</v>
      </c>
      <c r="C11" s="12" t="s">
        <v>29</v>
      </c>
      <c r="D11">
        <v>23</v>
      </c>
      <c r="E11">
        <v>36</v>
      </c>
      <c r="F11">
        <v>9</v>
      </c>
      <c r="G11" t="b">
        <v>0</v>
      </c>
      <c r="H11">
        <v>17.25</v>
      </c>
      <c r="I11">
        <v>121666</v>
      </c>
      <c r="J11">
        <v>4.5</v>
      </c>
      <c r="K11">
        <v>0.7</v>
      </c>
      <c r="L11">
        <v>4680</v>
      </c>
      <c r="M11">
        <v>3240</v>
      </c>
      <c r="N11">
        <v>13</v>
      </c>
      <c r="O11">
        <v>0.69230769230769229</v>
      </c>
    </row>
    <row r="12" spans="1:15" x14ac:dyDescent="0.3">
      <c r="A12" s="13" t="s">
        <v>32</v>
      </c>
      <c r="B12" s="12" t="s">
        <v>29</v>
      </c>
      <c r="C12" s="12" t="s">
        <v>29</v>
      </c>
      <c r="D12">
        <v>23</v>
      </c>
      <c r="E12">
        <v>37</v>
      </c>
      <c r="F12">
        <v>9</v>
      </c>
      <c r="G12" t="b">
        <v>0</v>
      </c>
      <c r="H12">
        <v>17.25</v>
      </c>
      <c r="I12">
        <v>121666</v>
      </c>
      <c r="J12">
        <v>4.5</v>
      </c>
      <c r="K12">
        <v>0.7</v>
      </c>
      <c r="L12">
        <v>4770</v>
      </c>
      <c r="M12">
        <v>2340</v>
      </c>
      <c r="N12">
        <v>14</v>
      </c>
      <c r="O12">
        <v>0.49056603773584906</v>
      </c>
    </row>
    <row r="13" spans="1:15" x14ac:dyDescent="0.3">
      <c r="A13" s="13" t="s">
        <v>32</v>
      </c>
      <c r="B13" s="12" t="s">
        <v>29</v>
      </c>
      <c r="C13" s="12" t="s">
        <v>29</v>
      </c>
      <c r="D13">
        <v>23</v>
      </c>
      <c r="E13">
        <v>38</v>
      </c>
      <c r="F13">
        <v>9</v>
      </c>
      <c r="G13" t="b">
        <v>0</v>
      </c>
      <c r="H13">
        <v>17.25</v>
      </c>
      <c r="I13">
        <v>121666</v>
      </c>
      <c r="J13">
        <v>3.9</v>
      </c>
      <c r="K13">
        <v>0.7</v>
      </c>
      <c r="L13">
        <v>3600</v>
      </c>
      <c r="M13">
        <v>3960</v>
      </c>
      <c r="N13">
        <v>15</v>
      </c>
      <c r="O13">
        <v>1.1000000000000001</v>
      </c>
    </row>
    <row r="14" spans="1:15" x14ac:dyDescent="0.3">
      <c r="A14" s="13" t="s">
        <v>32</v>
      </c>
      <c r="B14" s="12" t="s">
        <v>29</v>
      </c>
      <c r="C14" s="12" t="s">
        <v>29</v>
      </c>
      <c r="D14">
        <v>23</v>
      </c>
      <c r="E14">
        <v>39</v>
      </c>
      <c r="F14">
        <v>9</v>
      </c>
      <c r="G14" t="b">
        <v>0</v>
      </c>
      <c r="H14">
        <v>17.25</v>
      </c>
      <c r="I14">
        <v>121666</v>
      </c>
      <c r="J14">
        <v>3.9</v>
      </c>
      <c r="K14">
        <v>0.7</v>
      </c>
      <c r="L14">
        <v>3600</v>
      </c>
      <c r="M14">
        <v>3690</v>
      </c>
      <c r="N14">
        <v>16</v>
      </c>
      <c r="O14">
        <v>1.0249999999999999</v>
      </c>
    </row>
    <row r="15" spans="1:15" x14ac:dyDescent="0.3">
      <c r="A15" s="13" t="s">
        <v>32</v>
      </c>
      <c r="B15" s="12" t="s">
        <v>29</v>
      </c>
      <c r="C15" s="12" t="s">
        <v>29</v>
      </c>
      <c r="D15">
        <v>27</v>
      </c>
      <c r="E15">
        <v>40</v>
      </c>
      <c r="F15">
        <v>9</v>
      </c>
      <c r="G15" t="b">
        <v>0</v>
      </c>
      <c r="H15">
        <v>17.25</v>
      </c>
      <c r="I15">
        <v>121666</v>
      </c>
      <c r="J15">
        <v>3.9</v>
      </c>
      <c r="K15">
        <v>0.7</v>
      </c>
      <c r="L15">
        <v>3600</v>
      </c>
      <c r="M15">
        <v>2520</v>
      </c>
      <c r="N15">
        <v>13</v>
      </c>
      <c r="O15">
        <v>0.7</v>
      </c>
    </row>
    <row r="16" spans="1:15" x14ac:dyDescent="0.3">
      <c r="A16" s="13" t="s">
        <v>32</v>
      </c>
      <c r="B16" s="12" t="s">
        <v>29</v>
      </c>
      <c r="C16" s="12" t="s">
        <v>29</v>
      </c>
      <c r="D16">
        <v>27</v>
      </c>
      <c r="E16">
        <v>41</v>
      </c>
      <c r="F16">
        <v>10</v>
      </c>
      <c r="G16" t="b">
        <v>0</v>
      </c>
      <c r="H16">
        <v>17.25</v>
      </c>
      <c r="I16">
        <v>126488</v>
      </c>
      <c r="J16">
        <v>3.9</v>
      </c>
      <c r="K16">
        <v>0.9</v>
      </c>
      <c r="L16">
        <v>3600</v>
      </c>
      <c r="M16">
        <v>1080</v>
      </c>
      <c r="N16">
        <v>14</v>
      </c>
      <c r="O16">
        <v>0.3</v>
      </c>
    </row>
    <row r="17" spans="1:15" x14ac:dyDescent="0.3">
      <c r="A17" s="13" t="s">
        <v>32</v>
      </c>
      <c r="B17" s="12" t="s">
        <v>29</v>
      </c>
      <c r="C17" s="12" t="s">
        <v>29</v>
      </c>
      <c r="D17">
        <v>27</v>
      </c>
      <c r="E17">
        <v>42</v>
      </c>
      <c r="F17">
        <v>10</v>
      </c>
      <c r="G17" t="b">
        <v>0</v>
      </c>
      <c r="H17">
        <v>17.25</v>
      </c>
      <c r="I17">
        <v>126488</v>
      </c>
      <c r="J17">
        <v>3.9</v>
      </c>
      <c r="K17">
        <v>0.9</v>
      </c>
      <c r="L17">
        <v>3600</v>
      </c>
      <c r="M17">
        <v>2250</v>
      </c>
      <c r="N17">
        <v>15</v>
      </c>
      <c r="O17">
        <v>0.625</v>
      </c>
    </row>
    <row r="18" spans="1:15" x14ac:dyDescent="0.3">
      <c r="A18" s="13" t="s">
        <v>32</v>
      </c>
      <c r="B18" s="12" t="s">
        <v>29</v>
      </c>
      <c r="C18" s="12" t="s">
        <v>29</v>
      </c>
      <c r="D18">
        <v>27</v>
      </c>
      <c r="E18">
        <v>43</v>
      </c>
      <c r="F18">
        <v>10</v>
      </c>
      <c r="G18" t="b">
        <v>0</v>
      </c>
      <c r="H18">
        <v>17.25</v>
      </c>
      <c r="I18">
        <v>126488</v>
      </c>
      <c r="J18">
        <v>3.65</v>
      </c>
      <c r="K18">
        <v>0.9</v>
      </c>
      <c r="L18">
        <v>3600</v>
      </c>
      <c r="M18">
        <v>2700</v>
      </c>
      <c r="N18">
        <v>16</v>
      </c>
      <c r="O18">
        <v>0.75</v>
      </c>
    </row>
    <row r="19" spans="1:15" x14ac:dyDescent="0.3">
      <c r="A19" s="13" t="s">
        <v>32</v>
      </c>
      <c r="B19" s="12" t="s">
        <v>29</v>
      </c>
      <c r="C19" s="12" t="s">
        <v>29</v>
      </c>
      <c r="D19">
        <v>27</v>
      </c>
      <c r="E19">
        <v>44</v>
      </c>
      <c r="F19">
        <v>10</v>
      </c>
      <c r="G19" t="b">
        <v>1</v>
      </c>
      <c r="H19">
        <v>17.25</v>
      </c>
      <c r="I19">
        <v>126488</v>
      </c>
      <c r="J19">
        <v>3.65</v>
      </c>
      <c r="K19">
        <v>0.9</v>
      </c>
      <c r="L19">
        <v>2430</v>
      </c>
      <c r="M19">
        <v>0</v>
      </c>
      <c r="N19">
        <v>17</v>
      </c>
      <c r="O19">
        <v>0</v>
      </c>
    </row>
    <row r="20" spans="1:15" x14ac:dyDescent="0.3">
      <c r="A20" s="13" t="s">
        <v>32</v>
      </c>
      <c r="B20" s="12" t="s">
        <v>29</v>
      </c>
      <c r="C20" s="12" t="s">
        <v>29</v>
      </c>
      <c r="D20">
        <v>36</v>
      </c>
      <c r="E20">
        <v>45</v>
      </c>
      <c r="F20">
        <v>11</v>
      </c>
      <c r="G20" t="b">
        <v>0</v>
      </c>
      <c r="H20">
        <v>17.25</v>
      </c>
      <c r="I20">
        <v>124251</v>
      </c>
      <c r="J20">
        <v>3.65</v>
      </c>
      <c r="K20">
        <v>1.3</v>
      </c>
      <c r="L20">
        <v>3060</v>
      </c>
      <c r="M20">
        <v>2610</v>
      </c>
      <c r="N20">
        <v>9</v>
      </c>
      <c r="O20">
        <v>0.8529411764705882</v>
      </c>
    </row>
    <row r="21" spans="1:15" x14ac:dyDescent="0.3">
      <c r="A21" s="13" t="s">
        <v>32</v>
      </c>
      <c r="B21" s="12" t="s">
        <v>29</v>
      </c>
      <c r="C21" s="12" t="s">
        <v>29</v>
      </c>
      <c r="D21">
        <v>36</v>
      </c>
      <c r="E21">
        <v>46</v>
      </c>
      <c r="F21">
        <v>11</v>
      </c>
      <c r="G21" t="b">
        <v>0</v>
      </c>
      <c r="H21">
        <v>17.25</v>
      </c>
      <c r="I21">
        <v>124251</v>
      </c>
      <c r="J21">
        <v>3.65</v>
      </c>
      <c r="K21">
        <v>1.3</v>
      </c>
      <c r="L21">
        <v>3060</v>
      </c>
      <c r="M21">
        <v>2970</v>
      </c>
      <c r="N21">
        <v>10</v>
      </c>
      <c r="O21">
        <v>0.97058823529411764</v>
      </c>
    </row>
    <row r="22" spans="1:15" x14ac:dyDescent="0.3">
      <c r="A22" s="13" t="s">
        <v>32</v>
      </c>
      <c r="B22" s="12" t="s">
        <v>29</v>
      </c>
      <c r="C22" s="12" t="s">
        <v>29</v>
      </c>
      <c r="D22">
        <v>36</v>
      </c>
      <c r="E22">
        <v>47</v>
      </c>
      <c r="F22">
        <v>11</v>
      </c>
      <c r="G22" t="b">
        <v>0</v>
      </c>
      <c r="H22">
        <v>17.25</v>
      </c>
      <c r="I22">
        <v>124251</v>
      </c>
      <c r="J22">
        <v>3.65</v>
      </c>
      <c r="K22">
        <v>1.3</v>
      </c>
      <c r="L22">
        <v>3060</v>
      </c>
      <c r="M22">
        <v>3150</v>
      </c>
      <c r="N22">
        <v>11</v>
      </c>
      <c r="O22">
        <v>1.0294117647058822</v>
      </c>
    </row>
    <row r="23" spans="1:15" x14ac:dyDescent="0.3">
      <c r="A23" s="13" t="s">
        <v>32</v>
      </c>
      <c r="B23" s="12" t="s">
        <v>29</v>
      </c>
      <c r="C23" s="12" t="s">
        <v>29</v>
      </c>
      <c r="D23">
        <v>36</v>
      </c>
      <c r="E23">
        <v>48</v>
      </c>
      <c r="F23">
        <v>11</v>
      </c>
      <c r="G23" t="b">
        <v>0</v>
      </c>
      <c r="H23">
        <v>17.25</v>
      </c>
      <c r="I23">
        <v>124251</v>
      </c>
      <c r="J23">
        <v>3.65</v>
      </c>
      <c r="K23">
        <v>1.3</v>
      </c>
      <c r="L23">
        <v>3060</v>
      </c>
      <c r="M23">
        <v>3240</v>
      </c>
      <c r="N23">
        <v>12</v>
      </c>
      <c r="O23">
        <v>1.0588235294117647</v>
      </c>
    </row>
    <row r="24" spans="1:15" x14ac:dyDescent="0.3">
      <c r="A24" s="13" t="s">
        <v>32</v>
      </c>
      <c r="B24" s="12" t="s">
        <v>29</v>
      </c>
      <c r="C24" s="12" t="s">
        <v>29</v>
      </c>
      <c r="D24">
        <v>38</v>
      </c>
      <c r="E24">
        <v>49</v>
      </c>
      <c r="F24">
        <v>12</v>
      </c>
      <c r="G24" t="b">
        <v>1</v>
      </c>
      <c r="H24">
        <v>17.25</v>
      </c>
      <c r="I24">
        <v>105715</v>
      </c>
      <c r="J24">
        <v>3.65</v>
      </c>
      <c r="K24">
        <v>1.3</v>
      </c>
      <c r="L24">
        <v>1260</v>
      </c>
      <c r="M24">
        <v>2700</v>
      </c>
      <c r="N24">
        <v>11</v>
      </c>
      <c r="O24">
        <v>2.1428571428571428</v>
      </c>
    </row>
    <row r="25" spans="1:15" x14ac:dyDescent="0.3">
      <c r="A25" s="13" t="s">
        <v>32</v>
      </c>
      <c r="B25" s="12" t="s">
        <v>29</v>
      </c>
      <c r="C25" s="12" t="s">
        <v>29</v>
      </c>
      <c r="D25">
        <v>39</v>
      </c>
      <c r="E25">
        <v>50</v>
      </c>
      <c r="F25">
        <v>12</v>
      </c>
      <c r="G25" t="b">
        <v>0</v>
      </c>
      <c r="H25">
        <v>17.25</v>
      </c>
      <c r="I25">
        <v>105715</v>
      </c>
      <c r="J25">
        <v>3.4</v>
      </c>
      <c r="K25">
        <v>1.3</v>
      </c>
      <c r="L25">
        <v>3060</v>
      </c>
      <c r="M25">
        <v>0</v>
      </c>
      <c r="N25">
        <v>11</v>
      </c>
      <c r="O25">
        <v>0</v>
      </c>
    </row>
    <row r="26" spans="1:15" x14ac:dyDescent="0.3">
      <c r="A26" s="13" t="s">
        <v>32</v>
      </c>
      <c r="B26" s="12" t="s">
        <v>29</v>
      </c>
      <c r="C26" s="12" t="s">
        <v>29</v>
      </c>
      <c r="D26">
        <v>38</v>
      </c>
      <c r="E26">
        <v>51</v>
      </c>
      <c r="F26">
        <v>12</v>
      </c>
      <c r="G26" t="b">
        <v>0</v>
      </c>
      <c r="H26">
        <v>17.25</v>
      </c>
      <c r="I26">
        <v>105715</v>
      </c>
      <c r="J26">
        <v>3.4</v>
      </c>
      <c r="K26">
        <v>1.3</v>
      </c>
      <c r="L26">
        <v>3060</v>
      </c>
      <c r="M26">
        <v>0</v>
      </c>
      <c r="N26">
        <v>13</v>
      </c>
      <c r="O26">
        <v>0</v>
      </c>
    </row>
    <row r="27" spans="1:15" x14ac:dyDescent="0.3">
      <c r="A27" s="13" t="s">
        <v>32</v>
      </c>
      <c r="B27" s="12" t="s">
        <v>29</v>
      </c>
      <c r="C27" s="12" t="s">
        <v>29</v>
      </c>
      <c r="D27">
        <v>38</v>
      </c>
      <c r="E27">
        <v>52</v>
      </c>
      <c r="F27">
        <v>12</v>
      </c>
      <c r="G27" t="b">
        <v>1</v>
      </c>
      <c r="H27">
        <v>17.25</v>
      </c>
      <c r="I27">
        <v>105715</v>
      </c>
      <c r="J27">
        <v>3.4</v>
      </c>
      <c r="K27">
        <v>1.3</v>
      </c>
      <c r="L27">
        <v>630</v>
      </c>
      <c r="M27">
        <v>0</v>
      </c>
      <c r="N27">
        <v>14</v>
      </c>
      <c r="O27">
        <v>0</v>
      </c>
    </row>
    <row r="28" spans="1:15" x14ac:dyDescent="0.3">
      <c r="A28" s="13" t="s">
        <v>32</v>
      </c>
      <c r="B28" s="12" t="s">
        <v>29</v>
      </c>
      <c r="C28" s="12" t="s">
        <v>29</v>
      </c>
      <c r="D28">
        <v>41</v>
      </c>
      <c r="E28">
        <v>1</v>
      </c>
      <c r="F28">
        <v>12</v>
      </c>
      <c r="G28" t="b">
        <v>1</v>
      </c>
      <c r="H28">
        <v>17.25</v>
      </c>
      <c r="I28">
        <v>105715</v>
      </c>
      <c r="J28">
        <v>3.4</v>
      </c>
      <c r="K28">
        <v>1.3</v>
      </c>
      <c r="L28">
        <v>3060</v>
      </c>
      <c r="M28">
        <v>0</v>
      </c>
      <c r="N28">
        <v>12</v>
      </c>
      <c r="O28">
        <v>0</v>
      </c>
    </row>
    <row r="29" spans="1:15" x14ac:dyDescent="0.3">
      <c r="A29" s="13" t="s">
        <v>32</v>
      </c>
      <c r="B29" s="12" t="s">
        <v>29</v>
      </c>
      <c r="C29" s="12" t="s">
        <v>29</v>
      </c>
      <c r="D29">
        <v>42</v>
      </c>
      <c r="E29">
        <v>2</v>
      </c>
      <c r="F29">
        <v>1</v>
      </c>
      <c r="G29" t="b">
        <v>1</v>
      </c>
      <c r="H29">
        <v>17.25</v>
      </c>
      <c r="I29">
        <v>133692</v>
      </c>
      <c r="J29">
        <v>3.4</v>
      </c>
      <c r="K29">
        <v>1.5</v>
      </c>
      <c r="L29">
        <v>0</v>
      </c>
      <c r="M29">
        <v>0</v>
      </c>
      <c r="N29">
        <v>12</v>
      </c>
      <c r="O29" t="e">
        <v>#DIV/0!</v>
      </c>
    </row>
    <row r="30" spans="1:15" x14ac:dyDescent="0.3">
      <c r="A30" s="13" t="s">
        <v>32</v>
      </c>
      <c r="B30" s="12" t="s">
        <v>29</v>
      </c>
      <c r="C30" s="12" t="s">
        <v>29</v>
      </c>
      <c r="D30">
        <v>43</v>
      </c>
      <c r="E30">
        <v>3</v>
      </c>
      <c r="F30">
        <v>1</v>
      </c>
      <c r="G30" t="b">
        <v>0</v>
      </c>
      <c r="H30">
        <v>17.25</v>
      </c>
      <c r="I30">
        <v>133692</v>
      </c>
      <c r="J30">
        <v>3.4</v>
      </c>
      <c r="K30">
        <v>1.5</v>
      </c>
      <c r="L30">
        <v>3690</v>
      </c>
      <c r="M30">
        <v>1440</v>
      </c>
      <c r="N30">
        <v>12</v>
      </c>
      <c r="O30">
        <v>0.3902439024390244</v>
      </c>
    </row>
    <row r="31" spans="1:15" x14ac:dyDescent="0.3">
      <c r="A31" s="13" t="s">
        <v>32</v>
      </c>
      <c r="B31" s="12" t="s">
        <v>29</v>
      </c>
      <c r="C31" s="12" t="s">
        <v>29</v>
      </c>
      <c r="D31">
        <v>43</v>
      </c>
      <c r="E31">
        <v>4</v>
      </c>
      <c r="F31">
        <v>1</v>
      </c>
      <c r="G31" t="b">
        <v>0</v>
      </c>
      <c r="H31">
        <v>17.25</v>
      </c>
      <c r="I31">
        <v>133692</v>
      </c>
      <c r="J31">
        <v>3.4</v>
      </c>
      <c r="K31">
        <v>1.5</v>
      </c>
      <c r="L31">
        <v>3600</v>
      </c>
      <c r="M31">
        <v>2340</v>
      </c>
      <c r="N31">
        <v>13</v>
      </c>
      <c r="O31">
        <v>0.65</v>
      </c>
    </row>
    <row r="32" spans="1:15" x14ac:dyDescent="0.3">
      <c r="A32" s="13" t="s">
        <v>32</v>
      </c>
      <c r="B32" s="12" t="s">
        <v>29</v>
      </c>
      <c r="C32" s="12" t="s">
        <v>29</v>
      </c>
      <c r="D32">
        <v>43</v>
      </c>
      <c r="E32">
        <v>5</v>
      </c>
      <c r="F32">
        <v>1</v>
      </c>
      <c r="G32" t="b">
        <v>0</v>
      </c>
      <c r="H32">
        <v>17.25</v>
      </c>
      <c r="I32">
        <v>133692</v>
      </c>
      <c r="J32">
        <v>3.4</v>
      </c>
      <c r="K32">
        <v>1.5</v>
      </c>
      <c r="L32">
        <v>3690</v>
      </c>
      <c r="M32">
        <v>0</v>
      </c>
      <c r="N32">
        <v>14</v>
      </c>
      <c r="O32">
        <v>0</v>
      </c>
    </row>
    <row r="33" spans="1:15" x14ac:dyDescent="0.3">
      <c r="A33" s="13" t="s">
        <v>32</v>
      </c>
      <c r="B33" s="12" t="s">
        <v>29</v>
      </c>
      <c r="C33" s="12" t="s">
        <v>29</v>
      </c>
      <c r="D33">
        <v>49</v>
      </c>
      <c r="E33">
        <v>6</v>
      </c>
      <c r="F33">
        <v>2</v>
      </c>
      <c r="G33" t="b">
        <v>0</v>
      </c>
      <c r="H33">
        <v>17.25</v>
      </c>
      <c r="I33">
        <v>137922</v>
      </c>
      <c r="J33">
        <v>3.15</v>
      </c>
      <c r="K33">
        <v>1.6</v>
      </c>
      <c r="L33">
        <v>2430</v>
      </c>
      <c r="M33">
        <v>3690</v>
      </c>
      <c r="N33">
        <v>9</v>
      </c>
      <c r="O33">
        <v>1.5185185185185186</v>
      </c>
    </row>
    <row r="34" spans="1:15" x14ac:dyDescent="0.3">
      <c r="A34" s="13" t="s">
        <v>32</v>
      </c>
      <c r="B34" s="12" t="s">
        <v>29</v>
      </c>
      <c r="C34" s="12" t="s">
        <v>29</v>
      </c>
      <c r="D34">
        <v>49</v>
      </c>
      <c r="E34">
        <v>7</v>
      </c>
      <c r="F34">
        <v>2</v>
      </c>
      <c r="G34" t="b">
        <v>0</v>
      </c>
      <c r="H34">
        <v>17.25</v>
      </c>
      <c r="I34">
        <v>137922</v>
      </c>
      <c r="J34">
        <v>3.15</v>
      </c>
      <c r="K34">
        <v>1.6</v>
      </c>
      <c r="L34">
        <v>2520</v>
      </c>
      <c r="M34">
        <v>3330</v>
      </c>
      <c r="N34">
        <v>10</v>
      </c>
      <c r="O34">
        <v>1.3214285714285714</v>
      </c>
    </row>
    <row r="35" spans="1:15" x14ac:dyDescent="0.3">
      <c r="A35" s="13" t="s">
        <v>32</v>
      </c>
      <c r="B35" s="12" t="s">
        <v>29</v>
      </c>
      <c r="C35" s="12" t="s">
        <v>29</v>
      </c>
      <c r="D35">
        <v>49</v>
      </c>
      <c r="E35">
        <v>8</v>
      </c>
      <c r="F35">
        <v>2</v>
      </c>
      <c r="G35" t="b">
        <v>0</v>
      </c>
      <c r="H35">
        <v>17.25</v>
      </c>
      <c r="I35">
        <v>137922</v>
      </c>
      <c r="J35">
        <v>3.15</v>
      </c>
      <c r="K35">
        <v>1.6</v>
      </c>
      <c r="L35">
        <v>2430</v>
      </c>
      <c r="M35">
        <v>3510</v>
      </c>
      <c r="N35">
        <v>11</v>
      </c>
      <c r="O35">
        <v>1.4444444444444444</v>
      </c>
    </row>
    <row r="36" spans="1:15" x14ac:dyDescent="0.3">
      <c r="A36" s="13" t="s">
        <v>32</v>
      </c>
      <c r="B36" s="12" t="s">
        <v>29</v>
      </c>
      <c r="C36" s="12" t="s">
        <v>29</v>
      </c>
      <c r="D36">
        <v>49</v>
      </c>
      <c r="E36">
        <v>9</v>
      </c>
      <c r="F36">
        <v>2</v>
      </c>
      <c r="G36" t="b">
        <v>0</v>
      </c>
      <c r="H36">
        <v>17.25</v>
      </c>
      <c r="I36">
        <v>137922</v>
      </c>
      <c r="J36">
        <v>3.15</v>
      </c>
      <c r="K36">
        <v>1.6</v>
      </c>
      <c r="L36">
        <v>2520</v>
      </c>
      <c r="M36">
        <v>3420</v>
      </c>
      <c r="N36">
        <v>12</v>
      </c>
      <c r="O36">
        <v>1.3571428571428572</v>
      </c>
    </row>
    <row r="37" spans="1:15" x14ac:dyDescent="0.3">
      <c r="A37" s="13" t="s">
        <v>32</v>
      </c>
      <c r="B37" s="12" t="s">
        <v>29</v>
      </c>
      <c r="C37" s="12" t="s">
        <v>29</v>
      </c>
      <c r="D37">
        <v>1</v>
      </c>
      <c r="E37">
        <v>10</v>
      </c>
      <c r="F37">
        <v>3</v>
      </c>
      <c r="G37" t="b">
        <v>0</v>
      </c>
      <c r="H37">
        <v>17.25</v>
      </c>
      <c r="I37">
        <v>172223</v>
      </c>
      <c r="J37">
        <v>3.15</v>
      </c>
      <c r="K37">
        <v>1.9</v>
      </c>
      <c r="L37">
        <v>2070</v>
      </c>
      <c r="M37">
        <v>3060</v>
      </c>
      <c r="N37">
        <v>9</v>
      </c>
      <c r="O37">
        <v>1.4782608695652173</v>
      </c>
    </row>
    <row r="38" spans="1:15" x14ac:dyDescent="0.3">
      <c r="A38" s="13" t="s">
        <v>32</v>
      </c>
      <c r="B38" s="12" t="s">
        <v>29</v>
      </c>
      <c r="C38" s="12" t="s">
        <v>29</v>
      </c>
      <c r="D38">
        <v>1</v>
      </c>
      <c r="E38">
        <v>11</v>
      </c>
      <c r="F38">
        <v>3</v>
      </c>
      <c r="G38" t="b">
        <v>0</v>
      </c>
      <c r="H38">
        <v>17.25</v>
      </c>
      <c r="I38">
        <v>172223</v>
      </c>
      <c r="J38">
        <v>2.9</v>
      </c>
      <c r="K38">
        <v>1.9</v>
      </c>
      <c r="L38">
        <v>2160</v>
      </c>
      <c r="M38">
        <v>2880</v>
      </c>
      <c r="N38">
        <v>10</v>
      </c>
      <c r="O38">
        <v>1.3333333333333333</v>
      </c>
    </row>
    <row r="39" spans="1:15" x14ac:dyDescent="0.3">
      <c r="A39" s="13" t="s">
        <v>32</v>
      </c>
      <c r="B39" s="12" t="s">
        <v>29</v>
      </c>
      <c r="C39" s="12" t="s">
        <v>29</v>
      </c>
      <c r="D39">
        <v>1</v>
      </c>
      <c r="E39">
        <v>12</v>
      </c>
      <c r="F39">
        <v>3</v>
      </c>
      <c r="G39" t="b">
        <v>0</v>
      </c>
      <c r="H39">
        <v>17.25</v>
      </c>
      <c r="I39">
        <v>172223</v>
      </c>
      <c r="J39">
        <v>2.9</v>
      </c>
      <c r="K39">
        <v>1.9</v>
      </c>
      <c r="L39">
        <v>2160</v>
      </c>
      <c r="M39">
        <v>3780</v>
      </c>
      <c r="N39">
        <v>11</v>
      </c>
      <c r="O39">
        <v>1.75</v>
      </c>
    </row>
    <row r="40" spans="1:15" x14ac:dyDescent="0.3">
      <c r="A40" s="13" t="s">
        <v>32</v>
      </c>
      <c r="B40" s="12" t="s">
        <v>29</v>
      </c>
      <c r="C40" s="12" t="s">
        <v>29</v>
      </c>
      <c r="D40">
        <v>1</v>
      </c>
      <c r="E40">
        <v>13</v>
      </c>
      <c r="F40">
        <v>3</v>
      </c>
      <c r="G40" t="b">
        <v>0</v>
      </c>
      <c r="H40">
        <v>17.25</v>
      </c>
      <c r="I40">
        <v>172223</v>
      </c>
      <c r="J40">
        <v>2.9</v>
      </c>
      <c r="K40">
        <v>1.9</v>
      </c>
      <c r="L40">
        <v>2160</v>
      </c>
      <c r="M40">
        <v>3780</v>
      </c>
      <c r="N40">
        <v>12</v>
      </c>
      <c r="O40">
        <v>1.75</v>
      </c>
    </row>
    <row r="41" spans="1:15" x14ac:dyDescent="0.3">
      <c r="A41" s="13" t="s">
        <v>32</v>
      </c>
      <c r="B41" s="12" t="s">
        <v>29</v>
      </c>
      <c r="C41" s="12" t="s">
        <v>29</v>
      </c>
      <c r="D41">
        <v>1</v>
      </c>
      <c r="E41">
        <v>14</v>
      </c>
      <c r="F41">
        <v>3</v>
      </c>
      <c r="G41" t="b">
        <v>0</v>
      </c>
      <c r="H41">
        <v>17.25</v>
      </c>
      <c r="I41">
        <v>172223</v>
      </c>
      <c r="J41">
        <v>2.9</v>
      </c>
      <c r="K41">
        <v>1.9</v>
      </c>
      <c r="L41">
        <v>1620</v>
      </c>
      <c r="M41">
        <v>2790</v>
      </c>
      <c r="N41">
        <v>13</v>
      </c>
      <c r="O41">
        <v>1.7222222222222223</v>
      </c>
    </row>
    <row r="42" spans="1:15" x14ac:dyDescent="0.3">
      <c r="A42" s="13" t="s">
        <v>32</v>
      </c>
      <c r="B42" s="12" t="s">
        <v>29</v>
      </c>
      <c r="C42" s="12" t="s">
        <v>29</v>
      </c>
      <c r="D42">
        <v>5</v>
      </c>
      <c r="E42">
        <v>15</v>
      </c>
      <c r="F42">
        <v>4</v>
      </c>
      <c r="G42" t="b">
        <v>0</v>
      </c>
      <c r="H42">
        <v>17.25</v>
      </c>
      <c r="I42">
        <v>139084</v>
      </c>
      <c r="J42">
        <v>2.9</v>
      </c>
      <c r="K42">
        <v>1.9</v>
      </c>
      <c r="L42">
        <v>2430</v>
      </c>
      <c r="M42">
        <v>3240</v>
      </c>
      <c r="N42">
        <v>10</v>
      </c>
      <c r="O42">
        <v>1.3333333333333333</v>
      </c>
    </row>
    <row r="43" spans="1:15" x14ac:dyDescent="0.3">
      <c r="A43" s="13" t="s">
        <v>32</v>
      </c>
      <c r="B43" s="12" t="s">
        <v>29</v>
      </c>
      <c r="C43" s="12" t="s">
        <v>29</v>
      </c>
      <c r="D43">
        <v>5</v>
      </c>
      <c r="E43">
        <v>16</v>
      </c>
      <c r="F43">
        <v>4</v>
      </c>
      <c r="G43" t="b">
        <v>0</v>
      </c>
      <c r="H43">
        <v>17.25</v>
      </c>
      <c r="I43">
        <v>139084</v>
      </c>
      <c r="J43">
        <v>2.9</v>
      </c>
      <c r="K43">
        <v>1.9</v>
      </c>
      <c r="L43">
        <v>1530</v>
      </c>
      <c r="M43">
        <v>2430</v>
      </c>
      <c r="N43">
        <v>11</v>
      </c>
      <c r="O43">
        <v>1.588235294117647</v>
      </c>
    </row>
    <row r="44" spans="1:15" x14ac:dyDescent="0.3">
      <c r="A44" s="13" t="s">
        <v>32</v>
      </c>
      <c r="B44" s="12" t="s">
        <v>29</v>
      </c>
      <c r="C44" s="12" t="s">
        <v>29</v>
      </c>
      <c r="D44">
        <v>5</v>
      </c>
      <c r="E44">
        <v>17</v>
      </c>
      <c r="F44">
        <v>4</v>
      </c>
      <c r="G44" t="b">
        <v>1</v>
      </c>
      <c r="H44">
        <v>17.25</v>
      </c>
      <c r="I44">
        <v>139084</v>
      </c>
      <c r="J44">
        <v>2.65</v>
      </c>
      <c r="K44">
        <v>1.9</v>
      </c>
      <c r="L44">
        <v>0</v>
      </c>
      <c r="M44">
        <v>1800</v>
      </c>
      <c r="N44">
        <v>12</v>
      </c>
      <c r="O44" t="e">
        <v>#DIV/0!</v>
      </c>
    </row>
    <row r="45" spans="1:15" x14ac:dyDescent="0.3">
      <c r="A45" s="13" t="s">
        <v>32</v>
      </c>
      <c r="B45" s="12" t="s">
        <v>29</v>
      </c>
      <c r="C45" s="12" t="s">
        <v>29</v>
      </c>
      <c r="D45">
        <v>6</v>
      </c>
      <c r="E45">
        <v>18</v>
      </c>
      <c r="F45">
        <v>4</v>
      </c>
      <c r="G45" t="b">
        <v>1</v>
      </c>
      <c r="H45">
        <v>17.25</v>
      </c>
      <c r="I45">
        <v>139084</v>
      </c>
      <c r="J45">
        <v>2.65</v>
      </c>
      <c r="K45">
        <v>1.9</v>
      </c>
      <c r="L45">
        <v>1890</v>
      </c>
      <c r="M45">
        <v>2160</v>
      </c>
      <c r="N45">
        <v>12</v>
      </c>
      <c r="O45">
        <v>1.1428571428571428</v>
      </c>
    </row>
    <row r="46" spans="1:15" x14ac:dyDescent="0.3">
      <c r="A46" s="13" t="s">
        <v>32</v>
      </c>
      <c r="B46" s="12" t="s">
        <v>29</v>
      </c>
      <c r="C46" s="12" t="s">
        <v>29</v>
      </c>
      <c r="D46">
        <v>7</v>
      </c>
      <c r="E46">
        <v>19</v>
      </c>
      <c r="F46">
        <v>5</v>
      </c>
      <c r="G46" t="b">
        <v>0</v>
      </c>
      <c r="H46">
        <v>17.25</v>
      </c>
      <c r="I46">
        <v>139390</v>
      </c>
      <c r="J46">
        <v>2.65</v>
      </c>
      <c r="K46">
        <v>1.6</v>
      </c>
      <c r="L46">
        <v>2790</v>
      </c>
      <c r="M46">
        <v>2790</v>
      </c>
      <c r="N46">
        <v>12</v>
      </c>
      <c r="O46">
        <v>1</v>
      </c>
    </row>
    <row r="47" spans="1:15" x14ac:dyDescent="0.3">
      <c r="A47" s="13" t="s">
        <v>32</v>
      </c>
      <c r="B47" s="12" t="s">
        <v>29</v>
      </c>
      <c r="C47" s="12" t="s">
        <v>29</v>
      </c>
      <c r="D47">
        <v>7</v>
      </c>
      <c r="E47">
        <v>20</v>
      </c>
      <c r="F47">
        <v>5</v>
      </c>
      <c r="G47" t="b">
        <v>0</v>
      </c>
      <c r="H47">
        <v>17.25</v>
      </c>
      <c r="I47">
        <v>139390</v>
      </c>
      <c r="J47">
        <v>2.65</v>
      </c>
      <c r="K47">
        <v>1.6</v>
      </c>
      <c r="L47">
        <v>1080</v>
      </c>
      <c r="M47">
        <v>3330</v>
      </c>
      <c r="N47">
        <v>13</v>
      </c>
      <c r="O47">
        <v>3.0833333333333335</v>
      </c>
    </row>
    <row r="48" spans="1:15" x14ac:dyDescent="0.3">
      <c r="A48" s="13" t="s">
        <v>32</v>
      </c>
      <c r="B48" s="12" t="s">
        <v>29</v>
      </c>
      <c r="C48" s="12" t="s">
        <v>29</v>
      </c>
      <c r="D48">
        <v>7</v>
      </c>
      <c r="E48">
        <v>21</v>
      </c>
      <c r="F48">
        <v>5</v>
      </c>
      <c r="G48" t="b">
        <v>0</v>
      </c>
      <c r="H48">
        <v>17.25</v>
      </c>
      <c r="I48">
        <v>139390</v>
      </c>
      <c r="J48">
        <v>2.65</v>
      </c>
      <c r="K48">
        <v>1.6</v>
      </c>
      <c r="L48">
        <v>2520</v>
      </c>
      <c r="M48">
        <v>3420</v>
      </c>
      <c r="N48">
        <v>14</v>
      </c>
      <c r="O48">
        <v>1.3571428571428572</v>
      </c>
    </row>
    <row r="49" spans="1:15" x14ac:dyDescent="0.3">
      <c r="A49" s="13" t="s">
        <v>32</v>
      </c>
      <c r="B49" s="12" t="s">
        <v>29</v>
      </c>
      <c r="C49" s="12" t="s">
        <v>29</v>
      </c>
      <c r="D49">
        <v>7</v>
      </c>
      <c r="E49">
        <v>22</v>
      </c>
      <c r="F49">
        <v>5</v>
      </c>
      <c r="G49" t="b">
        <v>0</v>
      </c>
      <c r="H49">
        <v>17.25</v>
      </c>
      <c r="I49">
        <v>139390</v>
      </c>
      <c r="J49">
        <v>2.65</v>
      </c>
      <c r="K49">
        <v>1.6</v>
      </c>
      <c r="L49">
        <v>2430</v>
      </c>
      <c r="M49">
        <v>3420</v>
      </c>
      <c r="N49">
        <v>15</v>
      </c>
      <c r="O49">
        <v>1.4074074074074074</v>
      </c>
    </row>
    <row r="50" spans="1:15" x14ac:dyDescent="0.3">
      <c r="A50" s="13" t="s">
        <v>32</v>
      </c>
      <c r="B50" s="12" t="s">
        <v>29</v>
      </c>
      <c r="C50" s="12" t="s">
        <v>29</v>
      </c>
      <c r="D50">
        <v>11</v>
      </c>
      <c r="E50">
        <v>23</v>
      </c>
      <c r="F50">
        <v>5</v>
      </c>
      <c r="G50" t="b">
        <v>1</v>
      </c>
      <c r="H50">
        <v>17.25</v>
      </c>
      <c r="I50">
        <v>139390</v>
      </c>
      <c r="J50">
        <v>2.4</v>
      </c>
      <c r="K50">
        <v>1.6</v>
      </c>
      <c r="L50">
        <v>1440</v>
      </c>
      <c r="M50">
        <v>3060</v>
      </c>
      <c r="N50">
        <v>12</v>
      </c>
      <c r="O50">
        <v>2.125</v>
      </c>
    </row>
    <row r="51" spans="1:15" x14ac:dyDescent="0.3">
      <c r="A51" s="13" t="s">
        <v>32</v>
      </c>
      <c r="B51" s="12" t="s">
        <v>29</v>
      </c>
      <c r="C51" s="12" t="s">
        <v>29</v>
      </c>
      <c r="D51">
        <v>11</v>
      </c>
      <c r="E51">
        <v>24</v>
      </c>
      <c r="F51">
        <v>6</v>
      </c>
      <c r="G51" t="b">
        <v>0</v>
      </c>
      <c r="H51">
        <v>17.25</v>
      </c>
      <c r="I51">
        <v>132191</v>
      </c>
      <c r="J51">
        <v>2.4</v>
      </c>
      <c r="K51">
        <v>1.7</v>
      </c>
      <c r="L51">
        <v>2520</v>
      </c>
      <c r="M51">
        <v>2880</v>
      </c>
      <c r="N51">
        <v>13</v>
      </c>
      <c r="O51">
        <v>1.1428571428571428</v>
      </c>
    </row>
    <row r="52" spans="1:15" x14ac:dyDescent="0.3">
      <c r="A52" s="13" t="s">
        <v>32</v>
      </c>
      <c r="B52" s="12" t="s">
        <v>29</v>
      </c>
      <c r="C52" s="12" t="s">
        <v>29</v>
      </c>
      <c r="D52">
        <v>11</v>
      </c>
      <c r="E52">
        <v>25</v>
      </c>
      <c r="F52">
        <v>6</v>
      </c>
      <c r="G52" t="b">
        <v>0</v>
      </c>
      <c r="H52">
        <v>17.25</v>
      </c>
      <c r="I52">
        <v>132191</v>
      </c>
      <c r="J52">
        <v>2.4</v>
      </c>
      <c r="K52">
        <v>1.7</v>
      </c>
      <c r="L52">
        <v>2520</v>
      </c>
      <c r="M52">
        <v>3510</v>
      </c>
      <c r="N52">
        <v>14</v>
      </c>
      <c r="O52">
        <v>1.3928571428571428</v>
      </c>
    </row>
    <row r="53" spans="1:15" x14ac:dyDescent="0.3">
      <c r="A53" s="13" t="s">
        <v>32</v>
      </c>
      <c r="B53" s="12" t="s">
        <v>29</v>
      </c>
      <c r="C53" s="12" t="s">
        <v>29</v>
      </c>
      <c r="D53">
        <v>11</v>
      </c>
      <c r="E53">
        <v>26</v>
      </c>
      <c r="F53">
        <v>6</v>
      </c>
      <c r="G53" t="b">
        <v>0</v>
      </c>
      <c r="H53">
        <v>17.25</v>
      </c>
      <c r="I53">
        <v>132191</v>
      </c>
      <c r="J53">
        <v>2.4</v>
      </c>
      <c r="K53">
        <v>1.7</v>
      </c>
      <c r="L53">
        <v>2430</v>
      </c>
      <c r="M53">
        <v>1980</v>
      </c>
      <c r="N53">
        <v>15</v>
      </c>
      <c r="O53">
        <v>0.81481481481481477</v>
      </c>
    </row>
    <row r="54" spans="1:15" x14ac:dyDescent="0.3">
      <c r="A54" s="13" t="s">
        <v>31</v>
      </c>
      <c r="B54" s="12" t="s">
        <v>29</v>
      </c>
      <c r="C54" s="12" t="s">
        <v>29</v>
      </c>
      <c r="D54">
        <v>12</v>
      </c>
      <c r="E54">
        <v>27</v>
      </c>
      <c r="F54">
        <v>7</v>
      </c>
      <c r="G54" t="b">
        <v>0</v>
      </c>
      <c r="H54">
        <v>17.25</v>
      </c>
      <c r="I54">
        <v>124806</v>
      </c>
      <c r="J54">
        <v>4.5</v>
      </c>
      <c r="K54">
        <v>1.3</v>
      </c>
      <c r="L54">
        <v>4770</v>
      </c>
      <c r="M54">
        <v>1620</v>
      </c>
      <c r="N54">
        <v>15</v>
      </c>
      <c r="O54">
        <v>0.33962264150943394</v>
      </c>
    </row>
    <row r="55" spans="1:15" x14ac:dyDescent="0.3">
      <c r="A55" s="13" t="s">
        <v>31</v>
      </c>
      <c r="B55" s="12" t="s">
        <v>29</v>
      </c>
      <c r="C55" s="12" t="s">
        <v>29</v>
      </c>
      <c r="D55">
        <v>12</v>
      </c>
      <c r="E55">
        <v>28</v>
      </c>
      <c r="F55">
        <v>7</v>
      </c>
      <c r="G55" t="b">
        <v>0</v>
      </c>
      <c r="H55">
        <v>17.25</v>
      </c>
      <c r="I55">
        <v>124806</v>
      </c>
      <c r="J55">
        <v>4.5</v>
      </c>
      <c r="K55">
        <v>1.3</v>
      </c>
      <c r="L55">
        <v>4770</v>
      </c>
      <c r="M55">
        <v>2070</v>
      </c>
      <c r="N55">
        <v>16</v>
      </c>
      <c r="O55">
        <v>0.43396226415094341</v>
      </c>
    </row>
    <row r="56" spans="1:15" x14ac:dyDescent="0.3">
      <c r="A56" s="13" t="s">
        <v>31</v>
      </c>
      <c r="B56" s="12" t="s">
        <v>29</v>
      </c>
      <c r="C56" s="12" t="s">
        <v>29</v>
      </c>
      <c r="D56">
        <v>12</v>
      </c>
      <c r="E56">
        <v>29</v>
      </c>
      <c r="F56">
        <v>7</v>
      </c>
      <c r="G56" t="b">
        <v>0</v>
      </c>
      <c r="H56">
        <v>17.25</v>
      </c>
      <c r="I56">
        <v>124806</v>
      </c>
      <c r="J56">
        <v>4.5</v>
      </c>
      <c r="K56">
        <v>1.3</v>
      </c>
      <c r="L56">
        <v>4860</v>
      </c>
      <c r="M56">
        <v>2880</v>
      </c>
      <c r="N56">
        <v>17</v>
      </c>
      <c r="O56">
        <v>0.59259259259259256</v>
      </c>
    </row>
    <row r="57" spans="1:15" x14ac:dyDescent="0.3">
      <c r="A57" s="13" t="s">
        <v>31</v>
      </c>
      <c r="B57" s="12" t="s">
        <v>29</v>
      </c>
      <c r="C57" s="12" t="s">
        <v>29</v>
      </c>
      <c r="D57">
        <v>12</v>
      </c>
      <c r="E57">
        <v>30</v>
      </c>
      <c r="F57">
        <v>7</v>
      </c>
      <c r="G57" t="b">
        <v>0</v>
      </c>
      <c r="H57">
        <v>17.25</v>
      </c>
      <c r="I57">
        <v>124806</v>
      </c>
      <c r="J57">
        <v>4.5</v>
      </c>
      <c r="K57">
        <v>1.3</v>
      </c>
      <c r="L57">
        <v>4770</v>
      </c>
      <c r="M57">
        <v>2700</v>
      </c>
      <c r="N57">
        <v>18</v>
      </c>
      <c r="O57">
        <v>0.56603773584905659</v>
      </c>
    </row>
    <row r="58" spans="1:15" x14ac:dyDescent="0.3">
      <c r="A58" s="13" t="s">
        <v>31</v>
      </c>
      <c r="B58" s="12" t="s">
        <v>29</v>
      </c>
      <c r="C58" s="12" t="s">
        <v>29</v>
      </c>
      <c r="D58">
        <v>12</v>
      </c>
      <c r="E58">
        <v>31</v>
      </c>
      <c r="F58">
        <v>7</v>
      </c>
      <c r="G58" t="b">
        <v>0</v>
      </c>
      <c r="H58">
        <v>17.25</v>
      </c>
      <c r="I58">
        <v>124806</v>
      </c>
      <c r="J58">
        <v>4.5</v>
      </c>
      <c r="K58">
        <v>1.3</v>
      </c>
      <c r="L58">
        <v>3960</v>
      </c>
      <c r="M58">
        <v>2790</v>
      </c>
      <c r="N58">
        <v>19</v>
      </c>
      <c r="O58">
        <v>0.70454545454545459</v>
      </c>
    </row>
    <row r="59" spans="1:15" x14ac:dyDescent="0.3">
      <c r="A59" s="13" t="s">
        <v>31</v>
      </c>
      <c r="B59" s="12" t="s">
        <v>29</v>
      </c>
      <c r="C59" s="12" t="s">
        <v>29</v>
      </c>
      <c r="D59">
        <v>14</v>
      </c>
      <c r="E59">
        <v>32</v>
      </c>
      <c r="F59">
        <v>8</v>
      </c>
      <c r="G59" t="b">
        <v>1</v>
      </c>
      <c r="H59">
        <v>17.25</v>
      </c>
      <c r="I59">
        <v>69121</v>
      </c>
      <c r="J59">
        <v>4.5</v>
      </c>
      <c r="K59">
        <v>1.1000000000000001</v>
      </c>
      <c r="L59">
        <v>0</v>
      </c>
      <c r="M59">
        <v>0</v>
      </c>
      <c r="N59">
        <v>18</v>
      </c>
      <c r="O59" t="e">
        <v>#DIV/0!</v>
      </c>
    </row>
    <row r="60" spans="1:15" x14ac:dyDescent="0.3">
      <c r="A60" s="13" t="s">
        <v>31</v>
      </c>
      <c r="B60" s="12" t="s">
        <v>29</v>
      </c>
      <c r="C60" s="12" t="s">
        <v>29</v>
      </c>
      <c r="D60">
        <v>15</v>
      </c>
      <c r="E60">
        <v>33</v>
      </c>
      <c r="F60">
        <v>8</v>
      </c>
      <c r="G60" t="b">
        <v>1</v>
      </c>
      <c r="H60">
        <v>17.25</v>
      </c>
      <c r="I60">
        <v>69121</v>
      </c>
      <c r="J60">
        <v>4.5</v>
      </c>
      <c r="K60">
        <v>1.1000000000000001</v>
      </c>
      <c r="L60">
        <v>0</v>
      </c>
      <c r="M60">
        <v>0</v>
      </c>
      <c r="N60">
        <v>18</v>
      </c>
      <c r="O60" t="e">
        <v>#DIV/0!</v>
      </c>
    </row>
    <row r="61" spans="1:15" x14ac:dyDescent="0.3">
      <c r="A61" s="13" t="s">
        <v>31</v>
      </c>
      <c r="B61" s="12" t="s">
        <v>29</v>
      </c>
      <c r="C61" s="12" t="s">
        <v>29</v>
      </c>
      <c r="D61">
        <v>15</v>
      </c>
      <c r="E61">
        <v>34</v>
      </c>
      <c r="F61">
        <v>8</v>
      </c>
      <c r="G61" t="b">
        <v>0</v>
      </c>
      <c r="H61">
        <v>17.25</v>
      </c>
      <c r="I61">
        <v>69121</v>
      </c>
      <c r="J61">
        <v>4.5</v>
      </c>
      <c r="K61">
        <v>1.1000000000000001</v>
      </c>
      <c r="L61">
        <v>2880</v>
      </c>
      <c r="M61">
        <v>0</v>
      </c>
      <c r="N61">
        <v>19</v>
      </c>
      <c r="O61">
        <v>0</v>
      </c>
    </row>
    <row r="62" spans="1:15" x14ac:dyDescent="0.3">
      <c r="A62" s="13" t="s">
        <v>31</v>
      </c>
      <c r="B62" s="12" t="s">
        <v>29</v>
      </c>
      <c r="C62" s="12" t="s">
        <v>29</v>
      </c>
      <c r="D62">
        <v>15</v>
      </c>
      <c r="E62">
        <v>35</v>
      </c>
      <c r="F62">
        <v>8</v>
      </c>
      <c r="G62" t="b">
        <v>0</v>
      </c>
      <c r="H62">
        <v>17.25</v>
      </c>
      <c r="I62">
        <v>69121</v>
      </c>
      <c r="J62">
        <v>4.5</v>
      </c>
      <c r="K62">
        <v>1.1000000000000001</v>
      </c>
      <c r="L62">
        <v>3586</v>
      </c>
      <c r="M62">
        <v>3600</v>
      </c>
      <c r="N62">
        <v>20</v>
      </c>
      <c r="O62">
        <v>1.0039040713887339</v>
      </c>
    </row>
    <row r="63" spans="1:15" x14ac:dyDescent="0.3">
      <c r="A63" s="13" t="s">
        <v>31</v>
      </c>
      <c r="B63" s="12" t="s">
        <v>29</v>
      </c>
      <c r="C63" s="12" t="s">
        <v>29</v>
      </c>
      <c r="D63">
        <v>23</v>
      </c>
      <c r="E63">
        <v>36</v>
      </c>
      <c r="F63">
        <v>9</v>
      </c>
      <c r="G63" t="b">
        <v>0</v>
      </c>
      <c r="H63">
        <v>17.25</v>
      </c>
      <c r="I63">
        <v>121666</v>
      </c>
      <c r="J63">
        <v>4.5</v>
      </c>
      <c r="K63">
        <v>0.7</v>
      </c>
      <c r="L63">
        <v>4680</v>
      </c>
      <c r="M63">
        <v>3060</v>
      </c>
      <c r="N63">
        <v>13</v>
      </c>
      <c r="O63">
        <v>0.65384615384615385</v>
      </c>
    </row>
    <row r="64" spans="1:15" x14ac:dyDescent="0.3">
      <c r="A64" s="13" t="s">
        <v>31</v>
      </c>
      <c r="B64" s="12" t="s">
        <v>29</v>
      </c>
      <c r="C64" s="12" t="s">
        <v>29</v>
      </c>
      <c r="D64">
        <v>23</v>
      </c>
      <c r="E64">
        <v>37</v>
      </c>
      <c r="F64">
        <v>9</v>
      </c>
      <c r="G64" t="b">
        <v>0</v>
      </c>
      <c r="H64">
        <v>17.25</v>
      </c>
      <c r="I64">
        <v>121666</v>
      </c>
      <c r="J64">
        <v>4.5</v>
      </c>
      <c r="K64">
        <v>0.7</v>
      </c>
      <c r="L64">
        <v>4770</v>
      </c>
      <c r="M64">
        <v>2340</v>
      </c>
      <c r="N64">
        <v>14</v>
      </c>
      <c r="O64">
        <v>0.49056603773584906</v>
      </c>
    </row>
    <row r="65" spans="1:15" x14ac:dyDescent="0.3">
      <c r="A65" s="13" t="s">
        <v>31</v>
      </c>
      <c r="B65" s="12" t="s">
        <v>29</v>
      </c>
      <c r="C65" s="12" t="s">
        <v>29</v>
      </c>
      <c r="D65">
        <v>23</v>
      </c>
      <c r="E65">
        <v>38</v>
      </c>
      <c r="F65">
        <v>9</v>
      </c>
      <c r="G65" t="b">
        <v>0</v>
      </c>
      <c r="H65">
        <v>17.25</v>
      </c>
      <c r="I65">
        <v>121666</v>
      </c>
      <c r="J65">
        <v>3.9</v>
      </c>
      <c r="K65">
        <v>0.7</v>
      </c>
      <c r="L65">
        <v>3600</v>
      </c>
      <c r="M65">
        <v>3960</v>
      </c>
      <c r="N65">
        <v>15</v>
      </c>
      <c r="O65">
        <v>1.1000000000000001</v>
      </c>
    </row>
    <row r="66" spans="1:15" x14ac:dyDescent="0.3">
      <c r="A66" s="13" t="s">
        <v>31</v>
      </c>
      <c r="B66" s="12" t="s">
        <v>29</v>
      </c>
      <c r="C66" s="12" t="s">
        <v>29</v>
      </c>
      <c r="D66">
        <v>23</v>
      </c>
      <c r="E66">
        <v>39</v>
      </c>
      <c r="F66">
        <v>9</v>
      </c>
      <c r="G66" t="b">
        <v>0</v>
      </c>
      <c r="H66">
        <v>17.25</v>
      </c>
      <c r="I66">
        <v>121666</v>
      </c>
      <c r="J66">
        <v>3.9</v>
      </c>
      <c r="K66">
        <v>0.7</v>
      </c>
      <c r="L66">
        <v>3600</v>
      </c>
      <c r="M66">
        <v>3690</v>
      </c>
      <c r="N66">
        <v>16</v>
      </c>
      <c r="O66">
        <v>1.0249999999999999</v>
      </c>
    </row>
    <row r="67" spans="1:15" x14ac:dyDescent="0.3">
      <c r="A67" s="13" t="s">
        <v>31</v>
      </c>
      <c r="B67" s="12" t="s">
        <v>29</v>
      </c>
      <c r="C67" s="12" t="s">
        <v>29</v>
      </c>
      <c r="D67">
        <v>27</v>
      </c>
      <c r="E67">
        <v>40</v>
      </c>
      <c r="F67">
        <v>9</v>
      </c>
      <c r="G67" t="b">
        <v>0</v>
      </c>
      <c r="H67">
        <v>17.25</v>
      </c>
      <c r="I67">
        <v>121666</v>
      </c>
      <c r="J67">
        <v>3.9</v>
      </c>
      <c r="K67">
        <v>0.7</v>
      </c>
      <c r="L67">
        <v>3600</v>
      </c>
      <c r="M67">
        <v>2520</v>
      </c>
      <c r="N67">
        <v>13</v>
      </c>
      <c r="O67">
        <v>0.7</v>
      </c>
    </row>
    <row r="68" spans="1:15" x14ac:dyDescent="0.3">
      <c r="A68" s="13" t="s">
        <v>31</v>
      </c>
      <c r="B68" s="12" t="s">
        <v>29</v>
      </c>
      <c r="C68" s="12" t="s">
        <v>29</v>
      </c>
      <c r="D68">
        <v>27</v>
      </c>
      <c r="E68">
        <v>41</v>
      </c>
      <c r="F68">
        <v>10</v>
      </c>
      <c r="G68" t="b">
        <v>0</v>
      </c>
      <c r="H68">
        <v>17.25</v>
      </c>
      <c r="I68">
        <v>126488</v>
      </c>
      <c r="J68">
        <v>3.9</v>
      </c>
      <c r="K68">
        <v>0.9</v>
      </c>
      <c r="L68">
        <v>3600</v>
      </c>
      <c r="M68">
        <v>1080</v>
      </c>
      <c r="N68">
        <v>14</v>
      </c>
      <c r="O68">
        <v>0.3</v>
      </c>
    </row>
    <row r="69" spans="1:15" x14ac:dyDescent="0.3">
      <c r="A69" s="13" t="s">
        <v>31</v>
      </c>
      <c r="B69" s="12" t="s">
        <v>29</v>
      </c>
      <c r="C69" s="12" t="s">
        <v>29</v>
      </c>
      <c r="D69">
        <v>27</v>
      </c>
      <c r="E69">
        <v>42</v>
      </c>
      <c r="F69">
        <v>10</v>
      </c>
      <c r="G69" t="b">
        <v>0</v>
      </c>
      <c r="H69">
        <v>17.25</v>
      </c>
      <c r="I69">
        <v>126488</v>
      </c>
      <c r="J69">
        <v>3.9</v>
      </c>
      <c r="K69">
        <v>0.9</v>
      </c>
      <c r="L69">
        <v>3600</v>
      </c>
      <c r="M69">
        <v>2250</v>
      </c>
      <c r="N69">
        <v>15</v>
      </c>
      <c r="O69">
        <v>0.625</v>
      </c>
    </row>
    <row r="70" spans="1:15" x14ac:dyDescent="0.3">
      <c r="A70" s="13" t="s">
        <v>31</v>
      </c>
      <c r="B70" s="12" t="s">
        <v>29</v>
      </c>
      <c r="C70" s="12" t="s">
        <v>29</v>
      </c>
      <c r="D70">
        <v>27</v>
      </c>
      <c r="E70">
        <v>43</v>
      </c>
      <c r="F70">
        <v>10</v>
      </c>
      <c r="G70" t="b">
        <v>0</v>
      </c>
      <c r="H70">
        <v>17.25</v>
      </c>
      <c r="I70">
        <v>126488</v>
      </c>
      <c r="J70">
        <v>3.65</v>
      </c>
      <c r="K70">
        <v>0.9</v>
      </c>
      <c r="L70">
        <v>3600</v>
      </c>
      <c r="M70">
        <v>2700</v>
      </c>
      <c r="N70">
        <v>16</v>
      </c>
      <c r="O70">
        <v>0.75</v>
      </c>
    </row>
    <row r="71" spans="1:15" x14ac:dyDescent="0.3">
      <c r="A71" s="13" t="s">
        <v>31</v>
      </c>
      <c r="B71" s="12" t="s">
        <v>29</v>
      </c>
      <c r="C71" s="12" t="s">
        <v>29</v>
      </c>
      <c r="D71">
        <v>27</v>
      </c>
      <c r="E71">
        <v>44</v>
      </c>
      <c r="F71">
        <v>10</v>
      </c>
      <c r="G71" t="b">
        <v>1</v>
      </c>
      <c r="H71">
        <v>17.25</v>
      </c>
      <c r="I71">
        <v>126488</v>
      </c>
      <c r="J71">
        <v>3.65</v>
      </c>
      <c r="K71">
        <v>0.9</v>
      </c>
      <c r="L71">
        <v>2430</v>
      </c>
      <c r="M71">
        <v>0</v>
      </c>
      <c r="N71">
        <v>17</v>
      </c>
      <c r="O71">
        <v>0</v>
      </c>
    </row>
    <row r="72" spans="1:15" x14ac:dyDescent="0.3">
      <c r="A72" s="13" t="s">
        <v>31</v>
      </c>
      <c r="B72" s="12" t="s">
        <v>29</v>
      </c>
      <c r="C72" s="12" t="s">
        <v>29</v>
      </c>
      <c r="D72">
        <v>36</v>
      </c>
      <c r="E72">
        <v>45</v>
      </c>
      <c r="F72">
        <v>11</v>
      </c>
      <c r="G72" t="b">
        <v>0</v>
      </c>
      <c r="H72">
        <v>17.25</v>
      </c>
      <c r="I72">
        <v>124251</v>
      </c>
      <c r="J72">
        <v>3.65</v>
      </c>
      <c r="K72">
        <v>1.3</v>
      </c>
      <c r="L72">
        <v>3060</v>
      </c>
      <c r="M72">
        <v>2610</v>
      </c>
      <c r="N72">
        <v>9</v>
      </c>
      <c r="O72">
        <v>0.8529411764705882</v>
      </c>
    </row>
    <row r="73" spans="1:15" x14ac:dyDescent="0.3">
      <c r="A73" s="13" t="s">
        <v>31</v>
      </c>
      <c r="B73" s="12" t="s">
        <v>29</v>
      </c>
      <c r="C73" s="12" t="s">
        <v>29</v>
      </c>
      <c r="D73">
        <v>36</v>
      </c>
      <c r="E73">
        <v>46</v>
      </c>
      <c r="F73">
        <v>11</v>
      </c>
      <c r="G73" t="b">
        <v>0</v>
      </c>
      <c r="H73">
        <v>17.25</v>
      </c>
      <c r="I73">
        <v>124251</v>
      </c>
      <c r="J73">
        <v>3.65</v>
      </c>
      <c r="K73">
        <v>1.3</v>
      </c>
      <c r="L73">
        <v>3060</v>
      </c>
      <c r="M73">
        <v>2970</v>
      </c>
      <c r="N73">
        <v>10</v>
      </c>
      <c r="O73">
        <v>0.97058823529411764</v>
      </c>
    </row>
    <row r="74" spans="1:15" x14ac:dyDescent="0.3">
      <c r="A74" s="13" t="s">
        <v>31</v>
      </c>
      <c r="B74" s="12" t="s">
        <v>29</v>
      </c>
      <c r="C74" s="12" t="s">
        <v>29</v>
      </c>
      <c r="D74">
        <v>36</v>
      </c>
      <c r="E74">
        <v>47</v>
      </c>
      <c r="F74">
        <v>11</v>
      </c>
      <c r="G74" t="b">
        <v>0</v>
      </c>
      <c r="H74">
        <v>17.25</v>
      </c>
      <c r="I74">
        <v>124251</v>
      </c>
      <c r="J74">
        <v>3.65</v>
      </c>
      <c r="K74">
        <v>1.3</v>
      </c>
      <c r="L74">
        <v>3060</v>
      </c>
      <c r="M74">
        <v>3150</v>
      </c>
      <c r="N74">
        <v>11</v>
      </c>
      <c r="O74">
        <v>1.0294117647058822</v>
      </c>
    </row>
    <row r="75" spans="1:15" x14ac:dyDescent="0.3">
      <c r="A75" s="13" t="s">
        <v>31</v>
      </c>
      <c r="B75" s="12" t="s">
        <v>29</v>
      </c>
      <c r="C75" s="12" t="s">
        <v>29</v>
      </c>
      <c r="D75">
        <v>36</v>
      </c>
      <c r="E75">
        <v>48</v>
      </c>
      <c r="F75">
        <v>11</v>
      </c>
      <c r="G75" t="b">
        <v>0</v>
      </c>
      <c r="H75">
        <v>17.25</v>
      </c>
      <c r="I75">
        <v>124251</v>
      </c>
      <c r="J75">
        <v>3.65</v>
      </c>
      <c r="K75">
        <v>1.3</v>
      </c>
      <c r="L75">
        <v>3060</v>
      </c>
      <c r="M75">
        <v>3240</v>
      </c>
      <c r="N75">
        <v>12</v>
      </c>
      <c r="O75">
        <v>1.0588235294117647</v>
      </c>
    </row>
    <row r="76" spans="1:15" x14ac:dyDescent="0.3">
      <c r="A76" s="13" t="s">
        <v>31</v>
      </c>
      <c r="B76" s="12" t="s">
        <v>29</v>
      </c>
      <c r="C76" s="12" t="s">
        <v>29</v>
      </c>
      <c r="D76">
        <v>38</v>
      </c>
      <c r="E76">
        <v>49</v>
      </c>
      <c r="F76">
        <v>12</v>
      </c>
      <c r="G76" t="b">
        <v>1</v>
      </c>
      <c r="H76">
        <v>17.25</v>
      </c>
      <c r="I76">
        <v>105715</v>
      </c>
      <c r="J76">
        <v>3.65</v>
      </c>
      <c r="K76">
        <v>1.3</v>
      </c>
      <c r="L76">
        <v>1260</v>
      </c>
      <c r="M76">
        <v>2700</v>
      </c>
      <c r="N76">
        <v>11</v>
      </c>
      <c r="O76">
        <v>2.1428571428571428</v>
      </c>
    </row>
    <row r="77" spans="1:15" x14ac:dyDescent="0.3">
      <c r="A77" s="13" t="s">
        <v>31</v>
      </c>
      <c r="B77" s="12" t="s">
        <v>29</v>
      </c>
      <c r="C77" s="12" t="s">
        <v>29</v>
      </c>
      <c r="D77">
        <v>39</v>
      </c>
      <c r="E77">
        <v>50</v>
      </c>
      <c r="F77">
        <v>12</v>
      </c>
      <c r="G77" t="b">
        <v>0</v>
      </c>
      <c r="H77">
        <v>17.25</v>
      </c>
      <c r="I77">
        <v>105715</v>
      </c>
      <c r="J77">
        <v>3.4</v>
      </c>
      <c r="K77">
        <v>1.3</v>
      </c>
      <c r="L77">
        <v>3060</v>
      </c>
      <c r="M77">
        <v>0</v>
      </c>
      <c r="N77">
        <v>11</v>
      </c>
      <c r="O77">
        <v>0</v>
      </c>
    </row>
    <row r="78" spans="1:15" x14ac:dyDescent="0.3">
      <c r="A78" s="13" t="s">
        <v>31</v>
      </c>
      <c r="B78" s="12" t="s">
        <v>29</v>
      </c>
      <c r="C78" s="12" t="s">
        <v>29</v>
      </c>
      <c r="D78">
        <v>38</v>
      </c>
      <c r="E78">
        <v>51</v>
      </c>
      <c r="F78">
        <v>12</v>
      </c>
      <c r="G78" t="b">
        <v>0</v>
      </c>
      <c r="H78">
        <v>17.25</v>
      </c>
      <c r="I78">
        <v>105715</v>
      </c>
      <c r="J78">
        <v>3.4</v>
      </c>
      <c r="K78">
        <v>1.3</v>
      </c>
      <c r="L78">
        <v>3060</v>
      </c>
      <c r="M78">
        <v>0</v>
      </c>
      <c r="N78">
        <v>13</v>
      </c>
      <c r="O78">
        <v>0</v>
      </c>
    </row>
    <row r="79" spans="1:15" x14ac:dyDescent="0.3">
      <c r="A79" s="13" t="s">
        <v>31</v>
      </c>
      <c r="B79" s="12" t="s">
        <v>29</v>
      </c>
      <c r="C79" s="12" t="s">
        <v>29</v>
      </c>
      <c r="D79">
        <v>38</v>
      </c>
      <c r="E79">
        <v>52</v>
      </c>
      <c r="F79">
        <v>12</v>
      </c>
      <c r="G79" t="b">
        <v>1</v>
      </c>
      <c r="H79">
        <v>17.25</v>
      </c>
      <c r="I79">
        <v>105715</v>
      </c>
      <c r="J79">
        <v>3.4</v>
      </c>
      <c r="K79">
        <v>1.3</v>
      </c>
      <c r="L79">
        <v>630</v>
      </c>
      <c r="M79">
        <v>0</v>
      </c>
      <c r="N79">
        <v>14</v>
      </c>
      <c r="O79">
        <v>0</v>
      </c>
    </row>
    <row r="80" spans="1:15" x14ac:dyDescent="0.3">
      <c r="A80" s="13" t="s">
        <v>31</v>
      </c>
      <c r="B80" s="12" t="s">
        <v>29</v>
      </c>
      <c r="C80" s="12" t="s">
        <v>29</v>
      </c>
      <c r="D80">
        <v>41</v>
      </c>
      <c r="E80">
        <v>1</v>
      </c>
      <c r="F80">
        <v>12</v>
      </c>
      <c r="G80" t="b">
        <v>1</v>
      </c>
      <c r="H80">
        <v>17.25</v>
      </c>
      <c r="I80">
        <v>105715</v>
      </c>
      <c r="J80">
        <v>3.4</v>
      </c>
      <c r="K80">
        <v>1.3</v>
      </c>
      <c r="L80">
        <v>3060</v>
      </c>
      <c r="M80">
        <v>0</v>
      </c>
      <c r="N80">
        <v>12</v>
      </c>
      <c r="O80">
        <v>0</v>
      </c>
    </row>
    <row r="81" spans="1:15" x14ac:dyDescent="0.3">
      <c r="A81" s="13" t="s">
        <v>31</v>
      </c>
      <c r="B81" s="12" t="s">
        <v>29</v>
      </c>
      <c r="C81" s="12" t="s">
        <v>29</v>
      </c>
      <c r="D81">
        <v>42</v>
      </c>
      <c r="E81">
        <v>2</v>
      </c>
      <c r="F81">
        <v>1</v>
      </c>
      <c r="G81" t="b">
        <v>1</v>
      </c>
      <c r="H81">
        <v>17.25</v>
      </c>
      <c r="I81">
        <v>133692</v>
      </c>
      <c r="J81">
        <v>3.4</v>
      </c>
      <c r="K81">
        <v>1.5</v>
      </c>
      <c r="L81">
        <v>0</v>
      </c>
      <c r="M81">
        <v>0</v>
      </c>
      <c r="N81">
        <v>12</v>
      </c>
      <c r="O81" t="e">
        <v>#DIV/0!</v>
      </c>
    </row>
    <row r="82" spans="1:15" x14ac:dyDescent="0.3">
      <c r="A82" s="13" t="s">
        <v>31</v>
      </c>
      <c r="B82" s="12" t="s">
        <v>29</v>
      </c>
      <c r="C82" s="12" t="s">
        <v>29</v>
      </c>
      <c r="D82">
        <v>43</v>
      </c>
      <c r="E82">
        <v>3</v>
      </c>
      <c r="F82">
        <v>1</v>
      </c>
      <c r="G82" t="b">
        <v>0</v>
      </c>
      <c r="H82">
        <v>17.25</v>
      </c>
      <c r="I82">
        <v>133692</v>
      </c>
      <c r="J82">
        <v>3.4</v>
      </c>
      <c r="K82">
        <v>1.5</v>
      </c>
      <c r="L82">
        <v>3690</v>
      </c>
      <c r="M82">
        <v>1440</v>
      </c>
      <c r="N82">
        <v>12</v>
      </c>
      <c r="O82">
        <v>0.3902439024390244</v>
      </c>
    </row>
    <row r="83" spans="1:15" x14ac:dyDescent="0.3">
      <c r="A83" s="13" t="s">
        <v>31</v>
      </c>
      <c r="B83" s="12" t="s">
        <v>29</v>
      </c>
      <c r="C83" s="12" t="s">
        <v>29</v>
      </c>
      <c r="D83">
        <v>43</v>
      </c>
      <c r="E83">
        <v>4</v>
      </c>
      <c r="F83">
        <v>1</v>
      </c>
      <c r="G83" t="b">
        <v>0</v>
      </c>
      <c r="H83">
        <v>17.25</v>
      </c>
      <c r="I83">
        <v>133692</v>
      </c>
      <c r="J83">
        <v>3.4</v>
      </c>
      <c r="K83">
        <v>1.5</v>
      </c>
      <c r="L83">
        <v>3690</v>
      </c>
      <c r="M83">
        <v>2700</v>
      </c>
      <c r="N83">
        <v>13</v>
      </c>
      <c r="O83">
        <v>0.73170731707317072</v>
      </c>
    </row>
    <row r="84" spans="1:15" x14ac:dyDescent="0.3">
      <c r="A84" s="13" t="s">
        <v>31</v>
      </c>
      <c r="B84" s="12" t="s">
        <v>29</v>
      </c>
      <c r="C84" s="12" t="s">
        <v>29</v>
      </c>
      <c r="D84">
        <v>43</v>
      </c>
      <c r="E84">
        <v>5</v>
      </c>
      <c r="F84">
        <v>1</v>
      </c>
      <c r="G84" t="b">
        <v>0</v>
      </c>
      <c r="H84">
        <v>17.25</v>
      </c>
      <c r="I84">
        <v>133692</v>
      </c>
      <c r="J84">
        <v>3.4</v>
      </c>
      <c r="K84">
        <v>1.5</v>
      </c>
      <c r="L84">
        <v>3600</v>
      </c>
      <c r="M84">
        <v>0</v>
      </c>
      <c r="N84">
        <v>14</v>
      </c>
      <c r="O84">
        <v>0</v>
      </c>
    </row>
    <row r="85" spans="1:15" x14ac:dyDescent="0.3">
      <c r="A85" s="13" t="s">
        <v>31</v>
      </c>
      <c r="B85" s="12" t="s">
        <v>29</v>
      </c>
      <c r="C85" s="12" t="s">
        <v>29</v>
      </c>
      <c r="D85">
        <v>49</v>
      </c>
      <c r="E85">
        <v>6</v>
      </c>
      <c r="F85">
        <v>2</v>
      </c>
      <c r="G85" t="b">
        <v>0</v>
      </c>
      <c r="H85">
        <v>17.25</v>
      </c>
      <c r="I85">
        <v>137922</v>
      </c>
      <c r="J85">
        <v>3.15</v>
      </c>
      <c r="K85">
        <v>1.6</v>
      </c>
      <c r="L85">
        <v>2430</v>
      </c>
      <c r="M85">
        <v>3780</v>
      </c>
      <c r="N85">
        <v>9</v>
      </c>
      <c r="O85">
        <v>1.5555555555555556</v>
      </c>
    </row>
    <row r="86" spans="1:15" x14ac:dyDescent="0.3">
      <c r="A86" s="13" t="s">
        <v>31</v>
      </c>
      <c r="B86" s="12" t="s">
        <v>29</v>
      </c>
      <c r="C86" s="12" t="s">
        <v>29</v>
      </c>
      <c r="D86">
        <v>49</v>
      </c>
      <c r="E86">
        <v>7</v>
      </c>
      <c r="F86">
        <v>2</v>
      </c>
      <c r="G86" t="b">
        <v>0</v>
      </c>
      <c r="H86">
        <v>17.25</v>
      </c>
      <c r="I86">
        <v>137922</v>
      </c>
      <c r="J86">
        <v>3.15</v>
      </c>
      <c r="K86">
        <v>1.6</v>
      </c>
      <c r="L86">
        <v>2520</v>
      </c>
      <c r="M86">
        <v>3330</v>
      </c>
      <c r="N86">
        <v>10</v>
      </c>
      <c r="O86">
        <v>1.3214285714285714</v>
      </c>
    </row>
    <row r="87" spans="1:15" x14ac:dyDescent="0.3">
      <c r="A87" s="13" t="s">
        <v>31</v>
      </c>
      <c r="B87" s="12" t="s">
        <v>29</v>
      </c>
      <c r="C87" s="12" t="s">
        <v>29</v>
      </c>
      <c r="D87">
        <v>49</v>
      </c>
      <c r="E87">
        <v>8</v>
      </c>
      <c r="F87">
        <v>2</v>
      </c>
      <c r="G87" t="b">
        <v>0</v>
      </c>
      <c r="H87">
        <v>17.25</v>
      </c>
      <c r="I87">
        <v>137922</v>
      </c>
      <c r="J87">
        <v>3.15</v>
      </c>
      <c r="K87">
        <v>1.6</v>
      </c>
      <c r="L87">
        <v>2430</v>
      </c>
      <c r="M87">
        <v>3510</v>
      </c>
      <c r="N87">
        <v>11</v>
      </c>
      <c r="O87">
        <v>1.4444444444444444</v>
      </c>
    </row>
    <row r="88" spans="1:15" x14ac:dyDescent="0.3">
      <c r="A88" s="13" t="s">
        <v>31</v>
      </c>
      <c r="B88" s="12" t="s">
        <v>29</v>
      </c>
      <c r="C88" s="12" t="s">
        <v>29</v>
      </c>
      <c r="D88">
        <v>49</v>
      </c>
      <c r="E88">
        <v>9</v>
      </c>
      <c r="F88">
        <v>2</v>
      </c>
      <c r="G88" t="b">
        <v>0</v>
      </c>
      <c r="H88">
        <v>17.25</v>
      </c>
      <c r="I88">
        <v>137922</v>
      </c>
      <c r="J88">
        <v>3.15</v>
      </c>
      <c r="K88">
        <v>1.6</v>
      </c>
      <c r="L88">
        <v>2520</v>
      </c>
      <c r="M88">
        <v>3420</v>
      </c>
      <c r="N88">
        <v>12</v>
      </c>
      <c r="O88">
        <v>1.3571428571428572</v>
      </c>
    </row>
    <row r="89" spans="1:15" x14ac:dyDescent="0.3">
      <c r="A89" s="13" t="s">
        <v>31</v>
      </c>
      <c r="B89" s="12" t="s">
        <v>29</v>
      </c>
      <c r="C89" s="12" t="s">
        <v>29</v>
      </c>
      <c r="D89">
        <v>1</v>
      </c>
      <c r="E89">
        <v>10</v>
      </c>
      <c r="F89">
        <v>3</v>
      </c>
      <c r="G89" t="b">
        <v>0</v>
      </c>
      <c r="H89">
        <v>17.25</v>
      </c>
      <c r="I89">
        <v>172223</v>
      </c>
      <c r="J89">
        <v>3.15</v>
      </c>
      <c r="K89">
        <v>1.9</v>
      </c>
      <c r="L89">
        <v>2160</v>
      </c>
      <c r="M89">
        <v>3150</v>
      </c>
      <c r="N89">
        <v>9</v>
      </c>
      <c r="O89">
        <v>1.4583333333333333</v>
      </c>
    </row>
    <row r="90" spans="1:15" x14ac:dyDescent="0.3">
      <c r="A90" s="13" t="s">
        <v>31</v>
      </c>
      <c r="B90" s="12" t="s">
        <v>29</v>
      </c>
      <c r="C90" s="12" t="s">
        <v>29</v>
      </c>
      <c r="D90">
        <v>1</v>
      </c>
      <c r="E90">
        <v>11</v>
      </c>
      <c r="F90">
        <v>3</v>
      </c>
      <c r="G90" t="b">
        <v>0</v>
      </c>
      <c r="H90">
        <v>17.25</v>
      </c>
      <c r="I90">
        <v>172223</v>
      </c>
      <c r="J90">
        <v>2.9</v>
      </c>
      <c r="K90">
        <v>1.9</v>
      </c>
      <c r="L90">
        <v>2070</v>
      </c>
      <c r="M90">
        <v>2790</v>
      </c>
      <c r="N90">
        <v>10</v>
      </c>
      <c r="O90">
        <v>1.3478260869565217</v>
      </c>
    </row>
    <row r="91" spans="1:15" x14ac:dyDescent="0.3">
      <c r="A91" s="13" t="s">
        <v>31</v>
      </c>
      <c r="B91" s="12" t="s">
        <v>29</v>
      </c>
      <c r="C91" s="12" t="s">
        <v>29</v>
      </c>
      <c r="D91">
        <v>1</v>
      </c>
      <c r="E91">
        <v>12</v>
      </c>
      <c r="F91">
        <v>3</v>
      </c>
      <c r="G91" t="b">
        <v>0</v>
      </c>
      <c r="H91">
        <v>17.25</v>
      </c>
      <c r="I91">
        <v>172223</v>
      </c>
      <c r="J91">
        <v>2.9</v>
      </c>
      <c r="K91">
        <v>1.9</v>
      </c>
      <c r="L91">
        <v>2160</v>
      </c>
      <c r="M91">
        <v>3780</v>
      </c>
      <c r="N91">
        <v>11</v>
      </c>
      <c r="O91">
        <v>1.75</v>
      </c>
    </row>
    <row r="92" spans="1:15" x14ac:dyDescent="0.3">
      <c r="A92" s="13" t="s">
        <v>31</v>
      </c>
      <c r="B92" s="12" t="s">
        <v>29</v>
      </c>
      <c r="C92" s="12" t="s">
        <v>29</v>
      </c>
      <c r="D92">
        <v>1</v>
      </c>
      <c r="E92">
        <v>13</v>
      </c>
      <c r="F92">
        <v>3</v>
      </c>
      <c r="G92" t="b">
        <v>0</v>
      </c>
      <c r="H92">
        <v>17.25</v>
      </c>
      <c r="I92">
        <v>172223</v>
      </c>
      <c r="J92">
        <v>2.9</v>
      </c>
      <c r="K92">
        <v>1.9</v>
      </c>
      <c r="L92">
        <v>2160</v>
      </c>
      <c r="M92">
        <v>3780</v>
      </c>
      <c r="N92">
        <v>12</v>
      </c>
      <c r="O92">
        <v>1.75</v>
      </c>
    </row>
    <row r="93" spans="1:15" x14ac:dyDescent="0.3">
      <c r="A93" s="13" t="s">
        <v>31</v>
      </c>
      <c r="B93" s="12" t="s">
        <v>29</v>
      </c>
      <c r="C93" s="12" t="s">
        <v>29</v>
      </c>
      <c r="D93">
        <v>1</v>
      </c>
      <c r="E93">
        <v>14</v>
      </c>
      <c r="F93">
        <v>3</v>
      </c>
      <c r="G93" t="b">
        <v>0</v>
      </c>
      <c r="H93">
        <v>17.25</v>
      </c>
      <c r="I93">
        <v>172223</v>
      </c>
      <c r="J93">
        <v>2.9</v>
      </c>
      <c r="K93">
        <v>1.9</v>
      </c>
      <c r="L93">
        <v>1710</v>
      </c>
      <c r="M93">
        <v>2790</v>
      </c>
      <c r="N93">
        <v>13</v>
      </c>
      <c r="O93">
        <v>1.631578947368421</v>
      </c>
    </row>
    <row r="94" spans="1:15" x14ac:dyDescent="0.3">
      <c r="A94" s="13" t="s">
        <v>31</v>
      </c>
      <c r="B94" s="12" t="s">
        <v>29</v>
      </c>
      <c r="C94" s="12" t="s">
        <v>29</v>
      </c>
      <c r="D94">
        <v>5</v>
      </c>
      <c r="E94">
        <v>15</v>
      </c>
      <c r="F94">
        <v>4</v>
      </c>
      <c r="G94" t="b">
        <v>0</v>
      </c>
      <c r="H94">
        <v>17.25</v>
      </c>
      <c r="I94">
        <v>139084</v>
      </c>
      <c r="J94">
        <v>2.9</v>
      </c>
      <c r="K94">
        <v>1.9</v>
      </c>
      <c r="L94">
        <v>2340</v>
      </c>
      <c r="M94">
        <v>3240</v>
      </c>
      <c r="N94">
        <v>10</v>
      </c>
      <c r="O94">
        <v>1.3846153846153846</v>
      </c>
    </row>
    <row r="95" spans="1:15" x14ac:dyDescent="0.3">
      <c r="A95" s="13" t="s">
        <v>31</v>
      </c>
      <c r="B95" s="12" t="s">
        <v>29</v>
      </c>
      <c r="C95" s="12" t="s">
        <v>29</v>
      </c>
      <c r="D95">
        <v>5</v>
      </c>
      <c r="E95">
        <v>16</v>
      </c>
      <c r="F95">
        <v>4</v>
      </c>
      <c r="G95" t="b">
        <v>0</v>
      </c>
      <c r="H95">
        <v>17.25</v>
      </c>
      <c r="I95">
        <v>139084</v>
      </c>
      <c r="J95">
        <v>2.9</v>
      </c>
      <c r="K95">
        <v>1.9</v>
      </c>
      <c r="L95">
        <v>1620</v>
      </c>
      <c r="M95">
        <v>2430</v>
      </c>
      <c r="N95">
        <v>11</v>
      </c>
      <c r="O95">
        <v>1.5</v>
      </c>
    </row>
    <row r="96" spans="1:15" x14ac:dyDescent="0.3">
      <c r="A96" s="13" t="s">
        <v>31</v>
      </c>
      <c r="B96" s="12" t="s">
        <v>29</v>
      </c>
      <c r="C96" s="12" t="s">
        <v>29</v>
      </c>
      <c r="D96">
        <v>5</v>
      </c>
      <c r="E96">
        <v>17</v>
      </c>
      <c r="F96">
        <v>4</v>
      </c>
      <c r="G96" t="b">
        <v>1</v>
      </c>
      <c r="H96">
        <v>17.25</v>
      </c>
      <c r="I96">
        <v>139084</v>
      </c>
      <c r="J96">
        <v>2.65</v>
      </c>
      <c r="K96">
        <v>1.9</v>
      </c>
      <c r="L96">
        <v>0</v>
      </c>
      <c r="M96">
        <v>1800</v>
      </c>
      <c r="N96">
        <v>12</v>
      </c>
      <c r="O96" t="e">
        <v>#DIV/0!</v>
      </c>
    </row>
    <row r="97" spans="1:15" x14ac:dyDescent="0.3">
      <c r="A97" s="13" t="s">
        <v>31</v>
      </c>
      <c r="B97" s="12" t="s">
        <v>29</v>
      </c>
      <c r="C97" s="12" t="s">
        <v>29</v>
      </c>
      <c r="D97">
        <v>6</v>
      </c>
      <c r="E97">
        <v>18</v>
      </c>
      <c r="F97">
        <v>4</v>
      </c>
      <c r="G97" t="b">
        <v>1</v>
      </c>
      <c r="H97">
        <v>17.25</v>
      </c>
      <c r="I97">
        <v>139084</v>
      </c>
      <c r="J97">
        <v>2.65</v>
      </c>
      <c r="K97">
        <v>1.9</v>
      </c>
      <c r="L97">
        <v>1800</v>
      </c>
      <c r="M97">
        <v>2160</v>
      </c>
      <c r="N97">
        <v>12</v>
      </c>
      <c r="O97">
        <v>1.2</v>
      </c>
    </row>
    <row r="98" spans="1:15" x14ac:dyDescent="0.3">
      <c r="A98" s="13" t="s">
        <v>31</v>
      </c>
      <c r="B98" s="12" t="s">
        <v>29</v>
      </c>
      <c r="C98" s="12" t="s">
        <v>29</v>
      </c>
      <c r="D98">
        <v>7</v>
      </c>
      <c r="E98">
        <v>19</v>
      </c>
      <c r="F98">
        <v>5</v>
      </c>
      <c r="G98" t="b">
        <v>0</v>
      </c>
      <c r="H98">
        <v>17.25</v>
      </c>
      <c r="I98">
        <v>139390</v>
      </c>
      <c r="J98">
        <v>2.65</v>
      </c>
      <c r="K98">
        <v>1.6</v>
      </c>
      <c r="L98">
        <v>2790</v>
      </c>
      <c r="M98">
        <v>2790</v>
      </c>
      <c r="N98">
        <v>12</v>
      </c>
      <c r="O98">
        <v>1</v>
      </c>
    </row>
    <row r="99" spans="1:15" x14ac:dyDescent="0.3">
      <c r="A99" s="13" t="s">
        <v>31</v>
      </c>
      <c r="B99" s="12" t="s">
        <v>29</v>
      </c>
      <c r="C99" s="12" t="s">
        <v>29</v>
      </c>
      <c r="D99">
        <v>7</v>
      </c>
      <c r="E99">
        <v>20</v>
      </c>
      <c r="F99">
        <v>5</v>
      </c>
      <c r="G99" t="b">
        <v>0</v>
      </c>
      <c r="H99">
        <v>17.25</v>
      </c>
      <c r="I99">
        <v>139390</v>
      </c>
      <c r="J99">
        <v>2.65</v>
      </c>
      <c r="K99">
        <v>1.6</v>
      </c>
      <c r="L99">
        <v>1080</v>
      </c>
      <c r="M99">
        <v>3330</v>
      </c>
      <c r="N99">
        <v>13</v>
      </c>
      <c r="O99">
        <v>3.0833333333333335</v>
      </c>
    </row>
    <row r="100" spans="1:15" x14ac:dyDescent="0.3">
      <c r="A100" s="13" t="s">
        <v>31</v>
      </c>
      <c r="B100" s="12" t="s">
        <v>29</v>
      </c>
      <c r="C100" s="12" t="s">
        <v>29</v>
      </c>
      <c r="D100">
        <v>7</v>
      </c>
      <c r="E100">
        <v>21</v>
      </c>
      <c r="F100">
        <v>5</v>
      </c>
      <c r="G100" t="b">
        <v>0</v>
      </c>
      <c r="H100">
        <v>17.25</v>
      </c>
      <c r="I100">
        <v>139390</v>
      </c>
      <c r="J100">
        <v>2.65</v>
      </c>
      <c r="K100">
        <v>1.6</v>
      </c>
      <c r="L100">
        <v>2520</v>
      </c>
      <c r="M100">
        <v>3330</v>
      </c>
      <c r="N100">
        <v>14</v>
      </c>
      <c r="O100">
        <v>1.3214285714285714</v>
      </c>
    </row>
    <row r="101" spans="1:15" x14ac:dyDescent="0.3">
      <c r="A101" s="13" t="s">
        <v>31</v>
      </c>
      <c r="B101" s="12" t="s">
        <v>29</v>
      </c>
      <c r="C101" s="12" t="s">
        <v>29</v>
      </c>
      <c r="D101">
        <v>7</v>
      </c>
      <c r="E101">
        <v>22</v>
      </c>
      <c r="F101">
        <v>5</v>
      </c>
      <c r="G101" t="b">
        <v>0</v>
      </c>
      <c r="H101">
        <v>17.25</v>
      </c>
      <c r="I101">
        <v>139390</v>
      </c>
      <c r="J101">
        <v>2.65</v>
      </c>
      <c r="K101">
        <v>1.6</v>
      </c>
      <c r="L101">
        <v>2520</v>
      </c>
      <c r="M101">
        <v>3420</v>
      </c>
      <c r="N101">
        <v>15</v>
      </c>
      <c r="O101">
        <v>1.3571428571428572</v>
      </c>
    </row>
    <row r="102" spans="1:15" x14ac:dyDescent="0.3">
      <c r="A102" s="13" t="s">
        <v>31</v>
      </c>
      <c r="B102" s="12" t="s">
        <v>29</v>
      </c>
      <c r="C102" s="12" t="s">
        <v>29</v>
      </c>
      <c r="D102">
        <v>11</v>
      </c>
      <c r="E102">
        <v>23</v>
      </c>
      <c r="F102">
        <v>5</v>
      </c>
      <c r="G102" t="b">
        <v>1</v>
      </c>
      <c r="H102">
        <v>17.25</v>
      </c>
      <c r="I102">
        <v>139390</v>
      </c>
      <c r="J102">
        <v>2.4</v>
      </c>
      <c r="K102">
        <v>1.6</v>
      </c>
      <c r="L102">
        <v>1440</v>
      </c>
      <c r="M102">
        <v>3060</v>
      </c>
      <c r="N102">
        <v>12</v>
      </c>
      <c r="O102">
        <v>2.125</v>
      </c>
    </row>
    <row r="103" spans="1:15" x14ac:dyDescent="0.3">
      <c r="A103" s="13" t="s">
        <v>31</v>
      </c>
      <c r="B103" s="12" t="s">
        <v>29</v>
      </c>
      <c r="C103" s="12" t="s">
        <v>29</v>
      </c>
      <c r="D103">
        <v>11</v>
      </c>
      <c r="E103">
        <v>24</v>
      </c>
      <c r="F103">
        <v>6</v>
      </c>
      <c r="G103" t="b">
        <v>0</v>
      </c>
      <c r="H103">
        <v>17.25</v>
      </c>
      <c r="I103">
        <v>132191</v>
      </c>
      <c r="J103">
        <v>2.4</v>
      </c>
      <c r="K103">
        <v>1.7</v>
      </c>
      <c r="L103">
        <v>2430</v>
      </c>
      <c r="M103">
        <v>2880</v>
      </c>
      <c r="N103">
        <v>13</v>
      </c>
      <c r="O103">
        <v>1.1851851851851851</v>
      </c>
    </row>
    <row r="104" spans="1:15" x14ac:dyDescent="0.3">
      <c r="A104" s="13" t="s">
        <v>31</v>
      </c>
      <c r="B104" s="12" t="s">
        <v>29</v>
      </c>
      <c r="C104" s="12" t="s">
        <v>29</v>
      </c>
      <c r="D104">
        <v>11</v>
      </c>
      <c r="E104">
        <v>25</v>
      </c>
      <c r="F104">
        <v>6</v>
      </c>
      <c r="G104" t="b">
        <v>0</v>
      </c>
      <c r="H104">
        <v>17.25</v>
      </c>
      <c r="I104">
        <v>132191</v>
      </c>
      <c r="J104">
        <v>2.4</v>
      </c>
      <c r="K104">
        <v>1.7</v>
      </c>
      <c r="L104">
        <v>2520</v>
      </c>
      <c r="M104">
        <v>3420</v>
      </c>
      <c r="N104">
        <v>14</v>
      </c>
      <c r="O104">
        <v>1.3571428571428572</v>
      </c>
    </row>
    <row r="105" spans="1:15" x14ac:dyDescent="0.3">
      <c r="A105" s="13" t="s">
        <v>31</v>
      </c>
      <c r="B105" s="12" t="s">
        <v>29</v>
      </c>
      <c r="C105" s="12" t="s">
        <v>29</v>
      </c>
      <c r="D105">
        <v>11</v>
      </c>
      <c r="E105">
        <v>26</v>
      </c>
      <c r="F105">
        <v>6</v>
      </c>
      <c r="G105" t="b">
        <v>0</v>
      </c>
      <c r="H105">
        <v>17.25</v>
      </c>
      <c r="I105">
        <v>132191</v>
      </c>
      <c r="J105">
        <v>2.4</v>
      </c>
      <c r="K105">
        <v>1.7</v>
      </c>
      <c r="L105">
        <v>2430</v>
      </c>
      <c r="M105">
        <v>1980</v>
      </c>
      <c r="N105">
        <v>15</v>
      </c>
      <c r="O105">
        <v>0.81481481481481477</v>
      </c>
    </row>
    <row r="106" spans="1:15" x14ac:dyDescent="0.3">
      <c r="A106" s="13" t="s">
        <v>44</v>
      </c>
      <c r="B106" s="12" t="s">
        <v>29</v>
      </c>
      <c r="C106" s="12" t="s">
        <v>29</v>
      </c>
      <c r="D106">
        <v>12</v>
      </c>
      <c r="E106">
        <v>27</v>
      </c>
      <c r="F106">
        <v>7</v>
      </c>
      <c r="G106" t="b">
        <v>0</v>
      </c>
      <c r="H106">
        <v>22.79</v>
      </c>
      <c r="I106">
        <v>124806</v>
      </c>
      <c r="J106">
        <v>4.5</v>
      </c>
      <c r="K106">
        <v>1.3</v>
      </c>
      <c r="L106">
        <v>504</v>
      </c>
      <c r="M106">
        <v>448</v>
      </c>
      <c r="N106">
        <v>15</v>
      </c>
      <c r="O106">
        <v>0.88888888888888884</v>
      </c>
    </row>
    <row r="107" spans="1:15" x14ac:dyDescent="0.3">
      <c r="A107" s="13" t="s">
        <v>44</v>
      </c>
      <c r="B107" s="12" t="s">
        <v>29</v>
      </c>
      <c r="C107" s="12" t="s">
        <v>29</v>
      </c>
      <c r="D107">
        <v>12</v>
      </c>
      <c r="E107">
        <v>28</v>
      </c>
      <c r="F107">
        <v>7</v>
      </c>
      <c r="G107" t="b">
        <v>0</v>
      </c>
      <c r="H107">
        <v>22.79</v>
      </c>
      <c r="I107">
        <v>124806</v>
      </c>
      <c r="J107">
        <v>4.5</v>
      </c>
      <c r="K107">
        <v>1.3</v>
      </c>
      <c r="L107">
        <v>504</v>
      </c>
      <c r="M107">
        <v>392</v>
      </c>
      <c r="N107">
        <v>16</v>
      </c>
      <c r="O107">
        <v>0.77777777777777779</v>
      </c>
    </row>
    <row r="108" spans="1:15" x14ac:dyDescent="0.3">
      <c r="A108" s="13" t="s">
        <v>44</v>
      </c>
      <c r="B108" s="12" t="s">
        <v>29</v>
      </c>
      <c r="C108" s="12" t="s">
        <v>29</v>
      </c>
      <c r="D108">
        <v>13</v>
      </c>
      <c r="E108">
        <v>29</v>
      </c>
      <c r="F108">
        <v>7</v>
      </c>
      <c r="G108" t="b">
        <v>0</v>
      </c>
      <c r="H108">
        <v>22.79</v>
      </c>
      <c r="I108">
        <v>124806</v>
      </c>
      <c r="J108">
        <v>4.5</v>
      </c>
      <c r="K108">
        <v>1.3</v>
      </c>
      <c r="L108">
        <v>504</v>
      </c>
      <c r="M108">
        <v>0</v>
      </c>
      <c r="N108">
        <v>16</v>
      </c>
      <c r="O108">
        <v>0</v>
      </c>
    </row>
    <row r="109" spans="1:15" x14ac:dyDescent="0.3">
      <c r="A109" s="13" t="s">
        <v>44</v>
      </c>
      <c r="B109" s="12" t="s">
        <v>29</v>
      </c>
      <c r="C109" s="12" t="s">
        <v>29</v>
      </c>
      <c r="D109">
        <v>13</v>
      </c>
      <c r="E109">
        <v>30</v>
      </c>
      <c r="F109">
        <v>7</v>
      </c>
      <c r="G109" t="b">
        <v>0</v>
      </c>
      <c r="H109">
        <v>22.79</v>
      </c>
      <c r="I109">
        <v>124806</v>
      </c>
      <c r="J109">
        <v>4.5</v>
      </c>
      <c r="K109">
        <v>1.3</v>
      </c>
      <c r="L109">
        <v>504</v>
      </c>
      <c r="M109">
        <v>0</v>
      </c>
      <c r="N109">
        <v>17</v>
      </c>
      <c r="O109">
        <v>0</v>
      </c>
    </row>
    <row r="110" spans="1:15" x14ac:dyDescent="0.3">
      <c r="A110" s="13" t="s">
        <v>44</v>
      </c>
      <c r="B110" s="12" t="s">
        <v>29</v>
      </c>
      <c r="C110" s="12" t="s">
        <v>29</v>
      </c>
      <c r="D110">
        <v>13</v>
      </c>
      <c r="E110">
        <v>31</v>
      </c>
      <c r="F110">
        <v>7</v>
      </c>
      <c r="G110" t="b">
        <v>0</v>
      </c>
      <c r="H110">
        <v>22.79</v>
      </c>
      <c r="I110">
        <v>124806</v>
      </c>
      <c r="J110">
        <v>4.5</v>
      </c>
      <c r="K110">
        <v>1.3</v>
      </c>
      <c r="L110">
        <v>336</v>
      </c>
      <c r="M110">
        <v>0</v>
      </c>
      <c r="N110">
        <v>18</v>
      </c>
      <c r="O110">
        <v>0</v>
      </c>
    </row>
    <row r="111" spans="1:15" x14ac:dyDescent="0.3">
      <c r="A111" s="13" t="s">
        <v>44</v>
      </c>
      <c r="B111" s="12" t="s">
        <v>29</v>
      </c>
      <c r="C111" s="12" t="s">
        <v>29</v>
      </c>
      <c r="D111">
        <v>14</v>
      </c>
      <c r="E111">
        <v>32</v>
      </c>
      <c r="F111">
        <v>8</v>
      </c>
      <c r="G111" t="b">
        <v>1</v>
      </c>
      <c r="H111">
        <v>22.79</v>
      </c>
      <c r="I111">
        <v>69121</v>
      </c>
      <c r="J111">
        <v>4.5</v>
      </c>
      <c r="K111">
        <v>1.1000000000000001</v>
      </c>
      <c r="L111">
        <v>0</v>
      </c>
      <c r="M111">
        <v>0</v>
      </c>
      <c r="N111">
        <v>18</v>
      </c>
      <c r="O111" t="e">
        <v>#DIV/0!</v>
      </c>
    </row>
    <row r="112" spans="1:15" x14ac:dyDescent="0.3">
      <c r="A112" s="13" t="s">
        <v>44</v>
      </c>
      <c r="B112" s="12" t="s">
        <v>29</v>
      </c>
      <c r="C112" s="12" t="s">
        <v>29</v>
      </c>
      <c r="D112">
        <v>15</v>
      </c>
      <c r="E112">
        <v>33</v>
      </c>
      <c r="F112">
        <v>8</v>
      </c>
      <c r="G112" t="b">
        <v>1</v>
      </c>
      <c r="H112">
        <v>22.79</v>
      </c>
      <c r="I112">
        <v>69121</v>
      </c>
      <c r="J112">
        <v>4.5</v>
      </c>
      <c r="K112">
        <v>1.1000000000000001</v>
      </c>
      <c r="L112">
        <v>0</v>
      </c>
      <c r="M112">
        <v>0</v>
      </c>
      <c r="N112">
        <v>18</v>
      </c>
      <c r="O112" t="e">
        <v>#DIV/0!</v>
      </c>
    </row>
    <row r="113" spans="1:15" x14ac:dyDescent="0.3">
      <c r="A113" s="13" t="s">
        <v>44</v>
      </c>
      <c r="B113" s="12" t="s">
        <v>29</v>
      </c>
      <c r="C113" s="12" t="s">
        <v>29</v>
      </c>
      <c r="D113">
        <v>15</v>
      </c>
      <c r="E113">
        <v>34</v>
      </c>
      <c r="F113">
        <v>8</v>
      </c>
      <c r="G113" t="b">
        <v>0</v>
      </c>
      <c r="H113">
        <v>22.79</v>
      </c>
      <c r="I113">
        <v>69121</v>
      </c>
      <c r="J113">
        <v>4.5</v>
      </c>
      <c r="K113">
        <v>1.1000000000000001</v>
      </c>
      <c r="L113">
        <v>784</v>
      </c>
      <c r="M113">
        <v>0</v>
      </c>
      <c r="N113">
        <v>19</v>
      </c>
      <c r="O113">
        <v>0</v>
      </c>
    </row>
    <row r="114" spans="1:15" x14ac:dyDescent="0.3">
      <c r="A114" s="13" t="s">
        <v>44</v>
      </c>
      <c r="B114" s="12" t="s">
        <v>29</v>
      </c>
      <c r="C114" s="12" t="s">
        <v>29</v>
      </c>
      <c r="D114">
        <v>15</v>
      </c>
      <c r="E114">
        <v>35</v>
      </c>
      <c r="F114">
        <v>8</v>
      </c>
      <c r="G114" t="b">
        <v>0</v>
      </c>
      <c r="H114">
        <v>22.79</v>
      </c>
      <c r="I114">
        <v>69121</v>
      </c>
      <c r="J114">
        <v>4.5</v>
      </c>
      <c r="K114">
        <v>1.1000000000000001</v>
      </c>
      <c r="L114">
        <v>728</v>
      </c>
      <c r="M114">
        <v>728</v>
      </c>
      <c r="N114">
        <v>20</v>
      </c>
      <c r="O114">
        <v>1</v>
      </c>
    </row>
    <row r="115" spans="1:15" x14ac:dyDescent="0.3">
      <c r="A115" s="13" t="s">
        <v>44</v>
      </c>
      <c r="B115" s="12" t="s">
        <v>29</v>
      </c>
      <c r="C115" s="12" t="s">
        <v>29</v>
      </c>
      <c r="D115">
        <v>23</v>
      </c>
      <c r="E115">
        <v>36</v>
      </c>
      <c r="F115">
        <v>9</v>
      </c>
      <c r="G115" t="b">
        <v>0</v>
      </c>
      <c r="H115">
        <v>22.79</v>
      </c>
      <c r="I115">
        <v>121666</v>
      </c>
      <c r="J115">
        <v>4.5</v>
      </c>
      <c r="K115">
        <v>0.7</v>
      </c>
      <c r="L115">
        <v>728</v>
      </c>
      <c r="M115">
        <v>224</v>
      </c>
      <c r="N115">
        <v>13</v>
      </c>
      <c r="O115">
        <v>0.30769230769230771</v>
      </c>
    </row>
    <row r="116" spans="1:15" x14ac:dyDescent="0.3">
      <c r="A116" s="13" t="s">
        <v>44</v>
      </c>
      <c r="B116" s="12" t="s">
        <v>29</v>
      </c>
      <c r="C116" s="12" t="s">
        <v>29</v>
      </c>
      <c r="D116">
        <v>23</v>
      </c>
      <c r="E116">
        <v>37</v>
      </c>
      <c r="F116">
        <v>9</v>
      </c>
      <c r="G116" t="b">
        <v>0</v>
      </c>
      <c r="H116">
        <v>22.79</v>
      </c>
      <c r="I116">
        <v>121666</v>
      </c>
      <c r="J116">
        <v>4.5</v>
      </c>
      <c r="K116">
        <v>0.7</v>
      </c>
      <c r="L116">
        <v>728</v>
      </c>
      <c r="M116">
        <v>616</v>
      </c>
      <c r="N116">
        <v>14</v>
      </c>
      <c r="O116">
        <v>0.84615384615384615</v>
      </c>
    </row>
    <row r="117" spans="1:15" x14ac:dyDescent="0.3">
      <c r="A117" s="13" t="s">
        <v>44</v>
      </c>
      <c r="B117" s="12" t="s">
        <v>29</v>
      </c>
      <c r="C117" s="12" t="s">
        <v>29</v>
      </c>
      <c r="D117">
        <v>23</v>
      </c>
      <c r="E117">
        <v>38</v>
      </c>
      <c r="F117">
        <v>9</v>
      </c>
      <c r="G117" t="b">
        <v>0</v>
      </c>
      <c r="H117">
        <v>22.79</v>
      </c>
      <c r="I117">
        <v>121666</v>
      </c>
      <c r="J117">
        <v>3.9</v>
      </c>
      <c r="K117">
        <v>0.7</v>
      </c>
      <c r="L117">
        <v>728</v>
      </c>
      <c r="M117">
        <v>560</v>
      </c>
      <c r="N117">
        <v>15</v>
      </c>
      <c r="O117">
        <v>0.76923076923076927</v>
      </c>
    </row>
    <row r="118" spans="1:15" x14ac:dyDescent="0.3">
      <c r="A118" s="13" t="s">
        <v>44</v>
      </c>
      <c r="B118" s="12" t="s">
        <v>29</v>
      </c>
      <c r="C118" s="12" t="s">
        <v>29</v>
      </c>
      <c r="D118">
        <v>23</v>
      </c>
      <c r="E118">
        <v>39</v>
      </c>
      <c r="F118">
        <v>9</v>
      </c>
      <c r="G118" t="b">
        <v>0</v>
      </c>
      <c r="H118">
        <v>22.79</v>
      </c>
      <c r="I118">
        <v>121666</v>
      </c>
      <c r="J118">
        <v>3.9</v>
      </c>
      <c r="K118">
        <v>0.7</v>
      </c>
      <c r="L118">
        <v>728</v>
      </c>
      <c r="M118">
        <v>560</v>
      </c>
      <c r="N118">
        <v>16</v>
      </c>
      <c r="O118">
        <v>0.76923076923076927</v>
      </c>
    </row>
    <row r="119" spans="1:15" x14ac:dyDescent="0.3">
      <c r="A119" s="13" t="s">
        <v>44</v>
      </c>
      <c r="B119" s="12" t="s">
        <v>29</v>
      </c>
      <c r="C119" s="12" t="s">
        <v>29</v>
      </c>
      <c r="D119">
        <v>27</v>
      </c>
      <c r="E119">
        <v>40</v>
      </c>
      <c r="F119">
        <v>9</v>
      </c>
      <c r="G119" t="b">
        <v>0</v>
      </c>
      <c r="H119">
        <v>22.79</v>
      </c>
      <c r="I119">
        <v>121666</v>
      </c>
      <c r="J119">
        <v>3.9</v>
      </c>
      <c r="K119">
        <v>0.7</v>
      </c>
      <c r="L119">
        <v>840</v>
      </c>
      <c r="M119">
        <v>280</v>
      </c>
      <c r="N119">
        <v>13</v>
      </c>
      <c r="O119">
        <v>0.33333333333333331</v>
      </c>
    </row>
    <row r="120" spans="1:15" x14ac:dyDescent="0.3">
      <c r="A120" s="13" t="s">
        <v>44</v>
      </c>
      <c r="B120" s="12" t="s">
        <v>29</v>
      </c>
      <c r="C120" s="12" t="s">
        <v>29</v>
      </c>
      <c r="D120">
        <v>27</v>
      </c>
      <c r="E120">
        <v>41</v>
      </c>
      <c r="F120">
        <v>10</v>
      </c>
      <c r="G120" t="b">
        <v>0</v>
      </c>
      <c r="H120">
        <v>22.79</v>
      </c>
      <c r="I120">
        <v>126488</v>
      </c>
      <c r="J120">
        <v>3.9</v>
      </c>
      <c r="K120">
        <v>0.9</v>
      </c>
      <c r="L120">
        <v>896</v>
      </c>
      <c r="M120">
        <v>0</v>
      </c>
      <c r="N120">
        <v>14</v>
      </c>
      <c r="O120">
        <v>0</v>
      </c>
    </row>
    <row r="121" spans="1:15" x14ac:dyDescent="0.3">
      <c r="A121" s="13" t="s">
        <v>44</v>
      </c>
      <c r="B121" s="12" t="s">
        <v>29</v>
      </c>
      <c r="C121" s="12" t="s">
        <v>29</v>
      </c>
      <c r="D121">
        <v>27</v>
      </c>
      <c r="E121">
        <v>42</v>
      </c>
      <c r="F121">
        <v>10</v>
      </c>
      <c r="G121" t="b">
        <v>0</v>
      </c>
      <c r="H121">
        <v>22.79</v>
      </c>
      <c r="I121">
        <v>126488</v>
      </c>
      <c r="J121">
        <v>3.9</v>
      </c>
      <c r="K121">
        <v>0.9</v>
      </c>
      <c r="L121">
        <v>896</v>
      </c>
      <c r="M121">
        <v>168</v>
      </c>
      <c r="N121">
        <v>15</v>
      </c>
      <c r="O121">
        <v>0.1875</v>
      </c>
    </row>
    <row r="122" spans="1:15" x14ac:dyDescent="0.3">
      <c r="A122" s="13" t="s">
        <v>44</v>
      </c>
      <c r="B122" s="12" t="s">
        <v>29</v>
      </c>
      <c r="C122" s="12" t="s">
        <v>29</v>
      </c>
      <c r="D122">
        <v>27</v>
      </c>
      <c r="E122">
        <v>43</v>
      </c>
      <c r="F122">
        <v>10</v>
      </c>
      <c r="G122" t="b">
        <v>0</v>
      </c>
      <c r="H122">
        <v>22.79</v>
      </c>
      <c r="I122">
        <v>126488</v>
      </c>
      <c r="J122">
        <v>3.65</v>
      </c>
      <c r="K122">
        <v>0.9</v>
      </c>
      <c r="L122">
        <v>728</v>
      </c>
      <c r="M122">
        <v>504</v>
      </c>
      <c r="N122">
        <v>16</v>
      </c>
      <c r="O122">
        <v>0.69230769230769229</v>
      </c>
    </row>
    <row r="123" spans="1:15" x14ac:dyDescent="0.3">
      <c r="A123" s="13" t="s">
        <v>44</v>
      </c>
      <c r="B123" s="12" t="s">
        <v>29</v>
      </c>
      <c r="C123" s="12" t="s">
        <v>29</v>
      </c>
      <c r="D123">
        <v>27</v>
      </c>
      <c r="E123">
        <v>44</v>
      </c>
      <c r="F123">
        <v>10</v>
      </c>
      <c r="G123" t="b">
        <v>1</v>
      </c>
      <c r="H123">
        <v>22.79</v>
      </c>
      <c r="I123">
        <v>126488</v>
      </c>
      <c r="J123">
        <v>3.65</v>
      </c>
      <c r="K123">
        <v>0.9</v>
      </c>
      <c r="L123">
        <v>616</v>
      </c>
      <c r="M123">
        <v>0</v>
      </c>
      <c r="N123">
        <v>17</v>
      </c>
      <c r="O123">
        <v>0</v>
      </c>
    </row>
    <row r="124" spans="1:15" x14ac:dyDescent="0.3">
      <c r="A124" s="13" t="s">
        <v>44</v>
      </c>
      <c r="B124" s="12" t="s">
        <v>29</v>
      </c>
      <c r="C124" s="12" t="s">
        <v>29</v>
      </c>
      <c r="D124">
        <v>36</v>
      </c>
      <c r="E124">
        <v>45</v>
      </c>
      <c r="F124">
        <v>11</v>
      </c>
      <c r="G124" t="b">
        <v>0</v>
      </c>
      <c r="H124">
        <v>22.79</v>
      </c>
      <c r="I124">
        <v>124251</v>
      </c>
      <c r="J124">
        <v>3.65</v>
      </c>
      <c r="K124">
        <v>1.3</v>
      </c>
      <c r="L124">
        <v>840</v>
      </c>
      <c r="M124">
        <v>672</v>
      </c>
      <c r="N124">
        <v>9</v>
      </c>
      <c r="O124">
        <v>0.8</v>
      </c>
    </row>
    <row r="125" spans="1:15" x14ac:dyDescent="0.3">
      <c r="A125" s="13" t="s">
        <v>44</v>
      </c>
      <c r="B125" s="12" t="s">
        <v>29</v>
      </c>
      <c r="C125" s="12" t="s">
        <v>29</v>
      </c>
      <c r="D125">
        <v>36</v>
      </c>
      <c r="E125">
        <v>46</v>
      </c>
      <c r="F125">
        <v>11</v>
      </c>
      <c r="G125" t="b">
        <v>0</v>
      </c>
      <c r="H125">
        <v>22.79</v>
      </c>
      <c r="I125">
        <v>124251</v>
      </c>
      <c r="J125">
        <v>3.65</v>
      </c>
      <c r="K125">
        <v>1.3</v>
      </c>
      <c r="L125">
        <v>840</v>
      </c>
      <c r="M125">
        <v>224</v>
      </c>
      <c r="N125">
        <v>10</v>
      </c>
      <c r="O125">
        <v>0.26666666666666666</v>
      </c>
    </row>
    <row r="126" spans="1:15" x14ac:dyDescent="0.3">
      <c r="A126" s="13" t="s">
        <v>44</v>
      </c>
      <c r="B126" s="12" t="s">
        <v>29</v>
      </c>
      <c r="C126" s="12" t="s">
        <v>29</v>
      </c>
      <c r="D126">
        <v>36</v>
      </c>
      <c r="E126">
        <v>47</v>
      </c>
      <c r="F126">
        <v>11</v>
      </c>
      <c r="G126" t="b">
        <v>0</v>
      </c>
      <c r="H126">
        <v>22.79</v>
      </c>
      <c r="I126">
        <v>124251</v>
      </c>
      <c r="J126">
        <v>3.65</v>
      </c>
      <c r="K126">
        <v>1.3</v>
      </c>
      <c r="L126">
        <v>840</v>
      </c>
      <c r="M126">
        <v>784</v>
      </c>
      <c r="N126">
        <v>11</v>
      </c>
      <c r="O126">
        <v>0.93333333333333335</v>
      </c>
    </row>
    <row r="127" spans="1:15" x14ac:dyDescent="0.3">
      <c r="A127" s="13" t="s">
        <v>44</v>
      </c>
      <c r="B127" s="12" t="s">
        <v>29</v>
      </c>
      <c r="C127" s="12" t="s">
        <v>29</v>
      </c>
      <c r="D127">
        <v>36</v>
      </c>
      <c r="E127">
        <v>48</v>
      </c>
      <c r="F127">
        <v>11</v>
      </c>
      <c r="G127" t="b">
        <v>0</v>
      </c>
      <c r="H127">
        <v>22.79</v>
      </c>
      <c r="I127">
        <v>124251</v>
      </c>
      <c r="J127">
        <v>3.65</v>
      </c>
      <c r="K127">
        <v>1.3</v>
      </c>
      <c r="L127">
        <v>896</v>
      </c>
      <c r="M127">
        <v>336</v>
      </c>
      <c r="N127">
        <v>12</v>
      </c>
      <c r="O127">
        <v>0.375</v>
      </c>
    </row>
    <row r="128" spans="1:15" x14ac:dyDescent="0.3">
      <c r="A128" s="13" t="s">
        <v>44</v>
      </c>
      <c r="B128" s="12" t="s">
        <v>29</v>
      </c>
      <c r="C128" s="12" t="s">
        <v>29</v>
      </c>
      <c r="D128">
        <v>38</v>
      </c>
      <c r="E128">
        <v>49</v>
      </c>
      <c r="F128">
        <v>12</v>
      </c>
      <c r="G128" t="b">
        <v>1</v>
      </c>
      <c r="H128">
        <v>22.79</v>
      </c>
      <c r="I128">
        <v>105715</v>
      </c>
      <c r="J128">
        <v>3.65</v>
      </c>
      <c r="K128">
        <v>1.3</v>
      </c>
      <c r="L128">
        <v>224</v>
      </c>
      <c r="M128">
        <v>952</v>
      </c>
      <c r="N128">
        <v>11</v>
      </c>
      <c r="O128">
        <v>4.25</v>
      </c>
    </row>
    <row r="129" spans="1:15" x14ac:dyDescent="0.3">
      <c r="A129" s="13" t="s">
        <v>44</v>
      </c>
      <c r="B129" s="12" t="s">
        <v>29</v>
      </c>
      <c r="C129" s="12" t="s">
        <v>29</v>
      </c>
      <c r="D129">
        <v>39</v>
      </c>
      <c r="E129">
        <v>50</v>
      </c>
      <c r="F129">
        <v>12</v>
      </c>
      <c r="G129" t="b">
        <v>0</v>
      </c>
      <c r="H129">
        <v>22.79</v>
      </c>
      <c r="I129">
        <v>105715</v>
      </c>
      <c r="J129">
        <v>3.4</v>
      </c>
      <c r="K129">
        <v>1.3</v>
      </c>
      <c r="L129">
        <v>728</v>
      </c>
      <c r="M129">
        <v>168</v>
      </c>
      <c r="N129">
        <v>11</v>
      </c>
      <c r="O129">
        <v>0.23076923076923078</v>
      </c>
    </row>
    <row r="130" spans="1:15" x14ac:dyDescent="0.3">
      <c r="A130" s="13" t="s">
        <v>44</v>
      </c>
      <c r="B130" s="12" t="s">
        <v>29</v>
      </c>
      <c r="C130" s="12" t="s">
        <v>29</v>
      </c>
      <c r="D130">
        <v>38</v>
      </c>
      <c r="E130">
        <v>51</v>
      </c>
      <c r="F130">
        <v>12</v>
      </c>
      <c r="G130" t="b">
        <v>0</v>
      </c>
      <c r="H130">
        <v>22.79</v>
      </c>
      <c r="I130">
        <v>105715</v>
      </c>
      <c r="J130">
        <v>3.4</v>
      </c>
      <c r="K130">
        <v>1.3</v>
      </c>
      <c r="L130">
        <v>784</v>
      </c>
      <c r="M130">
        <v>0</v>
      </c>
      <c r="N130">
        <v>13</v>
      </c>
      <c r="O130">
        <v>0</v>
      </c>
    </row>
    <row r="131" spans="1:15" x14ac:dyDescent="0.3">
      <c r="A131" s="13" t="s">
        <v>44</v>
      </c>
      <c r="B131" s="12" t="s">
        <v>29</v>
      </c>
      <c r="C131" s="12" t="s">
        <v>29</v>
      </c>
      <c r="D131">
        <v>38</v>
      </c>
      <c r="E131">
        <v>52</v>
      </c>
      <c r="F131">
        <v>12</v>
      </c>
      <c r="G131" t="b">
        <v>1</v>
      </c>
      <c r="H131">
        <v>22.79</v>
      </c>
      <c r="I131">
        <v>105715</v>
      </c>
      <c r="J131">
        <v>3.4</v>
      </c>
      <c r="K131">
        <v>1.3</v>
      </c>
      <c r="L131">
        <v>168</v>
      </c>
      <c r="M131">
        <v>0</v>
      </c>
      <c r="N131">
        <v>14</v>
      </c>
      <c r="O131">
        <v>0</v>
      </c>
    </row>
    <row r="132" spans="1:15" x14ac:dyDescent="0.3">
      <c r="A132" s="13" t="s">
        <v>44</v>
      </c>
      <c r="B132" s="12" t="s">
        <v>29</v>
      </c>
      <c r="C132" s="12" t="s">
        <v>29</v>
      </c>
      <c r="D132">
        <v>41</v>
      </c>
      <c r="E132">
        <v>1</v>
      </c>
      <c r="F132">
        <v>12</v>
      </c>
      <c r="G132" t="b">
        <v>1</v>
      </c>
      <c r="H132">
        <v>22.79</v>
      </c>
      <c r="I132">
        <v>105715</v>
      </c>
      <c r="J132">
        <v>3.4</v>
      </c>
      <c r="K132">
        <v>1.3</v>
      </c>
      <c r="L132">
        <v>560</v>
      </c>
      <c r="M132">
        <v>0</v>
      </c>
      <c r="N132">
        <v>12</v>
      </c>
      <c r="O132">
        <v>0</v>
      </c>
    </row>
    <row r="133" spans="1:15" x14ac:dyDescent="0.3">
      <c r="A133" s="13" t="s">
        <v>44</v>
      </c>
      <c r="B133" s="12" t="s">
        <v>29</v>
      </c>
      <c r="C133" s="12" t="s">
        <v>29</v>
      </c>
      <c r="D133">
        <v>42</v>
      </c>
      <c r="E133">
        <v>2</v>
      </c>
      <c r="F133">
        <v>1</v>
      </c>
      <c r="G133" t="b">
        <v>1</v>
      </c>
      <c r="H133">
        <v>22.79</v>
      </c>
      <c r="I133">
        <v>133692</v>
      </c>
      <c r="J133">
        <v>3.4</v>
      </c>
      <c r="K133">
        <v>1.5</v>
      </c>
      <c r="L133">
        <v>0</v>
      </c>
      <c r="M133">
        <v>0</v>
      </c>
      <c r="N133">
        <v>12</v>
      </c>
      <c r="O133" t="e">
        <v>#DIV/0!</v>
      </c>
    </row>
    <row r="134" spans="1:15" x14ac:dyDescent="0.3">
      <c r="A134" s="13" t="s">
        <v>44</v>
      </c>
      <c r="B134" s="12" t="s">
        <v>29</v>
      </c>
      <c r="C134" s="12" t="s">
        <v>29</v>
      </c>
      <c r="D134">
        <v>43</v>
      </c>
      <c r="E134">
        <v>3</v>
      </c>
      <c r="F134">
        <v>1</v>
      </c>
      <c r="G134" t="b">
        <v>0</v>
      </c>
      <c r="H134">
        <v>22.79</v>
      </c>
      <c r="I134">
        <v>133692</v>
      </c>
      <c r="J134">
        <v>3.4</v>
      </c>
      <c r="K134">
        <v>1.5</v>
      </c>
      <c r="L134">
        <v>448</v>
      </c>
      <c r="M134">
        <v>0</v>
      </c>
      <c r="N134">
        <v>12</v>
      </c>
      <c r="O134">
        <v>0</v>
      </c>
    </row>
    <row r="135" spans="1:15" x14ac:dyDescent="0.3">
      <c r="A135" s="13" t="s">
        <v>44</v>
      </c>
      <c r="B135" s="12" t="s">
        <v>29</v>
      </c>
      <c r="C135" s="12" t="s">
        <v>29</v>
      </c>
      <c r="D135">
        <v>43</v>
      </c>
      <c r="E135">
        <v>4</v>
      </c>
      <c r="F135">
        <v>1</v>
      </c>
      <c r="G135" t="b">
        <v>0</v>
      </c>
      <c r="H135">
        <v>22.79</v>
      </c>
      <c r="I135">
        <v>133692</v>
      </c>
      <c r="J135">
        <v>3.4</v>
      </c>
      <c r="K135">
        <v>1.5</v>
      </c>
      <c r="L135">
        <v>728</v>
      </c>
      <c r="M135">
        <v>0</v>
      </c>
      <c r="N135">
        <v>13</v>
      </c>
      <c r="O135">
        <v>0</v>
      </c>
    </row>
    <row r="136" spans="1:15" x14ac:dyDescent="0.3">
      <c r="A136" s="13" t="s">
        <v>44</v>
      </c>
      <c r="B136" s="12" t="s">
        <v>29</v>
      </c>
      <c r="C136" s="12" t="s">
        <v>29</v>
      </c>
      <c r="D136">
        <v>43</v>
      </c>
      <c r="E136">
        <v>5</v>
      </c>
      <c r="F136">
        <v>1</v>
      </c>
      <c r="G136" t="b">
        <v>0</v>
      </c>
      <c r="H136">
        <v>22.79</v>
      </c>
      <c r="I136">
        <v>133692</v>
      </c>
      <c r="J136">
        <v>3.4</v>
      </c>
      <c r="K136">
        <v>1.5</v>
      </c>
      <c r="L136">
        <v>672</v>
      </c>
      <c r="M136">
        <v>0</v>
      </c>
      <c r="N136">
        <v>14</v>
      </c>
      <c r="O136">
        <v>0</v>
      </c>
    </row>
    <row r="137" spans="1:15" x14ac:dyDescent="0.3">
      <c r="A137" s="13" t="s">
        <v>44</v>
      </c>
      <c r="B137" s="12" t="s">
        <v>29</v>
      </c>
      <c r="C137" s="12" t="s">
        <v>29</v>
      </c>
      <c r="D137">
        <v>49</v>
      </c>
      <c r="E137">
        <v>6</v>
      </c>
      <c r="F137">
        <v>2</v>
      </c>
      <c r="G137" t="b">
        <v>0</v>
      </c>
      <c r="H137">
        <v>22.79</v>
      </c>
      <c r="I137">
        <v>137922</v>
      </c>
      <c r="J137">
        <v>3.15</v>
      </c>
      <c r="K137">
        <v>1.6</v>
      </c>
      <c r="L137">
        <v>728</v>
      </c>
      <c r="M137">
        <v>280</v>
      </c>
      <c r="N137">
        <v>9</v>
      </c>
      <c r="O137">
        <v>0.38461538461538464</v>
      </c>
    </row>
    <row r="138" spans="1:15" x14ac:dyDescent="0.3">
      <c r="A138" s="13" t="s">
        <v>44</v>
      </c>
      <c r="B138" s="12" t="s">
        <v>29</v>
      </c>
      <c r="C138" s="12" t="s">
        <v>29</v>
      </c>
      <c r="D138">
        <v>49</v>
      </c>
      <c r="E138">
        <v>7</v>
      </c>
      <c r="F138">
        <v>2</v>
      </c>
      <c r="G138" t="b">
        <v>0</v>
      </c>
      <c r="H138">
        <v>22.79</v>
      </c>
      <c r="I138">
        <v>137922</v>
      </c>
      <c r="J138">
        <v>3.15</v>
      </c>
      <c r="K138">
        <v>1.6</v>
      </c>
      <c r="L138">
        <v>672</v>
      </c>
      <c r="M138">
        <v>560</v>
      </c>
      <c r="N138">
        <v>10</v>
      </c>
      <c r="O138">
        <v>0.83333333333333337</v>
      </c>
    </row>
    <row r="139" spans="1:15" x14ac:dyDescent="0.3">
      <c r="A139" s="13" t="s">
        <v>44</v>
      </c>
      <c r="B139" s="12" t="s">
        <v>29</v>
      </c>
      <c r="C139" s="12" t="s">
        <v>29</v>
      </c>
      <c r="D139">
        <v>49</v>
      </c>
      <c r="E139">
        <v>8</v>
      </c>
      <c r="F139">
        <v>2</v>
      </c>
      <c r="G139" t="b">
        <v>0</v>
      </c>
      <c r="H139">
        <v>22.79</v>
      </c>
      <c r="I139">
        <v>137922</v>
      </c>
      <c r="J139">
        <v>3.15</v>
      </c>
      <c r="K139">
        <v>1.6</v>
      </c>
      <c r="L139">
        <v>728</v>
      </c>
      <c r="M139">
        <v>504</v>
      </c>
      <c r="N139">
        <v>11</v>
      </c>
      <c r="O139">
        <v>0.69230769230769229</v>
      </c>
    </row>
    <row r="140" spans="1:15" x14ac:dyDescent="0.3">
      <c r="A140" s="13" t="s">
        <v>44</v>
      </c>
      <c r="B140" s="12" t="s">
        <v>29</v>
      </c>
      <c r="C140" s="12" t="s">
        <v>29</v>
      </c>
      <c r="D140">
        <v>49</v>
      </c>
      <c r="E140">
        <v>9</v>
      </c>
      <c r="F140">
        <v>2</v>
      </c>
      <c r="G140" t="b">
        <v>0</v>
      </c>
      <c r="H140">
        <v>22.79</v>
      </c>
      <c r="I140">
        <v>137922</v>
      </c>
      <c r="J140">
        <v>3.15</v>
      </c>
      <c r="K140">
        <v>1.6</v>
      </c>
      <c r="L140">
        <v>728</v>
      </c>
      <c r="M140">
        <v>224</v>
      </c>
      <c r="N140">
        <v>12</v>
      </c>
      <c r="O140">
        <v>0.30769230769230771</v>
      </c>
    </row>
    <row r="141" spans="1:15" x14ac:dyDescent="0.3">
      <c r="A141" s="13" t="s">
        <v>44</v>
      </c>
      <c r="B141" s="12" t="s">
        <v>29</v>
      </c>
      <c r="C141" s="12" t="s">
        <v>29</v>
      </c>
      <c r="D141">
        <v>1</v>
      </c>
      <c r="E141">
        <v>10</v>
      </c>
      <c r="F141">
        <v>3</v>
      </c>
      <c r="G141" t="b">
        <v>0</v>
      </c>
      <c r="H141">
        <v>22.79</v>
      </c>
      <c r="I141">
        <v>172223</v>
      </c>
      <c r="J141">
        <v>3.15</v>
      </c>
      <c r="K141">
        <v>1.9</v>
      </c>
      <c r="L141">
        <v>560</v>
      </c>
      <c r="M141">
        <v>728</v>
      </c>
      <c r="N141">
        <v>9</v>
      </c>
      <c r="O141">
        <v>1.3</v>
      </c>
    </row>
    <row r="142" spans="1:15" x14ac:dyDescent="0.3">
      <c r="A142" s="13" t="s">
        <v>44</v>
      </c>
      <c r="B142" s="12" t="s">
        <v>29</v>
      </c>
      <c r="C142" s="12" t="s">
        <v>29</v>
      </c>
      <c r="D142">
        <v>1</v>
      </c>
      <c r="E142">
        <v>11</v>
      </c>
      <c r="F142">
        <v>3</v>
      </c>
      <c r="G142" t="b">
        <v>0</v>
      </c>
      <c r="H142">
        <v>22.79</v>
      </c>
      <c r="I142">
        <v>172223</v>
      </c>
      <c r="J142">
        <v>2.9</v>
      </c>
      <c r="K142">
        <v>1.9</v>
      </c>
      <c r="L142">
        <v>504</v>
      </c>
      <c r="M142">
        <v>784</v>
      </c>
      <c r="N142">
        <v>10</v>
      </c>
      <c r="O142">
        <v>1.5555555555555556</v>
      </c>
    </row>
    <row r="143" spans="1:15" x14ac:dyDescent="0.3">
      <c r="A143" s="13" t="s">
        <v>44</v>
      </c>
      <c r="B143" s="12" t="s">
        <v>29</v>
      </c>
      <c r="C143" s="12" t="s">
        <v>29</v>
      </c>
      <c r="D143">
        <v>1</v>
      </c>
      <c r="E143">
        <v>12</v>
      </c>
      <c r="F143">
        <v>3</v>
      </c>
      <c r="G143" t="b">
        <v>0</v>
      </c>
      <c r="H143">
        <v>22.79</v>
      </c>
      <c r="I143">
        <v>172223</v>
      </c>
      <c r="J143">
        <v>2.9</v>
      </c>
      <c r="K143">
        <v>1.9</v>
      </c>
      <c r="L143">
        <v>560</v>
      </c>
      <c r="M143">
        <v>448</v>
      </c>
      <c r="N143">
        <v>11</v>
      </c>
      <c r="O143">
        <v>0.8</v>
      </c>
    </row>
    <row r="144" spans="1:15" x14ac:dyDescent="0.3">
      <c r="A144" s="13" t="s">
        <v>44</v>
      </c>
      <c r="B144" s="12" t="s">
        <v>29</v>
      </c>
      <c r="C144" s="12" t="s">
        <v>29</v>
      </c>
      <c r="D144">
        <v>1</v>
      </c>
      <c r="E144">
        <v>13</v>
      </c>
      <c r="F144">
        <v>3</v>
      </c>
      <c r="G144" t="b">
        <v>0</v>
      </c>
      <c r="H144">
        <v>22.79</v>
      </c>
      <c r="I144">
        <v>172223</v>
      </c>
      <c r="J144">
        <v>2.9</v>
      </c>
      <c r="K144">
        <v>1.9</v>
      </c>
      <c r="L144">
        <v>448</v>
      </c>
      <c r="M144">
        <v>840</v>
      </c>
      <c r="N144">
        <v>12</v>
      </c>
      <c r="O144">
        <v>1.875</v>
      </c>
    </row>
    <row r="145" spans="1:15" x14ac:dyDescent="0.3">
      <c r="A145" s="13" t="s">
        <v>44</v>
      </c>
      <c r="B145" s="12" t="s">
        <v>29</v>
      </c>
      <c r="C145" s="12" t="s">
        <v>29</v>
      </c>
      <c r="D145">
        <v>1</v>
      </c>
      <c r="E145">
        <v>14</v>
      </c>
      <c r="F145">
        <v>3</v>
      </c>
      <c r="G145" t="b">
        <v>0</v>
      </c>
      <c r="H145">
        <v>22.79</v>
      </c>
      <c r="I145">
        <v>172223</v>
      </c>
      <c r="J145">
        <v>2.9</v>
      </c>
      <c r="K145">
        <v>1.9</v>
      </c>
      <c r="L145">
        <v>616</v>
      </c>
      <c r="M145">
        <v>560</v>
      </c>
      <c r="N145">
        <v>13</v>
      </c>
      <c r="O145">
        <v>0.90909090909090906</v>
      </c>
    </row>
    <row r="146" spans="1:15" x14ac:dyDescent="0.3">
      <c r="A146" s="13" t="s">
        <v>44</v>
      </c>
      <c r="B146" s="12" t="s">
        <v>29</v>
      </c>
      <c r="C146" s="12" t="s">
        <v>29</v>
      </c>
      <c r="D146">
        <v>5</v>
      </c>
      <c r="E146">
        <v>15</v>
      </c>
      <c r="F146">
        <v>4</v>
      </c>
      <c r="G146" t="b">
        <v>0</v>
      </c>
      <c r="H146">
        <v>22.79</v>
      </c>
      <c r="I146">
        <v>139084</v>
      </c>
      <c r="J146">
        <v>2.9</v>
      </c>
      <c r="K146">
        <v>1.9</v>
      </c>
      <c r="L146">
        <v>448</v>
      </c>
      <c r="M146">
        <v>672</v>
      </c>
      <c r="N146">
        <v>10</v>
      </c>
      <c r="O146">
        <v>1.5</v>
      </c>
    </row>
    <row r="147" spans="1:15" x14ac:dyDescent="0.3">
      <c r="A147" s="13" t="s">
        <v>44</v>
      </c>
      <c r="B147" s="12" t="s">
        <v>29</v>
      </c>
      <c r="C147" s="12" t="s">
        <v>29</v>
      </c>
      <c r="D147">
        <v>5</v>
      </c>
      <c r="E147">
        <v>16</v>
      </c>
      <c r="F147">
        <v>4</v>
      </c>
      <c r="G147" t="b">
        <v>0</v>
      </c>
      <c r="H147">
        <v>22.79</v>
      </c>
      <c r="I147">
        <v>139084</v>
      </c>
      <c r="J147">
        <v>2.9</v>
      </c>
      <c r="K147">
        <v>1.9</v>
      </c>
      <c r="L147">
        <v>280</v>
      </c>
      <c r="M147">
        <v>392</v>
      </c>
      <c r="N147">
        <v>11</v>
      </c>
      <c r="O147">
        <v>1.4</v>
      </c>
    </row>
    <row r="148" spans="1:15" x14ac:dyDescent="0.3">
      <c r="A148" s="13" t="s">
        <v>44</v>
      </c>
      <c r="B148" s="12" t="s">
        <v>29</v>
      </c>
      <c r="C148" s="12" t="s">
        <v>29</v>
      </c>
      <c r="D148">
        <v>5</v>
      </c>
      <c r="E148">
        <v>17</v>
      </c>
      <c r="F148">
        <v>4</v>
      </c>
      <c r="G148" t="b">
        <v>1</v>
      </c>
      <c r="H148">
        <v>22.79</v>
      </c>
      <c r="I148">
        <v>139084</v>
      </c>
      <c r="J148">
        <v>2.65</v>
      </c>
      <c r="K148">
        <v>1.9</v>
      </c>
      <c r="L148">
        <v>0</v>
      </c>
      <c r="M148">
        <v>0</v>
      </c>
      <c r="N148">
        <v>12</v>
      </c>
      <c r="O148" t="e">
        <v>#DIV/0!</v>
      </c>
    </row>
    <row r="149" spans="1:15" x14ac:dyDescent="0.3">
      <c r="A149" s="13" t="s">
        <v>44</v>
      </c>
      <c r="B149" s="12" t="s">
        <v>29</v>
      </c>
      <c r="C149" s="12" t="s">
        <v>29</v>
      </c>
      <c r="D149">
        <v>6</v>
      </c>
      <c r="E149">
        <v>18</v>
      </c>
      <c r="F149">
        <v>4</v>
      </c>
      <c r="G149" t="b">
        <v>1</v>
      </c>
      <c r="H149">
        <v>22.79</v>
      </c>
      <c r="I149">
        <v>139084</v>
      </c>
      <c r="J149">
        <v>2.65</v>
      </c>
      <c r="K149">
        <v>1.9</v>
      </c>
      <c r="L149">
        <v>168</v>
      </c>
      <c r="M149">
        <v>0</v>
      </c>
      <c r="N149">
        <v>12</v>
      </c>
      <c r="O149">
        <v>0</v>
      </c>
    </row>
    <row r="150" spans="1:15" x14ac:dyDescent="0.3">
      <c r="A150" s="13" t="s">
        <v>44</v>
      </c>
      <c r="B150" s="12" t="s">
        <v>29</v>
      </c>
      <c r="C150" s="12" t="s">
        <v>29</v>
      </c>
      <c r="D150">
        <v>7</v>
      </c>
      <c r="E150">
        <v>19</v>
      </c>
      <c r="F150">
        <v>5</v>
      </c>
      <c r="G150" t="b">
        <v>0</v>
      </c>
      <c r="H150">
        <v>22.79</v>
      </c>
      <c r="I150">
        <v>139390</v>
      </c>
      <c r="J150">
        <v>2.65</v>
      </c>
      <c r="K150">
        <v>1.6</v>
      </c>
      <c r="L150">
        <v>448</v>
      </c>
      <c r="M150">
        <v>0</v>
      </c>
      <c r="N150">
        <v>12</v>
      </c>
      <c r="O150">
        <v>0</v>
      </c>
    </row>
    <row r="151" spans="1:15" x14ac:dyDescent="0.3">
      <c r="A151" s="13" t="s">
        <v>44</v>
      </c>
      <c r="B151" s="12" t="s">
        <v>29</v>
      </c>
      <c r="C151" s="12" t="s">
        <v>29</v>
      </c>
      <c r="D151">
        <v>7</v>
      </c>
      <c r="E151">
        <v>20</v>
      </c>
      <c r="F151">
        <v>5</v>
      </c>
      <c r="G151" t="b">
        <v>0</v>
      </c>
      <c r="H151">
        <v>22.79</v>
      </c>
      <c r="I151">
        <v>139390</v>
      </c>
      <c r="J151">
        <v>2.65</v>
      </c>
      <c r="K151">
        <v>1.6</v>
      </c>
      <c r="L151">
        <v>168</v>
      </c>
      <c r="M151">
        <v>112</v>
      </c>
      <c r="N151">
        <v>13</v>
      </c>
      <c r="O151">
        <v>0.66666666666666663</v>
      </c>
    </row>
    <row r="152" spans="1:15" x14ac:dyDescent="0.3">
      <c r="A152" s="13" t="s">
        <v>44</v>
      </c>
      <c r="B152" s="12" t="s">
        <v>29</v>
      </c>
      <c r="C152" s="12" t="s">
        <v>29</v>
      </c>
      <c r="D152">
        <v>7</v>
      </c>
      <c r="E152">
        <v>21</v>
      </c>
      <c r="F152">
        <v>5</v>
      </c>
      <c r="G152" t="b">
        <v>0</v>
      </c>
      <c r="H152">
        <v>22.79</v>
      </c>
      <c r="I152">
        <v>139390</v>
      </c>
      <c r="J152">
        <v>2.65</v>
      </c>
      <c r="K152">
        <v>1.6</v>
      </c>
      <c r="L152">
        <v>392</v>
      </c>
      <c r="M152">
        <v>728</v>
      </c>
      <c r="N152">
        <v>14</v>
      </c>
      <c r="O152">
        <v>1.8571428571428572</v>
      </c>
    </row>
    <row r="153" spans="1:15" x14ac:dyDescent="0.3">
      <c r="A153" s="13" t="s">
        <v>44</v>
      </c>
      <c r="B153" s="12" t="s">
        <v>29</v>
      </c>
      <c r="C153" s="12" t="s">
        <v>29</v>
      </c>
      <c r="D153">
        <v>7</v>
      </c>
      <c r="E153">
        <v>22</v>
      </c>
      <c r="F153">
        <v>5</v>
      </c>
      <c r="G153" t="b">
        <v>0</v>
      </c>
      <c r="H153">
        <v>22.79</v>
      </c>
      <c r="I153">
        <v>139390</v>
      </c>
      <c r="J153">
        <v>2.65</v>
      </c>
      <c r="K153">
        <v>1.6</v>
      </c>
      <c r="L153">
        <v>448</v>
      </c>
      <c r="M153">
        <v>112</v>
      </c>
      <c r="N153">
        <v>15</v>
      </c>
      <c r="O153">
        <v>0.25</v>
      </c>
    </row>
    <row r="154" spans="1:15" x14ac:dyDescent="0.3">
      <c r="A154" s="13" t="s">
        <v>44</v>
      </c>
      <c r="B154" s="12" t="s">
        <v>29</v>
      </c>
      <c r="C154" s="12" t="s">
        <v>29</v>
      </c>
      <c r="D154">
        <v>11</v>
      </c>
      <c r="E154">
        <v>23</v>
      </c>
      <c r="F154">
        <v>5</v>
      </c>
      <c r="G154" t="b">
        <v>1</v>
      </c>
      <c r="H154">
        <v>22.79</v>
      </c>
      <c r="I154">
        <v>139390</v>
      </c>
      <c r="J154">
        <v>2.4</v>
      </c>
      <c r="K154">
        <v>1.6</v>
      </c>
      <c r="L154">
        <v>224</v>
      </c>
      <c r="M154">
        <v>448</v>
      </c>
      <c r="N154">
        <v>12</v>
      </c>
      <c r="O154">
        <v>2</v>
      </c>
    </row>
    <row r="155" spans="1:15" x14ac:dyDescent="0.3">
      <c r="A155" s="13" t="s">
        <v>44</v>
      </c>
      <c r="B155" s="12" t="s">
        <v>29</v>
      </c>
      <c r="C155" s="12" t="s">
        <v>29</v>
      </c>
      <c r="D155">
        <v>11</v>
      </c>
      <c r="E155">
        <v>24</v>
      </c>
      <c r="F155">
        <v>6</v>
      </c>
      <c r="G155" t="b">
        <v>0</v>
      </c>
      <c r="H155">
        <v>22.79</v>
      </c>
      <c r="I155">
        <v>132191</v>
      </c>
      <c r="J155">
        <v>2.4</v>
      </c>
      <c r="K155">
        <v>1.7</v>
      </c>
      <c r="L155">
        <v>280</v>
      </c>
      <c r="M155">
        <v>0</v>
      </c>
      <c r="N155">
        <v>13</v>
      </c>
      <c r="O155">
        <v>0</v>
      </c>
    </row>
    <row r="156" spans="1:15" x14ac:dyDescent="0.3">
      <c r="A156" s="13" t="s">
        <v>44</v>
      </c>
      <c r="B156" s="12" t="s">
        <v>29</v>
      </c>
      <c r="C156" s="12" t="s">
        <v>29</v>
      </c>
      <c r="D156">
        <v>11</v>
      </c>
      <c r="E156">
        <v>25</v>
      </c>
      <c r="F156">
        <v>6</v>
      </c>
      <c r="G156" t="b">
        <v>0</v>
      </c>
      <c r="H156">
        <v>22.79</v>
      </c>
      <c r="I156">
        <v>132191</v>
      </c>
      <c r="J156">
        <v>2.4</v>
      </c>
      <c r="K156">
        <v>1.7</v>
      </c>
      <c r="L156">
        <v>280</v>
      </c>
      <c r="M156">
        <v>616</v>
      </c>
      <c r="N156">
        <v>14</v>
      </c>
      <c r="O156">
        <v>2.2000000000000002</v>
      </c>
    </row>
    <row r="157" spans="1:15" x14ac:dyDescent="0.3">
      <c r="A157" s="13" t="s">
        <v>44</v>
      </c>
      <c r="B157" s="12" t="s">
        <v>29</v>
      </c>
      <c r="C157" s="12" t="s">
        <v>29</v>
      </c>
      <c r="D157">
        <v>11</v>
      </c>
      <c r="E157">
        <v>26</v>
      </c>
      <c r="F157">
        <v>6</v>
      </c>
      <c r="G157" t="b">
        <v>0</v>
      </c>
      <c r="H157">
        <v>22.79</v>
      </c>
      <c r="I157">
        <v>132191</v>
      </c>
      <c r="J157">
        <v>2.4</v>
      </c>
      <c r="K157">
        <v>1.7</v>
      </c>
      <c r="L157">
        <v>280</v>
      </c>
      <c r="M157">
        <v>168</v>
      </c>
      <c r="N157">
        <v>15</v>
      </c>
      <c r="O157">
        <v>0.6</v>
      </c>
    </row>
    <row r="158" spans="1:15" x14ac:dyDescent="0.3">
      <c r="A158" s="13" t="s">
        <v>43</v>
      </c>
      <c r="B158" s="12" t="s">
        <v>29</v>
      </c>
      <c r="C158" s="12" t="s">
        <v>29</v>
      </c>
      <c r="D158">
        <v>12</v>
      </c>
      <c r="E158">
        <v>27</v>
      </c>
      <c r="F158">
        <v>7</v>
      </c>
      <c r="G158" t="b">
        <v>0</v>
      </c>
      <c r="H158">
        <v>22.8</v>
      </c>
      <c r="I158">
        <v>124806</v>
      </c>
      <c r="J158">
        <v>4.5</v>
      </c>
      <c r="K158">
        <v>1.3</v>
      </c>
      <c r="L158">
        <v>448</v>
      </c>
      <c r="M158">
        <v>448</v>
      </c>
      <c r="N158">
        <v>15</v>
      </c>
      <c r="O158">
        <v>1</v>
      </c>
    </row>
    <row r="159" spans="1:15" x14ac:dyDescent="0.3">
      <c r="A159" s="13" t="s">
        <v>43</v>
      </c>
      <c r="B159" s="12" t="s">
        <v>29</v>
      </c>
      <c r="C159" s="12" t="s">
        <v>29</v>
      </c>
      <c r="D159">
        <v>12</v>
      </c>
      <c r="E159">
        <v>28</v>
      </c>
      <c r="F159">
        <v>7</v>
      </c>
      <c r="G159" t="b">
        <v>0</v>
      </c>
      <c r="H159">
        <v>22.8</v>
      </c>
      <c r="I159">
        <v>124806</v>
      </c>
      <c r="J159">
        <v>4.5</v>
      </c>
      <c r="K159">
        <v>1.3</v>
      </c>
      <c r="L159">
        <v>560</v>
      </c>
      <c r="M159">
        <v>448</v>
      </c>
      <c r="N159">
        <v>16</v>
      </c>
      <c r="O159">
        <v>0.8</v>
      </c>
    </row>
    <row r="160" spans="1:15" x14ac:dyDescent="0.3">
      <c r="A160" s="13" t="s">
        <v>43</v>
      </c>
      <c r="B160" s="12" t="s">
        <v>29</v>
      </c>
      <c r="C160" s="12" t="s">
        <v>29</v>
      </c>
      <c r="D160">
        <v>13</v>
      </c>
      <c r="E160">
        <v>29</v>
      </c>
      <c r="F160">
        <v>7</v>
      </c>
      <c r="G160" t="b">
        <v>0</v>
      </c>
      <c r="H160">
        <v>22.8</v>
      </c>
      <c r="I160">
        <v>124806</v>
      </c>
      <c r="J160">
        <v>4.5</v>
      </c>
      <c r="K160">
        <v>1.3</v>
      </c>
      <c r="L160">
        <v>504</v>
      </c>
      <c r="M160">
        <v>0</v>
      </c>
      <c r="N160">
        <v>16</v>
      </c>
      <c r="O160">
        <v>0</v>
      </c>
    </row>
    <row r="161" spans="1:15" x14ac:dyDescent="0.3">
      <c r="A161" s="13" t="s">
        <v>43</v>
      </c>
      <c r="B161" s="12" t="s">
        <v>29</v>
      </c>
      <c r="C161" s="12" t="s">
        <v>29</v>
      </c>
      <c r="D161">
        <v>13</v>
      </c>
      <c r="E161">
        <v>30</v>
      </c>
      <c r="F161">
        <v>7</v>
      </c>
      <c r="G161" t="b">
        <v>0</v>
      </c>
      <c r="H161">
        <v>22.8</v>
      </c>
      <c r="I161">
        <v>124806</v>
      </c>
      <c r="J161">
        <v>4.5</v>
      </c>
      <c r="K161">
        <v>1.3</v>
      </c>
      <c r="L161">
        <v>448</v>
      </c>
      <c r="M161">
        <v>0</v>
      </c>
      <c r="N161">
        <v>17</v>
      </c>
      <c r="O161">
        <v>0</v>
      </c>
    </row>
    <row r="162" spans="1:15" x14ac:dyDescent="0.3">
      <c r="A162" s="13" t="s">
        <v>43</v>
      </c>
      <c r="B162" s="12" t="s">
        <v>29</v>
      </c>
      <c r="C162" s="12" t="s">
        <v>29</v>
      </c>
      <c r="D162">
        <v>13</v>
      </c>
      <c r="E162">
        <v>31</v>
      </c>
      <c r="F162">
        <v>7</v>
      </c>
      <c r="G162" t="b">
        <v>0</v>
      </c>
      <c r="H162">
        <v>22.8</v>
      </c>
      <c r="I162">
        <v>124806</v>
      </c>
      <c r="J162">
        <v>4.5</v>
      </c>
      <c r="K162">
        <v>1.3</v>
      </c>
      <c r="L162">
        <v>392</v>
      </c>
      <c r="M162">
        <v>0</v>
      </c>
      <c r="N162">
        <v>18</v>
      </c>
      <c r="O162">
        <v>0</v>
      </c>
    </row>
    <row r="163" spans="1:15" x14ac:dyDescent="0.3">
      <c r="A163" s="13" t="s">
        <v>43</v>
      </c>
      <c r="B163" s="12" t="s">
        <v>29</v>
      </c>
      <c r="C163" s="12" t="s">
        <v>29</v>
      </c>
      <c r="D163">
        <v>14</v>
      </c>
      <c r="E163">
        <v>32</v>
      </c>
      <c r="F163">
        <v>8</v>
      </c>
      <c r="G163" t="b">
        <v>1</v>
      </c>
      <c r="H163">
        <v>22.8</v>
      </c>
      <c r="I163">
        <v>69121</v>
      </c>
      <c r="J163">
        <v>4.5</v>
      </c>
      <c r="K163">
        <v>1.1000000000000001</v>
      </c>
      <c r="L163">
        <v>0</v>
      </c>
      <c r="M163">
        <v>0</v>
      </c>
      <c r="N163">
        <v>18</v>
      </c>
      <c r="O163" t="e">
        <v>#DIV/0!</v>
      </c>
    </row>
    <row r="164" spans="1:15" x14ac:dyDescent="0.3">
      <c r="A164" s="13" t="s">
        <v>43</v>
      </c>
      <c r="B164" s="12" t="s">
        <v>29</v>
      </c>
      <c r="C164" s="12" t="s">
        <v>29</v>
      </c>
      <c r="D164">
        <v>15</v>
      </c>
      <c r="E164">
        <v>33</v>
      </c>
      <c r="F164">
        <v>8</v>
      </c>
      <c r="G164" t="b">
        <v>1</v>
      </c>
      <c r="H164">
        <v>22.8</v>
      </c>
      <c r="I164">
        <v>69121</v>
      </c>
      <c r="J164">
        <v>4.5</v>
      </c>
      <c r="K164">
        <v>1.1000000000000001</v>
      </c>
      <c r="L164">
        <v>0</v>
      </c>
      <c r="M164">
        <v>0</v>
      </c>
      <c r="N164">
        <v>18</v>
      </c>
      <c r="O164" t="e">
        <v>#DIV/0!</v>
      </c>
    </row>
    <row r="165" spans="1:15" x14ac:dyDescent="0.3">
      <c r="A165" s="13" t="s">
        <v>43</v>
      </c>
      <c r="B165" s="12" t="s">
        <v>29</v>
      </c>
      <c r="C165" s="12" t="s">
        <v>29</v>
      </c>
      <c r="D165">
        <v>15</v>
      </c>
      <c r="E165">
        <v>34</v>
      </c>
      <c r="F165">
        <v>8</v>
      </c>
      <c r="G165" t="b">
        <v>0</v>
      </c>
      <c r="H165">
        <v>22.8</v>
      </c>
      <c r="I165">
        <v>69121</v>
      </c>
      <c r="J165">
        <v>4.5</v>
      </c>
      <c r="K165">
        <v>1.1000000000000001</v>
      </c>
      <c r="L165">
        <v>728</v>
      </c>
      <c r="M165">
        <v>0</v>
      </c>
      <c r="N165">
        <v>19</v>
      </c>
      <c r="O165">
        <v>0</v>
      </c>
    </row>
    <row r="166" spans="1:15" x14ac:dyDescent="0.3">
      <c r="A166" s="13" t="s">
        <v>43</v>
      </c>
      <c r="B166" s="12" t="s">
        <v>29</v>
      </c>
      <c r="C166" s="12" t="s">
        <v>29</v>
      </c>
      <c r="D166">
        <v>15</v>
      </c>
      <c r="E166">
        <v>35</v>
      </c>
      <c r="F166">
        <v>8</v>
      </c>
      <c r="G166" t="b">
        <v>0</v>
      </c>
      <c r="H166">
        <v>22.8</v>
      </c>
      <c r="I166">
        <v>69121</v>
      </c>
      <c r="J166">
        <v>4.5</v>
      </c>
      <c r="K166">
        <v>1.1000000000000001</v>
      </c>
      <c r="L166">
        <v>784</v>
      </c>
      <c r="M166">
        <v>672</v>
      </c>
      <c r="N166">
        <v>20</v>
      </c>
      <c r="O166">
        <v>0.8571428571428571</v>
      </c>
    </row>
    <row r="167" spans="1:15" x14ac:dyDescent="0.3">
      <c r="A167" s="13" t="s">
        <v>43</v>
      </c>
      <c r="B167" s="12" t="s">
        <v>29</v>
      </c>
      <c r="C167" s="12" t="s">
        <v>29</v>
      </c>
      <c r="D167">
        <v>23</v>
      </c>
      <c r="E167">
        <v>36</v>
      </c>
      <c r="F167">
        <v>9</v>
      </c>
      <c r="G167" t="b">
        <v>0</v>
      </c>
      <c r="H167">
        <v>22.8</v>
      </c>
      <c r="I167">
        <v>121666</v>
      </c>
      <c r="J167">
        <v>4.5</v>
      </c>
      <c r="K167">
        <v>0.7</v>
      </c>
      <c r="L167">
        <v>728</v>
      </c>
      <c r="M167">
        <v>280</v>
      </c>
      <c r="N167">
        <v>13</v>
      </c>
      <c r="O167">
        <v>0.38461538461538464</v>
      </c>
    </row>
    <row r="168" spans="1:15" x14ac:dyDescent="0.3">
      <c r="A168" s="13" t="s">
        <v>43</v>
      </c>
      <c r="B168" s="12" t="s">
        <v>29</v>
      </c>
      <c r="C168" s="12" t="s">
        <v>29</v>
      </c>
      <c r="D168">
        <v>23</v>
      </c>
      <c r="E168">
        <v>37</v>
      </c>
      <c r="F168">
        <v>9</v>
      </c>
      <c r="G168" t="b">
        <v>0</v>
      </c>
      <c r="H168">
        <v>22.8</v>
      </c>
      <c r="I168">
        <v>121666</v>
      </c>
      <c r="J168">
        <v>4.5</v>
      </c>
      <c r="K168">
        <v>0.7</v>
      </c>
      <c r="L168">
        <v>728</v>
      </c>
      <c r="M168">
        <v>560</v>
      </c>
      <c r="N168">
        <v>14</v>
      </c>
      <c r="O168">
        <v>0.76923076923076927</v>
      </c>
    </row>
    <row r="169" spans="1:15" x14ac:dyDescent="0.3">
      <c r="A169" s="13" t="s">
        <v>43</v>
      </c>
      <c r="B169" s="12" t="s">
        <v>29</v>
      </c>
      <c r="C169" s="12" t="s">
        <v>29</v>
      </c>
      <c r="D169">
        <v>23</v>
      </c>
      <c r="E169">
        <v>38</v>
      </c>
      <c r="F169">
        <v>9</v>
      </c>
      <c r="G169" t="b">
        <v>0</v>
      </c>
      <c r="H169">
        <v>22.8</v>
      </c>
      <c r="I169">
        <v>121666</v>
      </c>
      <c r="J169">
        <v>3.9</v>
      </c>
      <c r="K169">
        <v>0.7</v>
      </c>
      <c r="L169">
        <v>728</v>
      </c>
      <c r="M169">
        <v>616</v>
      </c>
      <c r="N169">
        <v>15</v>
      </c>
      <c r="O169">
        <v>0.84615384615384615</v>
      </c>
    </row>
    <row r="170" spans="1:15" x14ac:dyDescent="0.3">
      <c r="A170" s="13" t="s">
        <v>43</v>
      </c>
      <c r="B170" s="12" t="s">
        <v>29</v>
      </c>
      <c r="C170" s="12" t="s">
        <v>29</v>
      </c>
      <c r="D170">
        <v>23</v>
      </c>
      <c r="E170">
        <v>39</v>
      </c>
      <c r="F170">
        <v>9</v>
      </c>
      <c r="G170" t="b">
        <v>0</v>
      </c>
      <c r="H170">
        <v>22.8</v>
      </c>
      <c r="I170">
        <v>121666</v>
      </c>
      <c r="J170">
        <v>3.9</v>
      </c>
      <c r="K170">
        <v>0.7</v>
      </c>
      <c r="L170">
        <v>728</v>
      </c>
      <c r="M170">
        <v>504</v>
      </c>
      <c r="N170">
        <v>16</v>
      </c>
      <c r="O170">
        <v>0.69230769230769229</v>
      </c>
    </row>
    <row r="171" spans="1:15" x14ac:dyDescent="0.3">
      <c r="A171" s="13" t="s">
        <v>43</v>
      </c>
      <c r="B171" s="12" t="s">
        <v>29</v>
      </c>
      <c r="C171" s="12" t="s">
        <v>29</v>
      </c>
      <c r="D171">
        <v>27</v>
      </c>
      <c r="E171">
        <v>40</v>
      </c>
      <c r="F171">
        <v>9</v>
      </c>
      <c r="G171" t="b">
        <v>0</v>
      </c>
      <c r="H171">
        <v>22.8</v>
      </c>
      <c r="I171">
        <v>121666</v>
      </c>
      <c r="J171">
        <v>3.9</v>
      </c>
      <c r="K171">
        <v>0.7</v>
      </c>
      <c r="L171">
        <v>896</v>
      </c>
      <c r="M171">
        <v>280</v>
      </c>
      <c r="N171">
        <v>13</v>
      </c>
      <c r="O171">
        <v>0.3125</v>
      </c>
    </row>
    <row r="172" spans="1:15" x14ac:dyDescent="0.3">
      <c r="A172" s="13" t="s">
        <v>43</v>
      </c>
      <c r="B172" s="12" t="s">
        <v>29</v>
      </c>
      <c r="C172" s="12" t="s">
        <v>29</v>
      </c>
      <c r="D172">
        <v>27</v>
      </c>
      <c r="E172">
        <v>41</v>
      </c>
      <c r="F172">
        <v>10</v>
      </c>
      <c r="G172" t="b">
        <v>0</v>
      </c>
      <c r="H172">
        <v>22.8</v>
      </c>
      <c r="I172">
        <v>126488</v>
      </c>
      <c r="J172">
        <v>3.9</v>
      </c>
      <c r="K172">
        <v>0.9</v>
      </c>
      <c r="L172">
        <v>840</v>
      </c>
      <c r="M172">
        <v>0</v>
      </c>
      <c r="N172">
        <v>14</v>
      </c>
      <c r="O172">
        <v>0</v>
      </c>
    </row>
    <row r="173" spans="1:15" x14ac:dyDescent="0.3">
      <c r="A173" s="13" t="s">
        <v>43</v>
      </c>
      <c r="B173" s="12" t="s">
        <v>29</v>
      </c>
      <c r="C173" s="12" t="s">
        <v>29</v>
      </c>
      <c r="D173">
        <v>27</v>
      </c>
      <c r="E173">
        <v>42</v>
      </c>
      <c r="F173">
        <v>10</v>
      </c>
      <c r="G173" t="b">
        <v>0</v>
      </c>
      <c r="H173">
        <v>22.8</v>
      </c>
      <c r="I173">
        <v>126488</v>
      </c>
      <c r="J173">
        <v>3.9</v>
      </c>
      <c r="K173">
        <v>0.9</v>
      </c>
      <c r="L173">
        <v>896</v>
      </c>
      <c r="M173">
        <v>168</v>
      </c>
      <c r="N173">
        <v>15</v>
      </c>
      <c r="O173">
        <v>0.1875</v>
      </c>
    </row>
    <row r="174" spans="1:15" x14ac:dyDescent="0.3">
      <c r="A174" s="13" t="s">
        <v>43</v>
      </c>
      <c r="B174" s="12" t="s">
        <v>29</v>
      </c>
      <c r="C174" s="12" t="s">
        <v>29</v>
      </c>
      <c r="D174">
        <v>27</v>
      </c>
      <c r="E174">
        <v>43</v>
      </c>
      <c r="F174">
        <v>10</v>
      </c>
      <c r="G174" t="b">
        <v>0</v>
      </c>
      <c r="H174">
        <v>22.8</v>
      </c>
      <c r="I174">
        <v>126488</v>
      </c>
      <c r="J174">
        <v>3.65</v>
      </c>
      <c r="K174">
        <v>0.9</v>
      </c>
      <c r="L174">
        <v>784</v>
      </c>
      <c r="M174">
        <v>504</v>
      </c>
      <c r="N174">
        <v>16</v>
      </c>
      <c r="O174">
        <v>0.6428571428571429</v>
      </c>
    </row>
    <row r="175" spans="1:15" x14ac:dyDescent="0.3">
      <c r="A175" s="13" t="s">
        <v>43</v>
      </c>
      <c r="B175" s="12" t="s">
        <v>29</v>
      </c>
      <c r="C175" s="12" t="s">
        <v>29</v>
      </c>
      <c r="D175">
        <v>27</v>
      </c>
      <c r="E175">
        <v>44</v>
      </c>
      <c r="F175">
        <v>10</v>
      </c>
      <c r="G175" t="b">
        <v>1</v>
      </c>
      <c r="H175">
        <v>22.8</v>
      </c>
      <c r="I175">
        <v>126488</v>
      </c>
      <c r="J175">
        <v>3.65</v>
      </c>
      <c r="K175">
        <v>0.9</v>
      </c>
      <c r="L175">
        <v>616</v>
      </c>
      <c r="M175">
        <v>0</v>
      </c>
      <c r="N175">
        <v>17</v>
      </c>
      <c r="O175">
        <v>0</v>
      </c>
    </row>
    <row r="176" spans="1:15" x14ac:dyDescent="0.3">
      <c r="A176" s="13" t="s">
        <v>43</v>
      </c>
      <c r="B176" s="12" t="s">
        <v>29</v>
      </c>
      <c r="C176" s="12" t="s">
        <v>29</v>
      </c>
      <c r="D176">
        <v>36</v>
      </c>
      <c r="E176">
        <v>45</v>
      </c>
      <c r="F176">
        <v>11</v>
      </c>
      <c r="G176" t="b">
        <v>0</v>
      </c>
      <c r="H176">
        <v>22.8</v>
      </c>
      <c r="I176">
        <v>124251</v>
      </c>
      <c r="J176">
        <v>3.65</v>
      </c>
      <c r="K176">
        <v>1.3</v>
      </c>
      <c r="L176">
        <v>840</v>
      </c>
      <c r="M176">
        <v>672</v>
      </c>
      <c r="N176">
        <v>9</v>
      </c>
      <c r="O176">
        <v>0.8</v>
      </c>
    </row>
    <row r="177" spans="1:15" x14ac:dyDescent="0.3">
      <c r="A177" s="13" t="s">
        <v>43</v>
      </c>
      <c r="B177" s="12" t="s">
        <v>29</v>
      </c>
      <c r="C177" s="12" t="s">
        <v>29</v>
      </c>
      <c r="D177">
        <v>36</v>
      </c>
      <c r="E177">
        <v>46</v>
      </c>
      <c r="F177">
        <v>11</v>
      </c>
      <c r="G177" t="b">
        <v>0</v>
      </c>
      <c r="H177">
        <v>22.8</v>
      </c>
      <c r="I177">
        <v>124251</v>
      </c>
      <c r="J177">
        <v>3.65</v>
      </c>
      <c r="K177">
        <v>1.3</v>
      </c>
      <c r="L177">
        <v>896</v>
      </c>
      <c r="M177">
        <v>224</v>
      </c>
      <c r="N177">
        <v>10</v>
      </c>
      <c r="O177">
        <v>0.25</v>
      </c>
    </row>
    <row r="178" spans="1:15" x14ac:dyDescent="0.3">
      <c r="A178" s="13" t="s">
        <v>43</v>
      </c>
      <c r="B178" s="12" t="s">
        <v>29</v>
      </c>
      <c r="C178" s="12" t="s">
        <v>29</v>
      </c>
      <c r="D178">
        <v>36</v>
      </c>
      <c r="E178">
        <v>47</v>
      </c>
      <c r="F178">
        <v>11</v>
      </c>
      <c r="G178" t="b">
        <v>0</v>
      </c>
      <c r="H178">
        <v>22.8</v>
      </c>
      <c r="I178">
        <v>124251</v>
      </c>
      <c r="J178">
        <v>3.65</v>
      </c>
      <c r="K178">
        <v>1.3</v>
      </c>
      <c r="L178">
        <v>840</v>
      </c>
      <c r="M178">
        <v>784</v>
      </c>
      <c r="N178">
        <v>11</v>
      </c>
      <c r="O178">
        <v>0.93333333333333335</v>
      </c>
    </row>
    <row r="179" spans="1:15" x14ac:dyDescent="0.3">
      <c r="A179" s="13" t="s">
        <v>43</v>
      </c>
      <c r="B179" s="12" t="s">
        <v>29</v>
      </c>
      <c r="C179" s="12" t="s">
        <v>29</v>
      </c>
      <c r="D179">
        <v>36</v>
      </c>
      <c r="E179">
        <v>48</v>
      </c>
      <c r="F179">
        <v>11</v>
      </c>
      <c r="G179" t="b">
        <v>0</v>
      </c>
      <c r="H179">
        <v>22.8</v>
      </c>
      <c r="I179">
        <v>124251</v>
      </c>
      <c r="J179">
        <v>3.65</v>
      </c>
      <c r="K179">
        <v>1.3</v>
      </c>
      <c r="L179">
        <v>840</v>
      </c>
      <c r="M179">
        <v>336</v>
      </c>
      <c r="N179">
        <v>12</v>
      </c>
      <c r="O179">
        <v>0.4</v>
      </c>
    </row>
    <row r="180" spans="1:15" x14ac:dyDescent="0.3">
      <c r="A180" s="13" t="s">
        <v>43</v>
      </c>
      <c r="B180" s="12" t="s">
        <v>29</v>
      </c>
      <c r="C180" s="12" t="s">
        <v>29</v>
      </c>
      <c r="D180">
        <v>38</v>
      </c>
      <c r="E180">
        <v>49</v>
      </c>
      <c r="F180">
        <v>12</v>
      </c>
      <c r="G180" t="b">
        <v>1</v>
      </c>
      <c r="H180">
        <v>22.8</v>
      </c>
      <c r="I180">
        <v>105715</v>
      </c>
      <c r="J180">
        <v>3.65</v>
      </c>
      <c r="K180">
        <v>1.3</v>
      </c>
      <c r="L180">
        <v>224</v>
      </c>
      <c r="M180">
        <v>952</v>
      </c>
      <c r="N180">
        <v>11</v>
      </c>
      <c r="O180">
        <v>4.25</v>
      </c>
    </row>
    <row r="181" spans="1:15" x14ac:dyDescent="0.3">
      <c r="A181" s="13" t="s">
        <v>43</v>
      </c>
      <c r="B181" s="12" t="s">
        <v>29</v>
      </c>
      <c r="C181" s="12" t="s">
        <v>29</v>
      </c>
      <c r="D181">
        <v>39</v>
      </c>
      <c r="E181">
        <v>50</v>
      </c>
      <c r="F181">
        <v>12</v>
      </c>
      <c r="G181" t="b">
        <v>0</v>
      </c>
      <c r="H181">
        <v>22.8</v>
      </c>
      <c r="I181">
        <v>105715</v>
      </c>
      <c r="J181">
        <v>3.4</v>
      </c>
      <c r="K181">
        <v>1.3</v>
      </c>
      <c r="L181">
        <v>784</v>
      </c>
      <c r="M181">
        <v>168</v>
      </c>
      <c r="N181">
        <v>11</v>
      </c>
      <c r="O181">
        <v>0.21428571428571427</v>
      </c>
    </row>
    <row r="182" spans="1:15" x14ac:dyDescent="0.3">
      <c r="A182" s="13" t="s">
        <v>43</v>
      </c>
      <c r="B182" s="12" t="s">
        <v>29</v>
      </c>
      <c r="C182" s="12" t="s">
        <v>29</v>
      </c>
      <c r="D182">
        <v>38</v>
      </c>
      <c r="E182">
        <v>51</v>
      </c>
      <c r="F182">
        <v>12</v>
      </c>
      <c r="G182" t="b">
        <v>0</v>
      </c>
      <c r="H182">
        <v>22.8</v>
      </c>
      <c r="I182">
        <v>105715</v>
      </c>
      <c r="J182">
        <v>3.4</v>
      </c>
      <c r="K182">
        <v>1.3</v>
      </c>
      <c r="L182">
        <v>728</v>
      </c>
      <c r="M182">
        <v>0</v>
      </c>
      <c r="N182">
        <v>13</v>
      </c>
      <c r="O182">
        <v>0</v>
      </c>
    </row>
    <row r="183" spans="1:15" x14ac:dyDescent="0.3">
      <c r="A183" s="13" t="s">
        <v>43</v>
      </c>
      <c r="B183" s="12" t="s">
        <v>29</v>
      </c>
      <c r="C183" s="12" t="s">
        <v>29</v>
      </c>
      <c r="D183">
        <v>38</v>
      </c>
      <c r="E183">
        <v>52</v>
      </c>
      <c r="F183">
        <v>12</v>
      </c>
      <c r="G183" t="b">
        <v>1</v>
      </c>
      <c r="H183">
        <v>22.8</v>
      </c>
      <c r="I183">
        <v>105715</v>
      </c>
      <c r="J183">
        <v>3.4</v>
      </c>
      <c r="K183">
        <v>1.3</v>
      </c>
      <c r="L183">
        <v>224</v>
      </c>
      <c r="M183">
        <v>0</v>
      </c>
      <c r="N183">
        <v>14</v>
      </c>
      <c r="O183">
        <v>0</v>
      </c>
    </row>
    <row r="184" spans="1:15" x14ac:dyDescent="0.3">
      <c r="A184" s="13" t="s">
        <v>43</v>
      </c>
      <c r="B184" s="12" t="s">
        <v>29</v>
      </c>
      <c r="C184" s="12" t="s">
        <v>29</v>
      </c>
      <c r="D184">
        <v>41</v>
      </c>
      <c r="E184">
        <v>1</v>
      </c>
      <c r="F184">
        <v>12</v>
      </c>
      <c r="G184" t="b">
        <v>1</v>
      </c>
      <c r="H184">
        <v>22.8</v>
      </c>
      <c r="I184">
        <v>105715</v>
      </c>
      <c r="J184">
        <v>3.4</v>
      </c>
      <c r="K184">
        <v>1.3</v>
      </c>
      <c r="L184">
        <v>560</v>
      </c>
      <c r="M184">
        <v>0</v>
      </c>
      <c r="N184">
        <v>12</v>
      </c>
      <c r="O184">
        <v>0</v>
      </c>
    </row>
    <row r="185" spans="1:15" x14ac:dyDescent="0.3">
      <c r="A185" s="13" t="s">
        <v>43</v>
      </c>
      <c r="B185" s="12" t="s">
        <v>29</v>
      </c>
      <c r="C185" s="12" t="s">
        <v>29</v>
      </c>
      <c r="D185">
        <v>42</v>
      </c>
      <c r="E185">
        <v>2</v>
      </c>
      <c r="F185">
        <v>1</v>
      </c>
      <c r="G185" t="b">
        <v>1</v>
      </c>
      <c r="H185">
        <v>22.8</v>
      </c>
      <c r="I185">
        <v>133692</v>
      </c>
      <c r="J185">
        <v>3.4</v>
      </c>
      <c r="K185">
        <v>1.5</v>
      </c>
      <c r="L185">
        <v>0</v>
      </c>
      <c r="M185">
        <v>0</v>
      </c>
      <c r="N185">
        <v>12</v>
      </c>
      <c r="O185" t="e">
        <v>#DIV/0!</v>
      </c>
    </row>
    <row r="186" spans="1:15" x14ac:dyDescent="0.3">
      <c r="A186" s="13" t="s">
        <v>43</v>
      </c>
      <c r="B186" s="12" t="s">
        <v>29</v>
      </c>
      <c r="C186" s="12" t="s">
        <v>29</v>
      </c>
      <c r="D186">
        <v>43</v>
      </c>
      <c r="E186">
        <v>3</v>
      </c>
      <c r="F186">
        <v>1</v>
      </c>
      <c r="G186" t="b">
        <v>0</v>
      </c>
      <c r="H186">
        <v>22.8</v>
      </c>
      <c r="I186">
        <v>133692</v>
      </c>
      <c r="J186">
        <v>3.4</v>
      </c>
      <c r="K186">
        <v>1.5</v>
      </c>
      <c r="L186">
        <v>392</v>
      </c>
      <c r="M186">
        <v>0</v>
      </c>
      <c r="N186">
        <v>12</v>
      </c>
      <c r="O186">
        <v>0</v>
      </c>
    </row>
    <row r="187" spans="1:15" x14ac:dyDescent="0.3">
      <c r="A187" s="13" t="s">
        <v>43</v>
      </c>
      <c r="B187" s="12" t="s">
        <v>29</v>
      </c>
      <c r="C187" s="12" t="s">
        <v>29</v>
      </c>
      <c r="D187">
        <v>43</v>
      </c>
      <c r="E187">
        <v>4</v>
      </c>
      <c r="F187">
        <v>1</v>
      </c>
      <c r="G187" t="b">
        <v>0</v>
      </c>
      <c r="H187">
        <v>22.8</v>
      </c>
      <c r="I187">
        <v>133692</v>
      </c>
      <c r="J187">
        <v>3.4</v>
      </c>
      <c r="K187">
        <v>1.5</v>
      </c>
      <c r="L187">
        <v>784</v>
      </c>
      <c r="M187">
        <v>0</v>
      </c>
      <c r="N187">
        <v>13</v>
      </c>
      <c r="O187">
        <v>0</v>
      </c>
    </row>
    <row r="188" spans="1:15" x14ac:dyDescent="0.3">
      <c r="A188" s="13" t="s">
        <v>43</v>
      </c>
      <c r="B188" s="12" t="s">
        <v>29</v>
      </c>
      <c r="C188" s="12" t="s">
        <v>29</v>
      </c>
      <c r="D188">
        <v>43</v>
      </c>
      <c r="E188">
        <v>5</v>
      </c>
      <c r="F188">
        <v>1</v>
      </c>
      <c r="G188" t="b">
        <v>0</v>
      </c>
      <c r="H188">
        <v>22.8</v>
      </c>
      <c r="I188">
        <v>133692</v>
      </c>
      <c r="J188">
        <v>3.4</v>
      </c>
      <c r="K188">
        <v>1.5</v>
      </c>
      <c r="L188">
        <v>672</v>
      </c>
      <c r="M188">
        <v>0</v>
      </c>
      <c r="N188">
        <v>14</v>
      </c>
      <c r="O188">
        <v>0</v>
      </c>
    </row>
    <row r="189" spans="1:15" x14ac:dyDescent="0.3">
      <c r="A189" s="13" t="s">
        <v>43</v>
      </c>
      <c r="B189" s="12" t="s">
        <v>29</v>
      </c>
      <c r="C189" s="12" t="s">
        <v>29</v>
      </c>
      <c r="D189">
        <v>49</v>
      </c>
      <c r="E189">
        <v>6</v>
      </c>
      <c r="F189">
        <v>2</v>
      </c>
      <c r="G189" t="b">
        <v>0</v>
      </c>
      <c r="H189">
        <v>22.8</v>
      </c>
      <c r="I189">
        <v>137922</v>
      </c>
      <c r="J189">
        <v>3.15</v>
      </c>
      <c r="K189">
        <v>1.6</v>
      </c>
      <c r="L189">
        <v>784</v>
      </c>
      <c r="M189">
        <v>280</v>
      </c>
      <c r="N189">
        <v>9</v>
      </c>
      <c r="O189">
        <v>0.35714285714285715</v>
      </c>
    </row>
    <row r="190" spans="1:15" x14ac:dyDescent="0.3">
      <c r="A190" s="13" t="s">
        <v>43</v>
      </c>
      <c r="B190" s="12" t="s">
        <v>29</v>
      </c>
      <c r="C190" s="12" t="s">
        <v>29</v>
      </c>
      <c r="D190">
        <v>49</v>
      </c>
      <c r="E190">
        <v>7</v>
      </c>
      <c r="F190">
        <v>2</v>
      </c>
      <c r="G190" t="b">
        <v>0</v>
      </c>
      <c r="H190">
        <v>22.8</v>
      </c>
      <c r="I190">
        <v>137922</v>
      </c>
      <c r="J190">
        <v>3.15</v>
      </c>
      <c r="K190">
        <v>1.6</v>
      </c>
      <c r="L190">
        <v>672</v>
      </c>
      <c r="M190">
        <v>504</v>
      </c>
      <c r="N190">
        <v>10</v>
      </c>
      <c r="O190">
        <v>0.75</v>
      </c>
    </row>
    <row r="191" spans="1:15" x14ac:dyDescent="0.3">
      <c r="A191" s="13" t="s">
        <v>43</v>
      </c>
      <c r="B191" s="12" t="s">
        <v>29</v>
      </c>
      <c r="C191" s="12" t="s">
        <v>29</v>
      </c>
      <c r="D191">
        <v>49</v>
      </c>
      <c r="E191">
        <v>8</v>
      </c>
      <c r="F191">
        <v>2</v>
      </c>
      <c r="G191" t="b">
        <v>0</v>
      </c>
      <c r="H191">
        <v>22.8</v>
      </c>
      <c r="I191">
        <v>137922</v>
      </c>
      <c r="J191">
        <v>3.15</v>
      </c>
      <c r="K191">
        <v>1.6</v>
      </c>
      <c r="L191">
        <v>728</v>
      </c>
      <c r="M191">
        <v>560</v>
      </c>
      <c r="N191">
        <v>11</v>
      </c>
      <c r="O191">
        <v>0.76923076923076927</v>
      </c>
    </row>
    <row r="192" spans="1:15" x14ac:dyDescent="0.3">
      <c r="A192" s="13" t="s">
        <v>43</v>
      </c>
      <c r="B192" s="12" t="s">
        <v>29</v>
      </c>
      <c r="C192" s="12" t="s">
        <v>29</v>
      </c>
      <c r="D192">
        <v>49</v>
      </c>
      <c r="E192">
        <v>9</v>
      </c>
      <c r="F192">
        <v>2</v>
      </c>
      <c r="G192" t="b">
        <v>0</v>
      </c>
      <c r="H192">
        <v>22.8</v>
      </c>
      <c r="I192">
        <v>137922</v>
      </c>
      <c r="J192">
        <v>3.15</v>
      </c>
      <c r="K192">
        <v>1.6</v>
      </c>
      <c r="L192">
        <v>728</v>
      </c>
      <c r="M192">
        <v>224</v>
      </c>
      <c r="N192">
        <v>12</v>
      </c>
      <c r="O192">
        <v>0.30769230769230771</v>
      </c>
    </row>
    <row r="193" spans="1:15" x14ac:dyDescent="0.3">
      <c r="A193" s="13" t="s">
        <v>43</v>
      </c>
      <c r="B193" s="12" t="s">
        <v>29</v>
      </c>
      <c r="C193" s="12" t="s">
        <v>29</v>
      </c>
      <c r="D193">
        <v>1</v>
      </c>
      <c r="E193">
        <v>10</v>
      </c>
      <c r="F193">
        <v>3</v>
      </c>
      <c r="G193" t="b">
        <v>0</v>
      </c>
      <c r="H193">
        <v>22.8</v>
      </c>
      <c r="I193">
        <v>172223</v>
      </c>
      <c r="J193">
        <v>3.15</v>
      </c>
      <c r="K193">
        <v>1.9</v>
      </c>
      <c r="L193">
        <v>504</v>
      </c>
      <c r="M193">
        <v>728</v>
      </c>
      <c r="N193">
        <v>9</v>
      </c>
      <c r="O193">
        <v>1.4444444444444444</v>
      </c>
    </row>
    <row r="194" spans="1:15" x14ac:dyDescent="0.3">
      <c r="A194" s="13" t="s">
        <v>43</v>
      </c>
      <c r="B194" s="12" t="s">
        <v>29</v>
      </c>
      <c r="C194" s="12" t="s">
        <v>29</v>
      </c>
      <c r="D194">
        <v>1</v>
      </c>
      <c r="E194">
        <v>11</v>
      </c>
      <c r="F194">
        <v>3</v>
      </c>
      <c r="G194" t="b">
        <v>0</v>
      </c>
      <c r="H194">
        <v>22.8</v>
      </c>
      <c r="I194">
        <v>172223</v>
      </c>
      <c r="J194">
        <v>2.9</v>
      </c>
      <c r="K194">
        <v>1.9</v>
      </c>
      <c r="L194">
        <v>560</v>
      </c>
      <c r="M194">
        <v>784</v>
      </c>
      <c r="N194">
        <v>10</v>
      </c>
      <c r="O194">
        <v>1.4</v>
      </c>
    </row>
    <row r="195" spans="1:15" x14ac:dyDescent="0.3">
      <c r="A195" s="13" t="s">
        <v>43</v>
      </c>
      <c r="B195" s="12" t="s">
        <v>29</v>
      </c>
      <c r="C195" s="12" t="s">
        <v>29</v>
      </c>
      <c r="D195">
        <v>1</v>
      </c>
      <c r="E195">
        <v>12</v>
      </c>
      <c r="F195">
        <v>3</v>
      </c>
      <c r="G195" t="b">
        <v>0</v>
      </c>
      <c r="H195">
        <v>22.8</v>
      </c>
      <c r="I195">
        <v>172223</v>
      </c>
      <c r="J195">
        <v>2.9</v>
      </c>
      <c r="K195">
        <v>1.9</v>
      </c>
      <c r="L195">
        <v>560</v>
      </c>
      <c r="M195">
        <v>448</v>
      </c>
      <c r="N195">
        <v>11</v>
      </c>
      <c r="O195">
        <v>0.8</v>
      </c>
    </row>
    <row r="196" spans="1:15" x14ac:dyDescent="0.3">
      <c r="A196" s="13" t="s">
        <v>43</v>
      </c>
      <c r="B196" s="12" t="s">
        <v>29</v>
      </c>
      <c r="C196" s="12" t="s">
        <v>29</v>
      </c>
      <c r="D196">
        <v>1</v>
      </c>
      <c r="E196">
        <v>13</v>
      </c>
      <c r="F196">
        <v>3</v>
      </c>
      <c r="G196" t="b">
        <v>0</v>
      </c>
      <c r="H196">
        <v>22.8</v>
      </c>
      <c r="I196">
        <v>172223</v>
      </c>
      <c r="J196">
        <v>2.9</v>
      </c>
      <c r="K196">
        <v>1.9</v>
      </c>
      <c r="L196">
        <v>448</v>
      </c>
      <c r="M196">
        <v>784</v>
      </c>
      <c r="N196">
        <v>12</v>
      </c>
      <c r="O196">
        <v>1.75</v>
      </c>
    </row>
    <row r="197" spans="1:15" x14ac:dyDescent="0.3">
      <c r="A197" s="13" t="s">
        <v>43</v>
      </c>
      <c r="B197" s="12" t="s">
        <v>29</v>
      </c>
      <c r="C197" s="12" t="s">
        <v>29</v>
      </c>
      <c r="D197">
        <v>1</v>
      </c>
      <c r="E197">
        <v>14</v>
      </c>
      <c r="F197">
        <v>3</v>
      </c>
      <c r="G197" t="b">
        <v>0</v>
      </c>
      <c r="H197">
        <v>22.8</v>
      </c>
      <c r="I197">
        <v>172223</v>
      </c>
      <c r="J197">
        <v>2.9</v>
      </c>
      <c r="K197">
        <v>1.9</v>
      </c>
      <c r="L197">
        <v>560</v>
      </c>
      <c r="M197">
        <v>616</v>
      </c>
      <c r="N197">
        <v>13</v>
      </c>
      <c r="O197">
        <v>1.1000000000000001</v>
      </c>
    </row>
    <row r="198" spans="1:15" x14ac:dyDescent="0.3">
      <c r="A198" s="13" t="s">
        <v>43</v>
      </c>
      <c r="B198" s="12" t="s">
        <v>29</v>
      </c>
      <c r="C198" s="12" t="s">
        <v>29</v>
      </c>
      <c r="D198">
        <v>5</v>
      </c>
      <c r="E198">
        <v>15</v>
      </c>
      <c r="F198">
        <v>4</v>
      </c>
      <c r="G198" t="b">
        <v>0</v>
      </c>
      <c r="H198">
        <v>22.8</v>
      </c>
      <c r="I198">
        <v>139084</v>
      </c>
      <c r="J198">
        <v>2.9</v>
      </c>
      <c r="K198">
        <v>1.9</v>
      </c>
      <c r="L198">
        <v>392</v>
      </c>
      <c r="M198">
        <v>672</v>
      </c>
      <c r="N198">
        <v>10</v>
      </c>
      <c r="O198">
        <v>1.7142857142857142</v>
      </c>
    </row>
    <row r="199" spans="1:15" x14ac:dyDescent="0.3">
      <c r="A199" s="13" t="s">
        <v>43</v>
      </c>
      <c r="B199" s="12" t="s">
        <v>29</v>
      </c>
      <c r="C199" s="12" t="s">
        <v>29</v>
      </c>
      <c r="D199">
        <v>5</v>
      </c>
      <c r="E199">
        <v>16</v>
      </c>
      <c r="F199">
        <v>4</v>
      </c>
      <c r="G199" t="b">
        <v>0</v>
      </c>
      <c r="H199">
        <v>22.8</v>
      </c>
      <c r="I199">
        <v>139084</v>
      </c>
      <c r="J199">
        <v>2.9</v>
      </c>
      <c r="K199">
        <v>1.9</v>
      </c>
      <c r="L199">
        <v>336</v>
      </c>
      <c r="M199">
        <v>392</v>
      </c>
      <c r="N199">
        <v>11</v>
      </c>
      <c r="O199">
        <v>1.1666666666666667</v>
      </c>
    </row>
    <row r="200" spans="1:15" x14ac:dyDescent="0.3">
      <c r="A200" s="13" t="s">
        <v>43</v>
      </c>
      <c r="B200" s="12" t="s">
        <v>29</v>
      </c>
      <c r="C200" s="12" t="s">
        <v>29</v>
      </c>
      <c r="D200">
        <v>5</v>
      </c>
      <c r="E200">
        <v>17</v>
      </c>
      <c r="F200">
        <v>4</v>
      </c>
      <c r="G200" t="b">
        <v>1</v>
      </c>
      <c r="H200">
        <v>22.8</v>
      </c>
      <c r="I200">
        <v>139084</v>
      </c>
      <c r="J200">
        <v>2.65</v>
      </c>
      <c r="K200">
        <v>1.9</v>
      </c>
      <c r="L200">
        <v>0</v>
      </c>
      <c r="M200">
        <v>0</v>
      </c>
      <c r="N200">
        <v>12</v>
      </c>
      <c r="O200" t="e">
        <v>#DIV/0!</v>
      </c>
    </row>
    <row r="201" spans="1:15" x14ac:dyDescent="0.3">
      <c r="A201" s="13" t="s">
        <v>43</v>
      </c>
      <c r="B201" s="12" t="s">
        <v>29</v>
      </c>
      <c r="C201" s="12" t="s">
        <v>29</v>
      </c>
      <c r="D201">
        <v>6</v>
      </c>
      <c r="E201">
        <v>18</v>
      </c>
      <c r="F201">
        <v>4</v>
      </c>
      <c r="G201" t="b">
        <v>1</v>
      </c>
      <c r="H201">
        <v>22.8</v>
      </c>
      <c r="I201">
        <v>139084</v>
      </c>
      <c r="J201">
        <v>2.65</v>
      </c>
      <c r="K201">
        <v>1.9</v>
      </c>
      <c r="L201">
        <v>168</v>
      </c>
      <c r="M201">
        <v>0</v>
      </c>
      <c r="N201">
        <v>12</v>
      </c>
      <c r="O201">
        <v>0</v>
      </c>
    </row>
    <row r="202" spans="1:15" x14ac:dyDescent="0.3">
      <c r="A202" s="13" t="s">
        <v>43</v>
      </c>
      <c r="B202" s="12" t="s">
        <v>29</v>
      </c>
      <c r="C202" s="12" t="s">
        <v>29</v>
      </c>
      <c r="D202">
        <v>7</v>
      </c>
      <c r="E202">
        <v>19</v>
      </c>
      <c r="F202">
        <v>5</v>
      </c>
      <c r="G202" t="b">
        <v>0</v>
      </c>
      <c r="H202">
        <v>22.8</v>
      </c>
      <c r="I202">
        <v>139390</v>
      </c>
      <c r="J202">
        <v>2.65</v>
      </c>
      <c r="K202">
        <v>1.6</v>
      </c>
      <c r="L202">
        <v>448</v>
      </c>
      <c r="M202">
        <v>0</v>
      </c>
      <c r="N202">
        <v>12</v>
      </c>
      <c r="O202">
        <v>0</v>
      </c>
    </row>
    <row r="203" spans="1:15" x14ac:dyDescent="0.3">
      <c r="A203" s="13" t="s">
        <v>43</v>
      </c>
      <c r="B203" s="12" t="s">
        <v>29</v>
      </c>
      <c r="C203" s="12" t="s">
        <v>29</v>
      </c>
      <c r="D203">
        <v>7</v>
      </c>
      <c r="E203">
        <v>20</v>
      </c>
      <c r="F203">
        <v>5</v>
      </c>
      <c r="G203" t="b">
        <v>0</v>
      </c>
      <c r="H203">
        <v>22.8</v>
      </c>
      <c r="I203">
        <v>139390</v>
      </c>
      <c r="J203">
        <v>2.65</v>
      </c>
      <c r="K203">
        <v>1.6</v>
      </c>
      <c r="L203">
        <v>112</v>
      </c>
      <c r="M203">
        <v>112</v>
      </c>
      <c r="N203">
        <v>13</v>
      </c>
      <c r="O203">
        <v>1</v>
      </c>
    </row>
    <row r="204" spans="1:15" x14ac:dyDescent="0.3">
      <c r="A204" s="13" t="s">
        <v>43</v>
      </c>
      <c r="B204" s="12" t="s">
        <v>29</v>
      </c>
      <c r="C204" s="12" t="s">
        <v>29</v>
      </c>
      <c r="D204">
        <v>7</v>
      </c>
      <c r="E204">
        <v>21</v>
      </c>
      <c r="F204">
        <v>5</v>
      </c>
      <c r="G204" t="b">
        <v>0</v>
      </c>
      <c r="H204">
        <v>22.8</v>
      </c>
      <c r="I204">
        <v>139390</v>
      </c>
      <c r="J204">
        <v>2.65</v>
      </c>
      <c r="K204">
        <v>1.6</v>
      </c>
      <c r="L204">
        <v>392</v>
      </c>
      <c r="M204">
        <v>672</v>
      </c>
      <c r="N204">
        <v>14</v>
      </c>
      <c r="O204">
        <v>1.7142857142857142</v>
      </c>
    </row>
    <row r="205" spans="1:15" x14ac:dyDescent="0.3">
      <c r="A205" s="13" t="s">
        <v>43</v>
      </c>
      <c r="B205" s="12" t="s">
        <v>29</v>
      </c>
      <c r="C205" s="12" t="s">
        <v>29</v>
      </c>
      <c r="D205">
        <v>7</v>
      </c>
      <c r="E205">
        <v>22</v>
      </c>
      <c r="F205">
        <v>5</v>
      </c>
      <c r="G205" t="b">
        <v>0</v>
      </c>
      <c r="H205">
        <v>22.8</v>
      </c>
      <c r="I205">
        <v>139390</v>
      </c>
      <c r="J205">
        <v>2.65</v>
      </c>
      <c r="K205">
        <v>1.6</v>
      </c>
      <c r="L205">
        <v>448</v>
      </c>
      <c r="M205">
        <v>56</v>
      </c>
      <c r="N205">
        <v>15</v>
      </c>
      <c r="O205">
        <v>0.125</v>
      </c>
    </row>
    <row r="206" spans="1:15" x14ac:dyDescent="0.3">
      <c r="A206" s="13" t="s">
        <v>43</v>
      </c>
      <c r="B206" s="12" t="s">
        <v>29</v>
      </c>
      <c r="C206" s="12" t="s">
        <v>29</v>
      </c>
      <c r="D206">
        <v>11</v>
      </c>
      <c r="E206">
        <v>23</v>
      </c>
      <c r="F206">
        <v>5</v>
      </c>
      <c r="G206" t="b">
        <v>1</v>
      </c>
      <c r="H206">
        <v>22.8</v>
      </c>
      <c r="I206">
        <v>139390</v>
      </c>
      <c r="J206">
        <v>2.4</v>
      </c>
      <c r="K206">
        <v>1.6</v>
      </c>
      <c r="L206">
        <v>224</v>
      </c>
      <c r="M206">
        <v>560</v>
      </c>
      <c r="N206">
        <v>12</v>
      </c>
      <c r="O206">
        <v>2.5</v>
      </c>
    </row>
    <row r="207" spans="1:15" x14ac:dyDescent="0.3">
      <c r="A207" s="13" t="s">
        <v>43</v>
      </c>
      <c r="B207" s="12" t="s">
        <v>29</v>
      </c>
      <c r="C207" s="12" t="s">
        <v>29</v>
      </c>
      <c r="D207">
        <v>11</v>
      </c>
      <c r="E207">
        <v>24</v>
      </c>
      <c r="F207">
        <v>6</v>
      </c>
      <c r="G207" t="b">
        <v>0</v>
      </c>
      <c r="H207">
        <v>22.8</v>
      </c>
      <c r="I207">
        <v>132191</v>
      </c>
      <c r="J207">
        <v>2.4</v>
      </c>
      <c r="K207">
        <v>1.7</v>
      </c>
      <c r="L207">
        <v>224</v>
      </c>
      <c r="M207">
        <v>0</v>
      </c>
      <c r="N207">
        <v>13</v>
      </c>
      <c r="O207">
        <v>0</v>
      </c>
    </row>
    <row r="208" spans="1:15" x14ac:dyDescent="0.3">
      <c r="A208" s="13" t="s">
        <v>43</v>
      </c>
      <c r="B208" s="12" t="s">
        <v>29</v>
      </c>
      <c r="C208" s="12" t="s">
        <v>29</v>
      </c>
      <c r="D208">
        <v>11</v>
      </c>
      <c r="E208">
        <v>25</v>
      </c>
      <c r="F208">
        <v>6</v>
      </c>
      <c r="G208" t="b">
        <v>0</v>
      </c>
      <c r="H208">
        <v>22.8</v>
      </c>
      <c r="I208">
        <v>132191</v>
      </c>
      <c r="J208">
        <v>2.4</v>
      </c>
      <c r="K208">
        <v>1.7</v>
      </c>
      <c r="L208">
        <v>280</v>
      </c>
      <c r="M208">
        <v>728</v>
      </c>
      <c r="N208">
        <v>14</v>
      </c>
      <c r="O208">
        <v>2.6</v>
      </c>
    </row>
    <row r="209" spans="1:15" x14ac:dyDescent="0.3">
      <c r="A209" s="13" t="s">
        <v>43</v>
      </c>
      <c r="B209" s="12" t="s">
        <v>29</v>
      </c>
      <c r="C209" s="12" t="s">
        <v>29</v>
      </c>
      <c r="D209">
        <v>11</v>
      </c>
      <c r="E209">
        <v>26</v>
      </c>
      <c r="F209">
        <v>6</v>
      </c>
      <c r="G209" t="b">
        <v>0</v>
      </c>
      <c r="H209">
        <v>22.8</v>
      </c>
      <c r="I209">
        <v>132191</v>
      </c>
      <c r="J209">
        <v>2.4</v>
      </c>
      <c r="K209">
        <v>1.7</v>
      </c>
      <c r="L209">
        <v>336</v>
      </c>
      <c r="M209">
        <v>168</v>
      </c>
      <c r="N209">
        <v>15</v>
      </c>
      <c r="O209">
        <v>0.5</v>
      </c>
    </row>
    <row r="210" spans="1:15" x14ac:dyDescent="0.3">
      <c r="A210" s="13" t="s">
        <v>29</v>
      </c>
      <c r="B210" s="12" t="s">
        <v>30</v>
      </c>
      <c r="C210" s="12" t="s">
        <v>29</v>
      </c>
      <c r="D210">
        <v>12</v>
      </c>
      <c r="E210">
        <v>27</v>
      </c>
      <c r="F210">
        <v>7</v>
      </c>
      <c r="G210" t="b">
        <v>0</v>
      </c>
      <c r="H210">
        <v>28.77</v>
      </c>
      <c r="I210">
        <v>124806</v>
      </c>
      <c r="J210">
        <v>4.5</v>
      </c>
      <c r="K210">
        <v>1.3</v>
      </c>
      <c r="L210">
        <v>2208</v>
      </c>
      <c r="M210">
        <v>816</v>
      </c>
      <c r="N210">
        <v>15</v>
      </c>
      <c r="O210">
        <v>0.36956521739130432</v>
      </c>
    </row>
    <row r="211" spans="1:15" x14ac:dyDescent="0.3">
      <c r="A211" s="13" t="s">
        <v>29</v>
      </c>
      <c r="B211" s="12" t="s">
        <v>30</v>
      </c>
      <c r="C211" s="12" t="s">
        <v>29</v>
      </c>
      <c r="D211">
        <v>12</v>
      </c>
      <c r="E211">
        <v>28</v>
      </c>
      <c r="F211">
        <v>7</v>
      </c>
      <c r="G211" t="b">
        <v>0</v>
      </c>
      <c r="H211">
        <v>28.77</v>
      </c>
      <c r="I211">
        <v>124806</v>
      </c>
      <c r="J211">
        <v>4.5</v>
      </c>
      <c r="K211">
        <v>1.3</v>
      </c>
      <c r="L211">
        <v>1920</v>
      </c>
      <c r="M211">
        <v>1536</v>
      </c>
      <c r="N211">
        <v>16</v>
      </c>
      <c r="O211">
        <v>0.8</v>
      </c>
    </row>
    <row r="212" spans="1:15" x14ac:dyDescent="0.3">
      <c r="A212" s="13" t="s">
        <v>29</v>
      </c>
      <c r="B212" s="12" t="s">
        <v>30</v>
      </c>
      <c r="C212" s="12" t="s">
        <v>29</v>
      </c>
      <c r="D212">
        <v>12</v>
      </c>
      <c r="E212">
        <v>29</v>
      </c>
      <c r="F212">
        <v>7</v>
      </c>
      <c r="G212" t="b">
        <v>0</v>
      </c>
      <c r="H212">
        <v>28.77</v>
      </c>
      <c r="I212">
        <v>124806</v>
      </c>
      <c r="J212">
        <v>4.5</v>
      </c>
      <c r="K212">
        <v>1.3</v>
      </c>
      <c r="L212">
        <v>1848</v>
      </c>
      <c r="M212">
        <v>0</v>
      </c>
      <c r="N212">
        <v>17</v>
      </c>
      <c r="O212">
        <v>0</v>
      </c>
    </row>
    <row r="213" spans="1:15" x14ac:dyDescent="0.3">
      <c r="A213" s="13" t="s">
        <v>29</v>
      </c>
      <c r="B213" s="12" t="s">
        <v>30</v>
      </c>
      <c r="C213" s="12" t="s">
        <v>29</v>
      </c>
      <c r="D213">
        <v>12</v>
      </c>
      <c r="E213">
        <v>30</v>
      </c>
      <c r="F213">
        <v>7</v>
      </c>
      <c r="G213" t="b">
        <v>0</v>
      </c>
      <c r="H213">
        <v>28.77</v>
      </c>
      <c r="I213">
        <v>124806</v>
      </c>
      <c r="J213">
        <v>4.5</v>
      </c>
      <c r="K213">
        <v>1.3</v>
      </c>
      <c r="L213">
        <v>1848</v>
      </c>
      <c r="M213">
        <v>2568</v>
      </c>
      <c r="N213">
        <v>18</v>
      </c>
      <c r="O213">
        <v>1.3896103896103895</v>
      </c>
    </row>
    <row r="214" spans="1:15" x14ac:dyDescent="0.3">
      <c r="A214" s="13" t="s">
        <v>29</v>
      </c>
      <c r="B214" s="12" t="s">
        <v>30</v>
      </c>
      <c r="C214" s="12" t="s">
        <v>29</v>
      </c>
      <c r="D214">
        <v>12</v>
      </c>
      <c r="E214">
        <v>31</v>
      </c>
      <c r="F214">
        <v>7</v>
      </c>
      <c r="G214" t="b">
        <v>0</v>
      </c>
      <c r="H214">
        <v>28.77</v>
      </c>
      <c r="I214">
        <v>124806</v>
      </c>
      <c r="J214">
        <v>4.5</v>
      </c>
      <c r="K214">
        <v>1.3</v>
      </c>
      <c r="L214">
        <v>1704</v>
      </c>
      <c r="M214">
        <v>720</v>
      </c>
      <c r="N214">
        <v>19</v>
      </c>
      <c r="O214">
        <v>0.42253521126760563</v>
      </c>
    </row>
    <row r="215" spans="1:15" x14ac:dyDescent="0.3">
      <c r="A215" s="13" t="s">
        <v>29</v>
      </c>
      <c r="B215" s="12" t="s">
        <v>30</v>
      </c>
      <c r="C215" s="12" t="s">
        <v>29</v>
      </c>
      <c r="D215">
        <v>13</v>
      </c>
      <c r="E215">
        <v>32</v>
      </c>
      <c r="F215">
        <v>8</v>
      </c>
      <c r="G215" t="b">
        <v>1</v>
      </c>
      <c r="H215">
        <v>28.77</v>
      </c>
      <c r="I215">
        <v>69121</v>
      </c>
      <c r="J215">
        <v>4.5</v>
      </c>
      <c r="K215">
        <v>1.1000000000000001</v>
      </c>
      <c r="L215">
        <v>0</v>
      </c>
      <c r="M215">
        <v>0</v>
      </c>
      <c r="N215">
        <v>19</v>
      </c>
      <c r="O215" t="e">
        <v>#DIV/0!</v>
      </c>
    </row>
    <row r="216" spans="1:15" x14ac:dyDescent="0.3">
      <c r="A216" s="13" t="s">
        <v>29</v>
      </c>
      <c r="B216" s="12" t="s">
        <v>30</v>
      </c>
      <c r="C216" s="12" t="s">
        <v>29</v>
      </c>
      <c r="D216">
        <v>14</v>
      </c>
      <c r="E216">
        <v>33</v>
      </c>
      <c r="F216">
        <v>8</v>
      </c>
      <c r="G216" t="b">
        <v>1</v>
      </c>
      <c r="H216">
        <v>28.77</v>
      </c>
      <c r="I216">
        <v>69121</v>
      </c>
      <c r="J216">
        <v>4.5</v>
      </c>
      <c r="K216">
        <v>1.1000000000000001</v>
      </c>
      <c r="L216">
        <v>0</v>
      </c>
      <c r="M216">
        <v>0</v>
      </c>
      <c r="N216">
        <v>19</v>
      </c>
      <c r="O216" t="e">
        <v>#DIV/0!</v>
      </c>
    </row>
    <row r="217" spans="1:15" x14ac:dyDescent="0.3">
      <c r="A217" s="13" t="s">
        <v>29</v>
      </c>
      <c r="B217" s="12" t="s">
        <v>30</v>
      </c>
      <c r="C217" s="12" t="s">
        <v>29</v>
      </c>
      <c r="D217">
        <v>15</v>
      </c>
      <c r="E217">
        <v>34</v>
      </c>
      <c r="F217">
        <v>8</v>
      </c>
      <c r="G217" t="b">
        <v>0</v>
      </c>
      <c r="H217">
        <v>28.77</v>
      </c>
      <c r="I217">
        <v>69121</v>
      </c>
      <c r="J217">
        <v>4.5</v>
      </c>
      <c r="K217">
        <v>1.1000000000000001</v>
      </c>
      <c r="L217">
        <v>2160</v>
      </c>
      <c r="M217">
        <v>1152</v>
      </c>
      <c r="N217">
        <v>19</v>
      </c>
      <c r="O217">
        <v>0.53333333333333333</v>
      </c>
    </row>
    <row r="218" spans="1:15" x14ac:dyDescent="0.3">
      <c r="A218" s="13" t="s">
        <v>29</v>
      </c>
      <c r="B218" s="12" t="s">
        <v>30</v>
      </c>
      <c r="C218" s="12" t="s">
        <v>29</v>
      </c>
      <c r="D218">
        <v>14</v>
      </c>
      <c r="E218">
        <v>35</v>
      </c>
      <c r="F218">
        <v>8</v>
      </c>
      <c r="G218" t="b">
        <v>0</v>
      </c>
      <c r="H218">
        <v>28.77</v>
      </c>
      <c r="I218">
        <v>69121</v>
      </c>
      <c r="J218">
        <v>4.5</v>
      </c>
      <c r="K218">
        <v>1.1000000000000001</v>
      </c>
      <c r="L218">
        <v>2523</v>
      </c>
      <c r="M218">
        <v>1944</v>
      </c>
      <c r="N218">
        <v>21</v>
      </c>
      <c r="O218">
        <v>0.77051129607609992</v>
      </c>
    </row>
    <row r="219" spans="1:15" x14ac:dyDescent="0.3">
      <c r="A219" s="13" t="s">
        <v>29</v>
      </c>
      <c r="B219" s="12" t="s">
        <v>30</v>
      </c>
      <c r="C219" s="12" t="s">
        <v>29</v>
      </c>
      <c r="D219">
        <v>22</v>
      </c>
      <c r="E219">
        <v>36</v>
      </c>
      <c r="F219">
        <v>9</v>
      </c>
      <c r="G219" t="b">
        <v>0</v>
      </c>
      <c r="H219">
        <v>28.77</v>
      </c>
      <c r="I219">
        <v>121666</v>
      </c>
      <c r="J219">
        <v>4.5</v>
      </c>
      <c r="K219">
        <v>0.7</v>
      </c>
      <c r="L219">
        <v>1824</v>
      </c>
      <c r="M219">
        <v>1296</v>
      </c>
      <c r="N219">
        <v>14</v>
      </c>
      <c r="O219">
        <v>0.71052631578947367</v>
      </c>
    </row>
    <row r="220" spans="1:15" x14ac:dyDescent="0.3">
      <c r="A220" s="13" t="s">
        <v>29</v>
      </c>
      <c r="B220" s="12" t="s">
        <v>30</v>
      </c>
      <c r="C220" s="12" t="s">
        <v>29</v>
      </c>
      <c r="D220">
        <v>22</v>
      </c>
      <c r="E220">
        <v>37</v>
      </c>
      <c r="F220">
        <v>9</v>
      </c>
      <c r="G220" t="b">
        <v>0</v>
      </c>
      <c r="H220">
        <v>28.77</v>
      </c>
      <c r="I220">
        <v>121666</v>
      </c>
      <c r="J220">
        <v>4.5</v>
      </c>
      <c r="K220">
        <v>0.7</v>
      </c>
      <c r="L220">
        <v>1632</v>
      </c>
      <c r="M220">
        <v>1680</v>
      </c>
      <c r="N220">
        <v>15</v>
      </c>
      <c r="O220">
        <v>1.0294117647058822</v>
      </c>
    </row>
    <row r="221" spans="1:15" x14ac:dyDescent="0.3">
      <c r="A221" s="13" t="s">
        <v>29</v>
      </c>
      <c r="B221" s="12" t="s">
        <v>30</v>
      </c>
      <c r="C221" s="12" t="s">
        <v>29</v>
      </c>
      <c r="D221">
        <v>22</v>
      </c>
      <c r="E221">
        <v>38</v>
      </c>
      <c r="F221">
        <v>9</v>
      </c>
      <c r="G221" t="b">
        <v>0</v>
      </c>
      <c r="H221">
        <v>28.77</v>
      </c>
      <c r="I221">
        <v>121666</v>
      </c>
      <c r="J221">
        <v>3.9</v>
      </c>
      <c r="K221">
        <v>0.7</v>
      </c>
      <c r="L221">
        <v>2328</v>
      </c>
      <c r="M221">
        <v>1320</v>
      </c>
      <c r="N221">
        <v>16</v>
      </c>
      <c r="O221">
        <v>0.5670103092783505</v>
      </c>
    </row>
    <row r="222" spans="1:15" x14ac:dyDescent="0.3">
      <c r="A222" s="13" t="s">
        <v>29</v>
      </c>
      <c r="B222" s="12" t="s">
        <v>30</v>
      </c>
      <c r="C222" s="12" t="s">
        <v>29</v>
      </c>
      <c r="D222">
        <v>22</v>
      </c>
      <c r="E222">
        <v>39</v>
      </c>
      <c r="F222">
        <v>9</v>
      </c>
      <c r="G222" t="b">
        <v>0</v>
      </c>
      <c r="H222">
        <v>28.77</v>
      </c>
      <c r="I222">
        <v>121666</v>
      </c>
      <c r="J222">
        <v>3.9</v>
      </c>
      <c r="K222">
        <v>0.7</v>
      </c>
      <c r="L222">
        <v>2520</v>
      </c>
      <c r="M222">
        <v>1584</v>
      </c>
      <c r="N222">
        <v>17</v>
      </c>
      <c r="O222">
        <v>0.62857142857142856</v>
      </c>
    </row>
    <row r="223" spans="1:15" x14ac:dyDescent="0.3">
      <c r="A223" s="13" t="s">
        <v>29</v>
      </c>
      <c r="B223" s="12" t="s">
        <v>30</v>
      </c>
      <c r="C223" s="12" t="s">
        <v>29</v>
      </c>
      <c r="D223">
        <v>26</v>
      </c>
      <c r="E223">
        <v>40</v>
      </c>
      <c r="F223">
        <v>9</v>
      </c>
      <c r="G223" t="b">
        <v>0</v>
      </c>
      <c r="H223">
        <v>28.77</v>
      </c>
      <c r="I223">
        <v>121666</v>
      </c>
      <c r="J223">
        <v>3.9</v>
      </c>
      <c r="K223">
        <v>0.7</v>
      </c>
      <c r="L223">
        <v>2688</v>
      </c>
      <c r="M223">
        <v>1296</v>
      </c>
      <c r="N223">
        <v>14</v>
      </c>
      <c r="O223">
        <v>0.48214285714285715</v>
      </c>
    </row>
    <row r="224" spans="1:15" x14ac:dyDescent="0.3">
      <c r="A224" s="13" t="s">
        <v>29</v>
      </c>
      <c r="B224" s="12" t="s">
        <v>30</v>
      </c>
      <c r="C224" s="12" t="s">
        <v>29</v>
      </c>
      <c r="D224">
        <v>26</v>
      </c>
      <c r="E224">
        <v>41</v>
      </c>
      <c r="F224">
        <v>10</v>
      </c>
      <c r="G224" t="b">
        <v>0</v>
      </c>
      <c r="H224">
        <v>28.77</v>
      </c>
      <c r="I224">
        <v>126488</v>
      </c>
      <c r="J224">
        <v>3.9</v>
      </c>
      <c r="K224">
        <v>0.9</v>
      </c>
      <c r="L224">
        <v>2736</v>
      </c>
      <c r="M224">
        <v>528</v>
      </c>
      <c r="N224">
        <v>15</v>
      </c>
      <c r="O224">
        <v>0.19298245614035087</v>
      </c>
    </row>
    <row r="225" spans="1:15" x14ac:dyDescent="0.3">
      <c r="A225" s="13" t="s">
        <v>29</v>
      </c>
      <c r="B225" s="12" t="s">
        <v>30</v>
      </c>
      <c r="C225" s="12" t="s">
        <v>29</v>
      </c>
      <c r="D225">
        <v>26</v>
      </c>
      <c r="E225">
        <v>42</v>
      </c>
      <c r="F225">
        <v>10</v>
      </c>
      <c r="G225" t="b">
        <v>0</v>
      </c>
      <c r="H225">
        <v>28.77</v>
      </c>
      <c r="I225">
        <v>126488</v>
      </c>
      <c r="J225">
        <v>3.9</v>
      </c>
      <c r="K225">
        <v>0.9</v>
      </c>
      <c r="L225">
        <v>2280</v>
      </c>
      <c r="M225">
        <v>1608</v>
      </c>
      <c r="N225">
        <v>16</v>
      </c>
      <c r="O225">
        <v>0.70526315789473681</v>
      </c>
    </row>
    <row r="226" spans="1:15" x14ac:dyDescent="0.3">
      <c r="A226" s="13" t="s">
        <v>29</v>
      </c>
      <c r="B226" s="12" t="s">
        <v>30</v>
      </c>
      <c r="C226" s="12" t="s">
        <v>29</v>
      </c>
      <c r="D226">
        <v>26</v>
      </c>
      <c r="E226">
        <v>43</v>
      </c>
      <c r="F226">
        <v>10</v>
      </c>
      <c r="G226" t="b">
        <v>0</v>
      </c>
      <c r="H226">
        <v>28.77</v>
      </c>
      <c r="I226">
        <v>126488</v>
      </c>
      <c r="J226">
        <v>3.65</v>
      </c>
      <c r="K226">
        <v>0.9</v>
      </c>
      <c r="L226">
        <v>2520</v>
      </c>
      <c r="M226">
        <v>1680</v>
      </c>
      <c r="N226">
        <v>17</v>
      </c>
      <c r="O226">
        <v>0.66666666666666663</v>
      </c>
    </row>
    <row r="227" spans="1:15" x14ac:dyDescent="0.3">
      <c r="A227" s="13" t="s">
        <v>29</v>
      </c>
      <c r="B227" s="12" t="s">
        <v>30</v>
      </c>
      <c r="C227" s="12" t="s">
        <v>29</v>
      </c>
      <c r="D227">
        <v>26</v>
      </c>
      <c r="E227">
        <v>44</v>
      </c>
      <c r="F227">
        <v>10</v>
      </c>
      <c r="G227" t="b">
        <v>1</v>
      </c>
      <c r="H227">
        <v>28.77</v>
      </c>
      <c r="I227">
        <v>126488</v>
      </c>
      <c r="J227">
        <v>3.65</v>
      </c>
      <c r="K227">
        <v>0.9</v>
      </c>
      <c r="L227">
        <v>1320</v>
      </c>
      <c r="M227">
        <v>960</v>
      </c>
      <c r="N227">
        <v>18</v>
      </c>
      <c r="O227">
        <v>0.72727272727272729</v>
      </c>
    </row>
    <row r="228" spans="1:15" x14ac:dyDescent="0.3">
      <c r="A228" s="13" t="s">
        <v>29</v>
      </c>
      <c r="B228" s="12" t="s">
        <v>30</v>
      </c>
      <c r="C228" s="12" t="s">
        <v>29</v>
      </c>
      <c r="D228">
        <v>33</v>
      </c>
      <c r="E228">
        <v>45</v>
      </c>
      <c r="F228">
        <v>11</v>
      </c>
      <c r="G228" t="b">
        <v>0</v>
      </c>
      <c r="H228">
        <v>28.77</v>
      </c>
      <c r="I228">
        <v>124251</v>
      </c>
      <c r="J228">
        <v>3.65</v>
      </c>
      <c r="K228">
        <v>1.3</v>
      </c>
      <c r="L228">
        <v>2448</v>
      </c>
      <c r="M228">
        <v>1584</v>
      </c>
      <c r="N228">
        <v>12</v>
      </c>
      <c r="O228">
        <v>0.6470588235294118</v>
      </c>
    </row>
    <row r="229" spans="1:15" x14ac:dyDescent="0.3">
      <c r="A229" s="13" t="s">
        <v>29</v>
      </c>
      <c r="B229" s="12" t="s">
        <v>30</v>
      </c>
      <c r="C229" s="12" t="s">
        <v>29</v>
      </c>
      <c r="D229">
        <v>33</v>
      </c>
      <c r="E229">
        <v>46</v>
      </c>
      <c r="F229">
        <v>11</v>
      </c>
      <c r="G229" t="b">
        <v>0</v>
      </c>
      <c r="H229">
        <v>28.77</v>
      </c>
      <c r="I229">
        <v>124251</v>
      </c>
      <c r="J229">
        <v>3.65</v>
      </c>
      <c r="K229">
        <v>1.3</v>
      </c>
      <c r="L229">
        <v>2256</v>
      </c>
      <c r="M229">
        <v>1968</v>
      </c>
      <c r="N229">
        <v>13</v>
      </c>
      <c r="O229">
        <v>0.87234042553191493</v>
      </c>
    </row>
    <row r="230" spans="1:15" x14ac:dyDescent="0.3">
      <c r="A230" s="13" t="s">
        <v>29</v>
      </c>
      <c r="B230" s="12" t="s">
        <v>30</v>
      </c>
      <c r="C230" s="12" t="s">
        <v>29</v>
      </c>
      <c r="D230">
        <v>33</v>
      </c>
      <c r="E230">
        <v>47</v>
      </c>
      <c r="F230">
        <v>11</v>
      </c>
      <c r="G230" t="b">
        <v>0</v>
      </c>
      <c r="H230">
        <v>28.77</v>
      </c>
      <c r="I230">
        <v>124251</v>
      </c>
      <c r="J230">
        <v>3.65</v>
      </c>
      <c r="K230">
        <v>1.3</v>
      </c>
      <c r="L230">
        <v>2496</v>
      </c>
      <c r="M230">
        <v>1368</v>
      </c>
      <c r="N230">
        <v>14</v>
      </c>
      <c r="O230">
        <v>0.54807692307692313</v>
      </c>
    </row>
    <row r="231" spans="1:15" x14ac:dyDescent="0.3">
      <c r="A231" s="13" t="s">
        <v>29</v>
      </c>
      <c r="B231" s="12" t="s">
        <v>30</v>
      </c>
      <c r="C231" s="12" t="s">
        <v>29</v>
      </c>
      <c r="D231">
        <v>33</v>
      </c>
      <c r="E231">
        <v>48</v>
      </c>
      <c r="F231">
        <v>11</v>
      </c>
      <c r="G231" t="b">
        <v>0</v>
      </c>
      <c r="H231">
        <v>28.77</v>
      </c>
      <c r="I231">
        <v>124251</v>
      </c>
      <c r="J231">
        <v>3.65</v>
      </c>
      <c r="K231">
        <v>1.3</v>
      </c>
      <c r="L231">
        <v>2256</v>
      </c>
      <c r="M231">
        <v>1872</v>
      </c>
      <c r="N231">
        <v>15</v>
      </c>
      <c r="O231">
        <v>0.82978723404255317</v>
      </c>
    </row>
    <row r="232" spans="1:15" x14ac:dyDescent="0.3">
      <c r="A232" s="13" t="s">
        <v>29</v>
      </c>
      <c r="B232" s="12" t="s">
        <v>30</v>
      </c>
      <c r="C232" s="12" t="s">
        <v>29</v>
      </c>
      <c r="D232">
        <v>37</v>
      </c>
      <c r="E232">
        <v>49</v>
      </c>
      <c r="F232">
        <v>12</v>
      </c>
      <c r="G232" t="b">
        <v>1</v>
      </c>
      <c r="H232">
        <v>28.77</v>
      </c>
      <c r="I232">
        <v>105715</v>
      </c>
      <c r="J232">
        <v>3.65</v>
      </c>
      <c r="K232">
        <v>1.3</v>
      </c>
      <c r="L232">
        <v>2016</v>
      </c>
      <c r="M232">
        <v>1920</v>
      </c>
      <c r="N232">
        <v>12</v>
      </c>
      <c r="O232">
        <v>0.95238095238095233</v>
      </c>
    </row>
    <row r="233" spans="1:15" x14ac:dyDescent="0.3">
      <c r="A233" s="13" t="s">
        <v>29</v>
      </c>
      <c r="B233" s="12" t="s">
        <v>30</v>
      </c>
      <c r="C233" s="12" t="s">
        <v>29</v>
      </c>
      <c r="D233">
        <v>37</v>
      </c>
      <c r="E233">
        <v>50</v>
      </c>
      <c r="F233">
        <v>12</v>
      </c>
      <c r="G233" t="b">
        <v>0</v>
      </c>
      <c r="H233">
        <v>28.77</v>
      </c>
      <c r="I233">
        <v>105715</v>
      </c>
      <c r="J233">
        <v>3.4</v>
      </c>
      <c r="K233">
        <v>1.3</v>
      </c>
      <c r="L233">
        <v>2184</v>
      </c>
      <c r="M233">
        <v>1992</v>
      </c>
      <c r="N233">
        <v>13</v>
      </c>
      <c r="O233">
        <v>0.91208791208791207</v>
      </c>
    </row>
    <row r="234" spans="1:15" x14ac:dyDescent="0.3">
      <c r="A234" s="13" t="s">
        <v>29</v>
      </c>
      <c r="B234" s="12" t="s">
        <v>30</v>
      </c>
      <c r="C234" s="12" t="s">
        <v>29</v>
      </c>
      <c r="D234">
        <v>37</v>
      </c>
      <c r="E234">
        <v>51</v>
      </c>
      <c r="F234">
        <v>12</v>
      </c>
      <c r="G234" t="b">
        <v>0</v>
      </c>
      <c r="H234">
        <v>28.77</v>
      </c>
      <c r="I234">
        <v>105715</v>
      </c>
      <c r="J234">
        <v>3.4</v>
      </c>
      <c r="K234">
        <v>1.3</v>
      </c>
      <c r="L234">
        <v>2232</v>
      </c>
      <c r="M234">
        <v>384</v>
      </c>
      <c r="N234">
        <v>14</v>
      </c>
      <c r="O234">
        <v>0.17204301075268819</v>
      </c>
    </row>
    <row r="235" spans="1:15" x14ac:dyDescent="0.3">
      <c r="A235" s="13" t="s">
        <v>29</v>
      </c>
      <c r="B235" s="12" t="s">
        <v>30</v>
      </c>
      <c r="C235" s="12" t="s">
        <v>29</v>
      </c>
      <c r="D235">
        <v>44</v>
      </c>
      <c r="E235">
        <v>52</v>
      </c>
      <c r="F235">
        <v>12</v>
      </c>
      <c r="G235" t="b">
        <v>1</v>
      </c>
      <c r="H235">
        <v>28.77</v>
      </c>
      <c r="I235">
        <v>105715</v>
      </c>
      <c r="J235">
        <v>3.4</v>
      </c>
      <c r="K235">
        <v>1.3</v>
      </c>
      <c r="L235">
        <v>0</v>
      </c>
      <c r="M235">
        <v>0</v>
      </c>
      <c r="N235">
        <v>8</v>
      </c>
      <c r="O235" t="e">
        <v>#DIV/0!</v>
      </c>
    </row>
    <row r="236" spans="1:15" x14ac:dyDescent="0.3">
      <c r="A236" s="13" t="s">
        <v>29</v>
      </c>
      <c r="B236" s="12" t="s">
        <v>30</v>
      </c>
      <c r="C236" s="12" t="s">
        <v>29</v>
      </c>
      <c r="D236">
        <v>47</v>
      </c>
      <c r="E236">
        <v>1</v>
      </c>
      <c r="F236">
        <v>12</v>
      </c>
      <c r="G236" t="b">
        <v>1</v>
      </c>
      <c r="H236">
        <v>28.77</v>
      </c>
      <c r="I236">
        <v>105715</v>
      </c>
      <c r="J236">
        <v>3.4</v>
      </c>
      <c r="K236">
        <v>1.3</v>
      </c>
      <c r="L236">
        <v>0</v>
      </c>
      <c r="M236">
        <v>0</v>
      </c>
      <c r="N236">
        <v>6</v>
      </c>
      <c r="O236" t="e">
        <v>#DIV/0!</v>
      </c>
    </row>
    <row r="237" spans="1:15" x14ac:dyDescent="0.3">
      <c r="A237" s="13" t="s">
        <v>29</v>
      </c>
      <c r="B237" s="12" t="s">
        <v>30</v>
      </c>
      <c r="C237" s="12" t="s">
        <v>29</v>
      </c>
      <c r="D237">
        <v>41</v>
      </c>
      <c r="E237">
        <v>2</v>
      </c>
      <c r="F237">
        <v>1</v>
      </c>
      <c r="G237" t="b">
        <v>1</v>
      </c>
      <c r="H237">
        <v>28.77</v>
      </c>
      <c r="I237">
        <v>133692</v>
      </c>
      <c r="J237">
        <v>3.4</v>
      </c>
      <c r="K237">
        <v>1.5</v>
      </c>
      <c r="L237">
        <v>2448</v>
      </c>
      <c r="M237">
        <v>1920</v>
      </c>
      <c r="N237">
        <v>13</v>
      </c>
      <c r="O237">
        <v>0.78431372549019607</v>
      </c>
    </row>
    <row r="238" spans="1:15" x14ac:dyDescent="0.3">
      <c r="A238" s="13" t="s">
        <v>29</v>
      </c>
      <c r="B238" s="12" t="s">
        <v>30</v>
      </c>
      <c r="C238" s="12" t="s">
        <v>29</v>
      </c>
      <c r="D238">
        <v>41</v>
      </c>
      <c r="E238">
        <v>3</v>
      </c>
      <c r="F238">
        <v>1</v>
      </c>
      <c r="G238" t="b">
        <v>0</v>
      </c>
      <c r="H238">
        <v>28.77</v>
      </c>
      <c r="I238">
        <v>133692</v>
      </c>
      <c r="J238">
        <v>3.4</v>
      </c>
      <c r="K238">
        <v>1.5</v>
      </c>
      <c r="L238">
        <v>3336</v>
      </c>
      <c r="M238">
        <v>1728</v>
      </c>
      <c r="N238">
        <v>14</v>
      </c>
      <c r="O238">
        <v>0.51798561151079137</v>
      </c>
    </row>
    <row r="239" spans="1:15" x14ac:dyDescent="0.3">
      <c r="A239" s="13" t="s">
        <v>29</v>
      </c>
      <c r="B239" s="12" t="s">
        <v>30</v>
      </c>
      <c r="C239" s="12" t="s">
        <v>29</v>
      </c>
      <c r="D239">
        <v>41</v>
      </c>
      <c r="E239">
        <v>4</v>
      </c>
      <c r="F239">
        <v>1</v>
      </c>
      <c r="G239" t="b">
        <v>0</v>
      </c>
      <c r="H239">
        <v>28.77</v>
      </c>
      <c r="I239">
        <v>133692</v>
      </c>
      <c r="J239">
        <v>3.4</v>
      </c>
      <c r="K239">
        <v>1.5</v>
      </c>
      <c r="L239">
        <v>2688</v>
      </c>
      <c r="M239">
        <v>1848</v>
      </c>
      <c r="N239">
        <v>15</v>
      </c>
      <c r="O239">
        <v>0.6875</v>
      </c>
    </row>
    <row r="240" spans="1:15" x14ac:dyDescent="0.3">
      <c r="A240" s="13" t="s">
        <v>29</v>
      </c>
      <c r="B240" s="12" t="s">
        <v>30</v>
      </c>
      <c r="C240" s="12" t="s">
        <v>29</v>
      </c>
      <c r="D240">
        <v>41</v>
      </c>
      <c r="E240">
        <v>5</v>
      </c>
      <c r="F240">
        <v>1</v>
      </c>
      <c r="G240" t="b">
        <v>0</v>
      </c>
      <c r="H240">
        <v>28.77</v>
      </c>
      <c r="I240">
        <v>133692</v>
      </c>
      <c r="J240">
        <v>3.4</v>
      </c>
      <c r="K240">
        <v>1.5</v>
      </c>
      <c r="L240">
        <v>2880</v>
      </c>
      <c r="M240">
        <v>2376</v>
      </c>
      <c r="N240">
        <v>16</v>
      </c>
      <c r="O240">
        <v>0.82499999999999996</v>
      </c>
    </row>
    <row r="241" spans="1:15" x14ac:dyDescent="0.3">
      <c r="A241" s="13" t="s">
        <v>29</v>
      </c>
      <c r="B241" s="12" t="s">
        <v>30</v>
      </c>
      <c r="C241" s="12" t="s">
        <v>29</v>
      </c>
      <c r="D241">
        <v>46</v>
      </c>
      <c r="E241">
        <v>6</v>
      </c>
      <c r="F241">
        <v>2</v>
      </c>
      <c r="G241" t="b">
        <v>0</v>
      </c>
      <c r="H241">
        <v>28.77</v>
      </c>
      <c r="I241">
        <v>137922</v>
      </c>
      <c r="J241">
        <v>3.15</v>
      </c>
      <c r="K241">
        <v>1.6</v>
      </c>
      <c r="L241">
        <v>2952</v>
      </c>
      <c r="M241">
        <v>1848</v>
      </c>
      <c r="N241">
        <v>12</v>
      </c>
      <c r="O241">
        <v>0.62601626016260159</v>
      </c>
    </row>
    <row r="242" spans="1:15" x14ac:dyDescent="0.3">
      <c r="A242" s="13" t="s">
        <v>29</v>
      </c>
      <c r="B242" s="12" t="s">
        <v>30</v>
      </c>
      <c r="C242" s="12" t="s">
        <v>29</v>
      </c>
      <c r="D242">
        <v>46</v>
      </c>
      <c r="E242">
        <v>7</v>
      </c>
      <c r="F242">
        <v>2</v>
      </c>
      <c r="G242" t="b">
        <v>0</v>
      </c>
      <c r="H242">
        <v>28.77</v>
      </c>
      <c r="I242">
        <v>137922</v>
      </c>
      <c r="J242">
        <v>3.15</v>
      </c>
      <c r="K242">
        <v>1.6</v>
      </c>
      <c r="L242">
        <v>3384</v>
      </c>
      <c r="M242">
        <v>2424</v>
      </c>
      <c r="N242">
        <v>13</v>
      </c>
      <c r="O242">
        <v>0.71631205673758869</v>
      </c>
    </row>
    <row r="243" spans="1:15" x14ac:dyDescent="0.3">
      <c r="A243" s="13" t="s">
        <v>29</v>
      </c>
      <c r="B243" s="12" t="s">
        <v>30</v>
      </c>
      <c r="C243" s="12" t="s">
        <v>29</v>
      </c>
      <c r="D243">
        <v>46</v>
      </c>
      <c r="E243">
        <v>8</v>
      </c>
      <c r="F243">
        <v>2</v>
      </c>
      <c r="G243" t="b">
        <v>0</v>
      </c>
      <c r="H243">
        <v>28.77</v>
      </c>
      <c r="I243">
        <v>137922</v>
      </c>
      <c r="J243">
        <v>3.15</v>
      </c>
      <c r="K243">
        <v>1.6</v>
      </c>
      <c r="L243">
        <v>2832</v>
      </c>
      <c r="M243">
        <v>2520</v>
      </c>
      <c r="N243">
        <v>14</v>
      </c>
      <c r="O243">
        <v>0.88983050847457623</v>
      </c>
    </row>
    <row r="244" spans="1:15" x14ac:dyDescent="0.3">
      <c r="A244" s="13" t="s">
        <v>29</v>
      </c>
      <c r="B244" s="12" t="s">
        <v>30</v>
      </c>
      <c r="C244" s="12" t="s">
        <v>29</v>
      </c>
      <c r="D244">
        <v>46</v>
      </c>
      <c r="E244">
        <v>9</v>
      </c>
      <c r="F244">
        <v>2</v>
      </c>
      <c r="G244" t="b">
        <v>0</v>
      </c>
      <c r="H244">
        <v>28.77</v>
      </c>
      <c r="I244">
        <v>137922</v>
      </c>
      <c r="J244">
        <v>3.15</v>
      </c>
      <c r="K244">
        <v>1.6</v>
      </c>
      <c r="L244">
        <v>2856</v>
      </c>
      <c r="M244">
        <v>2496</v>
      </c>
      <c r="N244">
        <v>15</v>
      </c>
      <c r="O244">
        <v>0.87394957983193278</v>
      </c>
    </row>
    <row r="245" spans="1:15" x14ac:dyDescent="0.3">
      <c r="A245" s="13" t="s">
        <v>29</v>
      </c>
      <c r="B245" s="12" t="s">
        <v>30</v>
      </c>
      <c r="C245" s="12" t="s">
        <v>29</v>
      </c>
      <c r="D245">
        <v>51</v>
      </c>
      <c r="E245">
        <v>10</v>
      </c>
      <c r="F245">
        <v>3</v>
      </c>
      <c r="G245" t="b">
        <v>0</v>
      </c>
      <c r="H245">
        <v>28.77</v>
      </c>
      <c r="I245">
        <v>172223</v>
      </c>
      <c r="J245">
        <v>3.15</v>
      </c>
      <c r="K245">
        <v>1.9</v>
      </c>
      <c r="L245">
        <v>1872</v>
      </c>
      <c r="M245">
        <v>2112</v>
      </c>
      <c r="N245">
        <v>11</v>
      </c>
      <c r="O245">
        <v>1.1282051282051282</v>
      </c>
    </row>
    <row r="246" spans="1:15" x14ac:dyDescent="0.3">
      <c r="A246" s="13" t="s">
        <v>29</v>
      </c>
      <c r="B246" s="12" t="s">
        <v>30</v>
      </c>
      <c r="C246" s="12" t="s">
        <v>29</v>
      </c>
      <c r="D246">
        <v>51</v>
      </c>
      <c r="E246">
        <v>11</v>
      </c>
      <c r="F246">
        <v>3</v>
      </c>
      <c r="G246" t="b">
        <v>0</v>
      </c>
      <c r="H246">
        <v>28.77</v>
      </c>
      <c r="I246">
        <v>172223</v>
      </c>
      <c r="J246">
        <v>2.9</v>
      </c>
      <c r="K246">
        <v>1.9</v>
      </c>
      <c r="L246">
        <v>2112</v>
      </c>
      <c r="M246">
        <v>1776</v>
      </c>
      <c r="N246">
        <v>12</v>
      </c>
      <c r="O246">
        <v>0.84090909090909094</v>
      </c>
    </row>
    <row r="247" spans="1:15" x14ac:dyDescent="0.3">
      <c r="A247" s="13" t="s">
        <v>29</v>
      </c>
      <c r="B247" s="12" t="s">
        <v>30</v>
      </c>
      <c r="C247" s="12" t="s">
        <v>29</v>
      </c>
      <c r="D247">
        <v>51</v>
      </c>
      <c r="E247">
        <v>12</v>
      </c>
      <c r="F247">
        <v>3</v>
      </c>
      <c r="G247" t="b">
        <v>0</v>
      </c>
      <c r="H247">
        <v>28.77</v>
      </c>
      <c r="I247">
        <v>172223</v>
      </c>
      <c r="J247">
        <v>2.9</v>
      </c>
      <c r="K247">
        <v>1.9</v>
      </c>
      <c r="L247">
        <v>1704</v>
      </c>
      <c r="M247">
        <v>2328</v>
      </c>
      <c r="N247">
        <v>13</v>
      </c>
      <c r="O247">
        <v>1.3661971830985915</v>
      </c>
    </row>
    <row r="248" spans="1:15" x14ac:dyDescent="0.3">
      <c r="A248" s="13" t="s">
        <v>29</v>
      </c>
      <c r="B248" s="12" t="s">
        <v>30</v>
      </c>
      <c r="C248" s="12" t="s">
        <v>29</v>
      </c>
      <c r="D248">
        <v>51</v>
      </c>
      <c r="E248">
        <v>13</v>
      </c>
      <c r="F248">
        <v>3</v>
      </c>
      <c r="G248" t="b">
        <v>0</v>
      </c>
      <c r="H248">
        <v>28.77</v>
      </c>
      <c r="I248">
        <v>172223</v>
      </c>
      <c r="J248">
        <v>2.9</v>
      </c>
      <c r="K248">
        <v>1.9</v>
      </c>
      <c r="L248">
        <v>1656</v>
      </c>
      <c r="M248">
        <v>2184</v>
      </c>
      <c r="N248">
        <v>14</v>
      </c>
      <c r="O248">
        <v>1.318840579710145</v>
      </c>
    </row>
    <row r="249" spans="1:15" x14ac:dyDescent="0.3">
      <c r="A249" s="13" t="s">
        <v>29</v>
      </c>
      <c r="B249" s="12" t="s">
        <v>30</v>
      </c>
      <c r="C249" s="12" t="s">
        <v>29</v>
      </c>
      <c r="D249">
        <v>51</v>
      </c>
      <c r="E249">
        <v>14</v>
      </c>
      <c r="F249">
        <v>3</v>
      </c>
      <c r="G249" t="b">
        <v>0</v>
      </c>
      <c r="H249">
        <v>28.77</v>
      </c>
      <c r="I249">
        <v>172223</v>
      </c>
      <c r="J249">
        <v>2.9</v>
      </c>
      <c r="K249">
        <v>1.9</v>
      </c>
      <c r="L249">
        <v>1944</v>
      </c>
      <c r="M249">
        <v>1848</v>
      </c>
      <c r="N249">
        <v>15</v>
      </c>
      <c r="O249">
        <v>0.95061728395061729</v>
      </c>
    </row>
    <row r="250" spans="1:15" x14ac:dyDescent="0.3">
      <c r="A250" s="13" t="s">
        <v>29</v>
      </c>
      <c r="B250" s="12" t="s">
        <v>30</v>
      </c>
      <c r="C250" s="12" t="s">
        <v>29</v>
      </c>
      <c r="D250">
        <v>3</v>
      </c>
      <c r="E250">
        <v>15</v>
      </c>
      <c r="F250">
        <v>4</v>
      </c>
      <c r="G250" t="b">
        <v>0</v>
      </c>
      <c r="H250">
        <v>28.77</v>
      </c>
      <c r="I250">
        <v>139084</v>
      </c>
      <c r="J250">
        <v>2.9</v>
      </c>
      <c r="K250">
        <v>1.9</v>
      </c>
      <c r="L250">
        <v>2448</v>
      </c>
      <c r="M250">
        <v>1896</v>
      </c>
      <c r="N250">
        <v>12</v>
      </c>
      <c r="O250">
        <v>0.77450980392156865</v>
      </c>
    </row>
    <row r="251" spans="1:15" x14ac:dyDescent="0.3">
      <c r="A251" s="13" t="s">
        <v>29</v>
      </c>
      <c r="B251" s="12" t="s">
        <v>30</v>
      </c>
      <c r="C251" s="12" t="s">
        <v>29</v>
      </c>
      <c r="D251">
        <v>3</v>
      </c>
      <c r="E251">
        <v>16</v>
      </c>
      <c r="F251">
        <v>4</v>
      </c>
      <c r="G251" t="b">
        <v>0</v>
      </c>
      <c r="H251">
        <v>28.77</v>
      </c>
      <c r="I251">
        <v>139084</v>
      </c>
      <c r="J251">
        <v>2.9</v>
      </c>
      <c r="K251">
        <v>1.9</v>
      </c>
      <c r="L251">
        <v>4104</v>
      </c>
      <c r="M251">
        <v>2544</v>
      </c>
      <c r="N251">
        <v>13</v>
      </c>
      <c r="O251">
        <v>0.61988304093567248</v>
      </c>
    </row>
    <row r="252" spans="1:15" x14ac:dyDescent="0.3">
      <c r="A252" s="13" t="s">
        <v>29</v>
      </c>
      <c r="B252" s="12" t="s">
        <v>30</v>
      </c>
      <c r="C252" s="12" t="s">
        <v>29</v>
      </c>
      <c r="D252">
        <v>4</v>
      </c>
      <c r="E252">
        <v>17</v>
      </c>
      <c r="F252">
        <v>4</v>
      </c>
      <c r="G252" t="b">
        <v>1</v>
      </c>
      <c r="H252">
        <v>28.77</v>
      </c>
      <c r="I252">
        <v>139084</v>
      </c>
      <c r="J252">
        <v>2.65</v>
      </c>
      <c r="K252">
        <v>1.9</v>
      </c>
      <c r="L252">
        <v>0</v>
      </c>
      <c r="M252">
        <v>1368</v>
      </c>
      <c r="N252">
        <v>13</v>
      </c>
      <c r="O252" t="e">
        <v>#DIV/0!</v>
      </c>
    </row>
    <row r="253" spans="1:15" x14ac:dyDescent="0.3">
      <c r="A253" s="13" t="s">
        <v>29</v>
      </c>
      <c r="B253" s="12" t="s">
        <v>30</v>
      </c>
      <c r="C253" s="12" t="s">
        <v>29</v>
      </c>
      <c r="D253">
        <v>4</v>
      </c>
      <c r="E253">
        <v>18</v>
      </c>
      <c r="F253">
        <v>4</v>
      </c>
      <c r="G253" t="b">
        <v>1</v>
      </c>
      <c r="H253">
        <v>28.77</v>
      </c>
      <c r="I253">
        <v>139084</v>
      </c>
      <c r="J253">
        <v>2.65</v>
      </c>
      <c r="K253">
        <v>1.9</v>
      </c>
      <c r="L253">
        <v>1560</v>
      </c>
      <c r="M253">
        <v>2136</v>
      </c>
      <c r="N253">
        <v>14</v>
      </c>
      <c r="O253">
        <v>1.3692307692307693</v>
      </c>
    </row>
    <row r="254" spans="1:15" x14ac:dyDescent="0.3">
      <c r="A254" s="13" t="s">
        <v>29</v>
      </c>
      <c r="B254" s="12" t="s">
        <v>30</v>
      </c>
      <c r="C254" s="12" t="s">
        <v>29</v>
      </c>
      <c r="D254">
        <v>7</v>
      </c>
      <c r="E254">
        <v>19</v>
      </c>
      <c r="F254">
        <v>5</v>
      </c>
      <c r="G254" t="b">
        <v>0</v>
      </c>
      <c r="H254">
        <v>28.77</v>
      </c>
      <c r="I254">
        <v>139390</v>
      </c>
      <c r="J254">
        <v>2.65</v>
      </c>
      <c r="K254">
        <v>1.6</v>
      </c>
      <c r="L254">
        <v>2208</v>
      </c>
      <c r="M254">
        <v>2136</v>
      </c>
      <c r="N254">
        <v>12</v>
      </c>
      <c r="O254">
        <v>0.96739130434782605</v>
      </c>
    </row>
    <row r="255" spans="1:15" x14ac:dyDescent="0.3">
      <c r="A255" s="13" t="s">
        <v>29</v>
      </c>
      <c r="B255" s="12" t="s">
        <v>30</v>
      </c>
      <c r="C255" s="12" t="s">
        <v>29</v>
      </c>
      <c r="D255">
        <v>7</v>
      </c>
      <c r="E255">
        <v>20</v>
      </c>
      <c r="F255">
        <v>5</v>
      </c>
      <c r="G255" t="b">
        <v>0</v>
      </c>
      <c r="H255">
        <v>28.77</v>
      </c>
      <c r="I255">
        <v>139390</v>
      </c>
      <c r="J255">
        <v>2.65</v>
      </c>
      <c r="K255">
        <v>1.6</v>
      </c>
      <c r="L255">
        <v>2736</v>
      </c>
      <c r="M255">
        <v>1968</v>
      </c>
      <c r="N255">
        <v>13</v>
      </c>
      <c r="O255">
        <v>0.7192982456140351</v>
      </c>
    </row>
    <row r="256" spans="1:15" x14ac:dyDescent="0.3">
      <c r="A256" s="13" t="s">
        <v>29</v>
      </c>
      <c r="B256" s="12" t="s">
        <v>30</v>
      </c>
      <c r="C256" s="12" t="s">
        <v>29</v>
      </c>
      <c r="D256">
        <v>7</v>
      </c>
      <c r="E256">
        <v>21</v>
      </c>
      <c r="F256">
        <v>5</v>
      </c>
      <c r="G256" t="b">
        <v>0</v>
      </c>
      <c r="H256">
        <v>28.77</v>
      </c>
      <c r="I256">
        <v>139390</v>
      </c>
      <c r="J256">
        <v>2.65</v>
      </c>
      <c r="K256">
        <v>1.6</v>
      </c>
      <c r="L256">
        <v>1824</v>
      </c>
      <c r="M256">
        <v>1728</v>
      </c>
      <c r="N256">
        <v>14</v>
      </c>
      <c r="O256">
        <v>0.94736842105263153</v>
      </c>
    </row>
    <row r="257" spans="1:15" x14ac:dyDescent="0.3">
      <c r="A257" s="13" t="s">
        <v>29</v>
      </c>
      <c r="B257" s="12" t="s">
        <v>30</v>
      </c>
      <c r="C257" s="12" t="s">
        <v>29</v>
      </c>
      <c r="D257">
        <v>7</v>
      </c>
      <c r="E257">
        <v>22</v>
      </c>
      <c r="F257">
        <v>5</v>
      </c>
      <c r="G257" t="b">
        <v>0</v>
      </c>
      <c r="H257">
        <v>28.77</v>
      </c>
      <c r="I257">
        <v>139390</v>
      </c>
      <c r="J257">
        <v>2.65</v>
      </c>
      <c r="K257">
        <v>1.6</v>
      </c>
      <c r="L257">
        <v>3984</v>
      </c>
      <c r="M257">
        <v>1992</v>
      </c>
      <c r="N257">
        <v>15</v>
      </c>
      <c r="O257">
        <v>0.5</v>
      </c>
    </row>
    <row r="258" spans="1:15" x14ac:dyDescent="0.3">
      <c r="A258" s="13" t="s">
        <v>29</v>
      </c>
      <c r="B258" s="12" t="s">
        <v>30</v>
      </c>
      <c r="C258" s="12" t="s">
        <v>29</v>
      </c>
      <c r="D258">
        <v>12</v>
      </c>
      <c r="E258">
        <v>23</v>
      </c>
      <c r="F258">
        <v>5</v>
      </c>
      <c r="G258" t="b">
        <v>1</v>
      </c>
      <c r="H258">
        <v>28.77</v>
      </c>
      <c r="I258">
        <v>139390</v>
      </c>
      <c r="J258">
        <v>2.4</v>
      </c>
      <c r="K258">
        <v>1.6</v>
      </c>
      <c r="L258">
        <v>1848</v>
      </c>
      <c r="M258">
        <v>1488</v>
      </c>
      <c r="N258">
        <v>11</v>
      </c>
      <c r="O258">
        <v>0.80519480519480524</v>
      </c>
    </row>
    <row r="259" spans="1:15" x14ac:dyDescent="0.3">
      <c r="A259" s="13" t="s">
        <v>29</v>
      </c>
      <c r="B259" s="12" t="s">
        <v>30</v>
      </c>
      <c r="C259" s="12" t="s">
        <v>29</v>
      </c>
      <c r="D259">
        <v>12</v>
      </c>
      <c r="E259">
        <v>24</v>
      </c>
      <c r="F259">
        <v>6</v>
      </c>
      <c r="G259" t="b">
        <v>0</v>
      </c>
      <c r="H259">
        <v>28.77</v>
      </c>
      <c r="I259">
        <v>132191</v>
      </c>
      <c r="J259">
        <v>2.4</v>
      </c>
      <c r="K259">
        <v>1.7</v>
      </c>
      <c r="L259">
        <v>2352</v>
      </c>
      <c r="M259">
        <v>1992</v>
      </c>
      <c r="N259">
        <v>12</v>
      </c>
      <c r="O259">
        <v>0.84693877551020413</v>
      </c>
    </row>
    <row r="260" spans="1:15" x14ac:dyDescent="0.3">
      <c r="A260" s="13" t="s">
        <v>29</v>
      </c>
      <c r="B260" s="12" t="s">
        <v>30</v>
      </c>
      <c r="C260" s="12" t="s">
        <v>29</v>
      </c>
      <c r="D260">
        <v>12</v>
      </c>
      <c r="E260">
        <v>25</v>
      </c>
      <c r="F260">
        <v>6</v>
      </c>
      <c r="G260" t="b">
        <v>0</v>
      </c>
      <c r="H260">
        <v>28.77</v>
      </c>
      <c r="I260">
        <v>132191</v>
      </c>
      <c r="J260">
        <v>2.4</v>
      </c>
      <c r="K260">
        <v>1.7</v>
      </c>
      <c r="L260">
        <v>2352</v>
      </c>
      <c r="M260">
        <v>2400</v>
      </c>
      <c r="N260">
        <v>13</v>
      </c>
      <c r="O260">
        <v>1.0204081632653061</v>
      </c>
    </row>
    <row r="261" spans="1:15" x14ac:dyDescent="0.3">
      <c r="A261" s="13" t="s">
        <v>29</v>
      </c>
      <c r="B261" s="12" t="s">
        <v>30</v>
      </c>
      <c r="C261" s="12" t="s">
        <v>29</v>
      </c>
      <c r="D261">
        <v>12</v>
      </c>
      <c r="E261">
        <v>26</v>
      </c>
      <c r="F261">
        <v>6</v>
      </c>
      <c r="G261" t="b">
        <v>0</v>
      </c>
      <c r="H261">
        <v>28.77</v>
      </c>
      <c r="I261">
        <v>132191</v>
      </c>
      <c r="J261">
        <v>2.4</v>
      </c>
      <c r="K261">
        <v>1.7</v>
      </c>
      <c r="L261">
        <v>2376</v>
      </c>
      <c r="M261">
        <v>2952</v>
      </c>
      <c r="N261">
        <v>14</v>
      </c>
      <c r="O261">
        <v>1.2424242424242424</v>
      </c>
    </row>
    <row r="262" spans="1:15" x14ac:dyDescent="0.3">
      <c r="A262" s="13" t="s">
        <v>30</v>
      </c>
      <c r="B262" s="12" t="s">
        <v>30</v>
      </c>
      <c r="C262" s="12" t="s">
        <v>29</v>
      </c>
      <c r="D262">
        <v>12</v>
      </c>
      <c r="E262">
        <v>27</v>
      </c>
      <c r="F262">
        <v>7</v>
      </c>
      <c r="G262" t="b">
        <v>0</v>
      </c>
      <c r="H262">
        <v>29.86</v>
      </c>
      <c r="I262">
        <v>124806</v>
      </c>
      <c r="J262">
        <v>4.5</v>
      </c>
      <c r="K262">
        <v>1.3</v>
      </c>
      <c r="L262">
        <v>360</v>
      </c>
      <c r="M262">
        <v>144</v>
      </c>
      <c r="N262">
        <v>15</v>
      </c>
      <c r="O262">
        <v>0.4</v>
      </c>
    </row>
    <row r="263" spans="1:15" x14ac:dyDescent="0.3">
      <c r="A263" s="13" t="s">
        <v>30</v>
      </c>
      <c r="B263" s="12" t="s">
        <v>30</v>
      </c>
      <c r="C263" s="12" t="s">
        <v>29</v>
      </c>
      <c r="D263">
        <v>12</v>
      </c>
      <c r="E263">
        <v>28</v>
      </c>
      <c r="F263">
        <v>7</v>
      </c>
      <c r="G263" t="b">
        <v>0</v>
      </c>
      <c r="H263">
        <v>29.86</v>
      </c>
      <c r="I263">
        <v>124806</v>
      </c>
      <c r="J263">
        <v>4.5</v>
      </c>
      <c r="K263">
        <v>1.3</v>
      </c>
      <c r="L263">
        <v>504</v>
      </c>
      <c r="M263">
        <v>360</v>
      </c>
      <c r="N263">
        <v>16</v>
      </c>
      <c r="O263">
        <v>0.7142857142857143</v>
      </c>
    </row>
    <row r="264" spans="1:15" x14ac:dyDescent="0.3">
      <c r="A264" s="13" t="s">
        <v>30</v>
      </c>
      <c r="B264" s="12" t="s">
        <v>30</v>
      </c>
      <c r="C264" s="12" t="s">
        <v>29</v>
      </c>
      <c r="D264">
        <v>12</v>
      </c>
      <c r="E264">
        <v>29</v>
      </c>
      <c r="F264">
        <v>7</v>
      </c>
      <c r="G264" t="b">
        <v>0</v>
      </c>
      <c r="H264">
        <v>29.86</v>
      </c>
      <c r="I264">
        <v>124806</v>
      </c>
      <c r="J264">
        <v>4.5</v>
      </c>
      <c r="K264">
        <v>1.3</v>
      </c>
      <c r="L264">
        <v>528</v>
      </c>
      <c r="M264">
        <v>0</v>
      </c>
      <c r="N264">
        <v>17</v>
      </c>
      <c r="O264">
        <v>0</v>
      </c>
    </row>
    <row r="265" spans="1:15" x14ac:dyDescent="0.3">
      <c r="A265" s="13" t="s">
        <v>30</v>
      </c>
      <c r="B265" s="12" t="s">
        <v>30</v>
      </c>
      <c r="C265" s="12" t="s">
        <v>29</v>
      </c>
      <c r="D265">
        <v>12</v>
      </c>
      <c r="E265">
        <v>30</v>
      </c>
      <c r="F265">
        <v>7</v>
      </c>
      <c r="G265" t="b">
        <v>0</v>
      </c>
      <c r="H265">
        <v>29.86</v>
      </c>
      <c r="I265">
        <v>124806</v>
      </c>
      <c r="J265">
        <v>4.5</v>
      </c>
      <c r="K265">
        <v>1.3</v>
      </c>
      <c r="L265">
        <v>408</v>
      </c>
      <c r="M265">
        <v>360</v>
      </c>
      <c r="N265">
        <v>18</v>
      </c>
      <c r="O265">
        <v>0.88235294117647056</v>
      </c>
    </row>
    <row r="266" spans="1:15" x14ac:dyDescent="0.3">
      <c r="A266" s="13" t="s">
        <v>30</v>
      </c>
      <c r="B266" s="12" t="s">
        <v>30</v>
      </c>
      <c r="C266" s="12" t="s">
        <v>29</v>
      </c>
      <c r="D266">
        <v>12</v>
      </c>
      <c r="E266">
        <v>31</v>
      </c>
      <c r="F266">
        <v>7</v>
      </c>
      <c r="G266" t="b">
        <v>0</v>
      </c>
      <c r="H266">
        <v>29.86</v>
      </c>
      <c r="I266">
        <v>124806</v>
      </c>
      <c r="J266">
        <v>4.5</v>
      </c>
      <c r="K266">
        <v>1.3</v>
      </c>
      <c r="L266">
        <v>144</v>
      </c>
      <c r="M266">
        <v>192</v>
      </c>
      <c r="N266">
        <v>19</v>
      </c>
      <c r="O266">
        <v>1.3333333333333333</v>
      </c>
    </row>
    <row r="267" spans="1:15" x14ac:dyDescent="0.3">
      <c r="A267" s="13" t="s">
        <v>30</v>
      </c>
      <c r="B267" s="12" t="s">
        <v>30</v>
      </c>
      <c r="C267" s="12" t="s">
        <v>29</v>
      </c>
      <c r="D267">
        <v>14</v>
      </c>
      <c r="E267">
        <v>32</v>
      </c>
      <c r="F267">
        <v>8</v>
      </c>
      <c r="G267" t="b">
        <v>1</v>
      </c>
      <c r="H267">
        <v>29.86</v>
      </c>
      <c r="I267">
        <v>69121</v>
      </c>
      <c r="J267">
        <v>4.5</v>
      </c>
      <c r="K267">
        <v>1.1000000000000001</v>
      </c>
      <c r="L267">
        <v>0</v>
      </c>
      <c r="M267">
        <v>0</v>
      </c>
      <c r="N267">
        <v>18</v>
      </c>
      <c r="O267" t="e">
        <v>#DIV/0!</v>
      </c>
    </row>
    <row r="268" spans="1:15" x14ac:dyDescent="0.3">
      <c r="A268" s="13" t="s">
        <v>30</v>
      </c>
      <c r="B268" s="12" t="s">
        <v>30</v>
      </c>
      <c r="C268" s="12" t="s">
        <v>29</v>
      </c>
      <c r="D268">
        <v>15</v>
      </c>
      <c r="E268">
        <v>33</v>
      </c>
      <c r="F268">
        <v>8</v>
      </c>
      <c r="G268" t="b">
        <v>1</v>
      </c>
      <c r="H268">
        <v>29.86</v>
      </c>
      <c r="I268">
        <v>69121</v>
      </c>
      <c r="J268">
        <v>4.5</v>
      </c>
      <c r="K268">
        <v>1.1000000000000001</v>
      </c>
      <c r="L268">
        <v>0</v>
      </c>
      <c r="M268">
        <v>0</v>
      </c>
      <c r="N268">
        <v>18</v>
      </c>
      <c r="O268" t="e">
        <v>#DIV/0!</v>
      </c>
    </row>
    <row r="269" spans="1:15" x14ac:dyDescent="0.3">
      <c r="A269" s="13" t="s">
        <v>30</v>
      </c>
      <c r="B269" s="12" t="s">
        <v>30</v>
      </c>
      <c r="C269" s="12" t="s">
        <v>29</v>
      </c>
      <c r="D269">
        <v>15</v>
      </c>
      <c r="E269">
        <v>34</v>
      </c>
      <c r="F269">
        <v>8</v>
      </c>
      <c r="G269" t="b">
        <v>0</v>
      </c>
      <c r="H269">
        <v>29.86</v>
      </c>
      <c r="I269">
        <v>69121</v>
      </c>
      <c r="J269">
        <v>4.5</v>
      </c>
      <c r="K269">
        <v>1.1000000000000001</v>
      </c>
      <c r="L269">
        <v>480</v>
      </c>
      <c r="M269">
        <v>168</v>
      </c>
      <c r="N269">
        <v>19</v>
      </c>
      <c r="O269">
        <v>0.35</v>
      </c>
    </row>
    <row r="270" spans="1:15" x14ac:dyDescent="0.3">
      <c r="A270" s="13" t="s">
        <v>30</v>
      </c>
      <c r="B270" s="12" t="s">
        <v>30</v>
      </c>
      <c r="C270" s="12" t="s">
        <v>29</v>
      </c>
      <c r="D270">
        <v>14</v>
      </c>
      <c r="E270">
        <v>35</v>
      </c>
      <c r="F270">
        <v>8</v>
      </c>
      <c r="G270" t="b">
        <v>0</v>
      </c>
      <c r="H270">
        <v>29.86</v>
      </c>
      <c r="I270">
        <v>69121</v>
      </c>
      <c r="J270">
        <v>4.5</v>
      </c>
      <c r="K270">
        <v>1.1000000000000001</v>
      </c>
      <c r="L270">
        <v>638</v>
      </c>
      <c r="M270">
        <v>72</v>
      </c>
      <c r="N270">
        <v>21</v>
      </c>
      <c r="O270">
        <v>0.11285266457680251</v>
      </c>
    </row>
    <row r="271" spans="1:15" x14ac:dyDescent="0.3">
      <c r="A271" s="13" t="s">
        <v>30</v>
      </c>
      <c r="B271" s="12" t="s">
        <v>30</v>
      </c>
      <c r="C271" s="12" t="s">
        <v>29</v>
      </c>
      <c r="D271">
        <v>22</v>
      </c>
      <c r="E271">
        <v>36</v>
      </c>
      <c r="F271">
        <v>9</v>
      </c>
      <c r="G271" t="b">
        <v>0</v>
      </c>
      <c r="H271">
        <v>29.86</v>
      </c>
      <c r="I271">
        <v>121666</v>
      </c>
      <c r="J271">
        <v>4.5</v>
      </c>
      <c r="K271">
        <v>0.7</v>
      </c>
      <c r="L271">
        <v>600</v>
      </c>
      <c r="M271">
        <v>144</v>
      </c>
      <c r="N271">
        <v>14</v>
      </c>
      <c r="O271">
        <v>0.24</v>
      </c>
    </row>
    <row r="272" spans="1:15" x14ac:dyDescent="0.3">
      <c r="A272" s="13" t="s">
        <v>30</v>
      </c>
      <c r="B272" s="12" t="s">
        <v>30</v>
      </c>
      <c r="C272" s="12" t="s">
        <v>29</v>
      </c>
      <c r="D272">
        <v>22</v>
      </c>
      <c r="E272">
        <v>37</v>
      </c>
      <c r="F272">
        <v>9</v>
      </c>
      <c r="G272" t="b">
        <v>0</v>
      </c>
      <c r="H272">
        <v>29.86</v>
      </c>
      <c r="I272">
        <v>121666</v>
      </c>
      <c r="J272">
        <v>4.5</v>
      </c>
      <c r="K272">
        <v>0.7</v>
      </c>
      <c r="L272">
        <v>432</v>
      </c>
      <c r="M272">
        <v>192</v>
      </c>
      <c r="N272">
        <v>15</v>
      </c>
      <c r="O272">
        <v>0.44444444444444442</v>
      </c>
    </row>
    <row r="273" spans="1:15" x14ac:dyDescent="0.3">
      <c r="A273" s="13" t="s">
        <v>30</v>
      </c>
      <c r="B273" s="12" t="s">
        <v>30</v>
      </c>
      <c r="C273" s="12" t="s">
        <v>29</v>
      </c>
      <c r="D273">
        <v>22</v>
      </c>
      <c r="E273">
        <v>38</v>
      </c>
      <c r="F273">
        <v>9</v>
      </c>
      <c r="G273" t="b">
        <v>0</v>
      </c>
      <c r="H273">
        <v>29.86</v>
      </c>
      <c r="I273">
        <v>121666</v>
      </c>
      <c r="J273">
        <v>3.9</v>
      </c>
      <c r="K273">
        <v>0.7</v>
      </c>
      <c r="L273">
        <v>144</v>
      </c>
      <c r="M273">
        <v>72</v>
      </c>
      <c r="N273">
        <v>16</v>
      </c>
      <c r="O273">
        <v>0.5</v>
      </c>
    </row>
    <row r="274" spans="1:15" x14ac:dyDescent="0.3">
      <c r="A274" s="13" t="s">
        <v>30</v>
      </c>
      <c r="B274" s="12" t="s">
        <v>30</v>
      </c>
      <c r="C274" s="12" t="s">
        <v>29</v>
      </c>
      <c r="D274">
        <v>22</v>
      </c>
      <c r="E274">
        <v>39</v>
      </c>
      <c r="F274">
        <v>9</v>
      </c>
      <c r="G274" t="b">
        <v>0</v>
      </c>
      <c r="H274">
        <v>29.86</v>
      </c>
      <c r="I274">
        <v>121666</v>
      </c>
      <c r="J274">
        <v>3.9</v>
      </c>
      <c r="K274">
        <v>0.7</v>
      </c>
      <c r="L274">
        <v>216</v>
      </c>
      <c r="M274">
        <v>240</v>
      </c>
      <c r="N274">
        <v>17</v>
      </c>
      <c r="O274">
        <v>1.1111111111111112</v>
      </c>
    </row>
    <row r="275" spans="1:15" x14ac:dyDescent="0.3">
      <c r="A275" s="13" t="s">
        <v>30</v>
      </c>
      <c r="B275" s="12" t="s">
        <v>30</v>
      </c>
      <c r="C275" s="12" t="s">
        <v>29</v>
      </c>
      <c r="D275">
        <v>26</v>
      </c>
      <c r="E275">
        <v>40</v>
      </c>
      <c r="F275">
        <v>9</v>
      </c>
      <c r="G275" t="b">
        <v>0</v>
      </c>
      <c r="H275">
        <v>29.86</v>
      </c>
      <c r="I275">
        <v>121666</v>
      </c>
      <c r="J275">
        <v>3.9</v>
      </c>
      <c r="K275">
        <v>0.7</v>
      </c>
      <c r="L275">
        <v>240</v>
      </c>
      <c r="M275">
        <v>48</v>
      </c>
      <c r="N275">
        <v>14</v>
      </c>
      <c r="O275">
        <v>0.2</v>
      </c>
    </row>
    <row r="276" spans="1:15" x14ac:dyDescent="0.3">
      <c r="A276" s="13" t="s">
        <v>30</v>
      </c>
      <c r="B276" s="12" t="s">
        <v>30</v>
      </c>
      <c r="C276" s="12" t="s">
        <v>29</v>
      </c>
      <c r="D276">
        <v>26</v>
      </c>
      <c r="E276">
        <v>41</v>
      </c>
      <c r="F276">
        <v>10</v>
      </c>
      <c r="G276" t="b">
        <v>0</v>
      </c>
      <c r="H276">
        <v>29.86</v>
      </c>
      <c r="I276">
        <v>126488</v>
      </c>
      <c r="J276">
        <v>3.9</v>
      </c>
      <c r="K276">
        <v>0.9</v>
      </c>
      <c r="L276">
        <v>456</v>
      </c>
      <c r="M276">
        <v>144</v>
      </c>
      <c r="N276">
        <v>15</v>
      </c>
      <c r="O276">
        <v>0.31578947368421051</v>
      </c>
    </row>
    <row r="277" spans="1:15" x14ac:dyDescent="0.3">
      <c r="A277" s="13" t="s">
        <v>30</v>
      </c>
      <c r="B277" s="12" t="s">
        <v>30</v>
      </c>
      <c r="C277" s="12" t="s">
        <v>29</v>
      </c>
      <c r="D277">
        <v>26</v>
      </c>
      <c r="E277">
        <v>42</v>
      </c>
      <c r="F277">
        <v>10</v>
      </c>
      <c r="G277" t="b">
        <v>0</v>
      </c>
      <c r="H277">
        <v>29.86</v>
      </c>
      <c r="I277">
        <v>126488</v>
      </c>
      <c r="J277">
        <v>3.9</v>
      </c>
      <c r="K277">
        <v>0.9</v>
      </c>
      <c r="L277">
        <v>360</v>
      </c>
      <c r="M277">
        <v>168</v>
      </c>
      <c r="N277">
        <v>16</v>
      </c>
      <c r="O277">
        <v>0.46666666666666667</v>
      </c>
    </row>
    <row r="278" spans="1:15" x14ac:dyDescent="0.3">
      <c r="A278" s="13" t="s">
        <v>30</v>
      </c>
      <c r="B278" s="12" t="s">
        <v>30</v>
      </c>
      <c r="C278" s="12" t="s">
        <v>29</v>
      </c>
      <c r="D278">
        <v>26</v>
      </c>
      <c r="E278">
        <v>43</v>
      </c>
      <c r="F278">
        <v>10</v>
      </c>
      <c r="G278" t="b">
        <v>0</v>
      </c>
      <c r="H278">
        <v>29.86</v>
      </c>
      <c r="I278">
        <v>126488</v>
      </c>
      <c r="J278">
        <v>3.65</v>
      </c>
      <c r="K278">
        <v>0.9</v>
      </c>
      <c r="L278">
        <v>528</v>
      </c>
      <c r="M278">
        <v>168</v>
      </c>
      <c r="N278">
        <v>17</v>
      </c>
      <c r="O278">
        <v>0.31818181818181818</v>
      </c>
    </row>
    <row r="279" spans="1:15" x14ac:dyDescent="0.3">
      <c r="A279" s="13" t="s">
        <v>30</v>
      </c>
      <c r="B279" s="12" t="s">
        <v>30</v>
      </c>
      <c r="C279" s="12" t="s">
        <v>29</v>
      </c>
      <c r="D279">
        <v>26</v>
      </c>
      <c r="E279">
        <v>44</v>
      </c>
      <c r="F279">
        <v>10</v>
      </c>
      <c r="G279" t="b">
        <v>1</v>
      </c>
      <c r="H279">
        <v>29.86</v>
      </c>
      <c r="I279">
        <v>126488</v>
      </c>
      <c r="J279">
        <v>3.65</v>
      </c>
      <c r="K279">
        <v>0.9</v>
      </c>
      <c r="L279">
        <v>648</v>
      </c>
      <c r="M279">
        <v>0</v>
      </c>
      <c r="N279">
        <v>18</v>
      </c>
      <c r="O279">
        <v>0</v>
      </c>
    </row>
    <row r="280" spans="1:15" x14ac:dyDescent="0.3">
      <c r="A280" s="13" t="s">
        <v>30</v>
      </c>
      <c r="B280" s="12" t="s">
        <v>30</v>
      </c>
      <c r="C280" s="12" t="s">
        <v>29</v>
      </c>
      <c r="D280">
        <v>33</v>
      </c>
      <c r="E280">
        <v>45</v>
      </c>
      <c r="F280">
        <v>11</v>
      </c>
      <c r="G280" t="b">
        <v>0</v>
      </c>
      <c r="H280">
        <v>29.86</v>
      </c>
      <c r="I280">
        <v>124251</v>
      </c>
      <c r="J280">
        <v>3.65</v>
      </c>
      <c r="K280">
        <v>1.3</v>
      </c>
      <c r="L280">
        <v>312</v>
      </c>
      <c r="M280">
        <v>24</v>
      </c>
      <c r="N280">
        <v>12</v>
      </c>
      <c r="O280">
        <v>7.6923076923076927E-2</v>
      </c>
    </row>
    <row r="281" spans="1:15" x14ac:dyDescent="0.3">
      <c r="A281" s="13" t="s">
        <v>30</v>
      </c>
      <c r="B281" s="12" t="s">
        <v>30</v>
      </c>
      <c r="C281" s="12" t="s">
        <v>29</v>
      </c>
      <c r="D281">
        <v>33</v>
      </c>
      <c r="E281">
        <v>46</v>
      </c>
      <c r="F281">
        <v>11</v>
      </c>
      <c r="G281" t="b">
        <v>0</v>
      </c>
      <c r="H281">
        <v>29.86</v>
      </c>
      <c r="I281">
        <v>124251</v>
      </c>
      <c r="J281">
        <v>3.65</v>
      </c>
      <c r="K281">
        <v>1.3</v>
      </c>
      <c r="L281">
        <v>528</v>
      </c>
      <c r="M281">
        <v>120</v>
      </c>
      <c r="N281">
        <v>13</v>
      </c>
      <c r="O281">
        <v>0.22727272727272727</v>
      </c>
    </row>
    <row r="282" spans="1:15" x14ac:dyDescent="0.3">
      <c r="A282" s="13" t="s">
        <v>30</v>
      </c>
      <c r="B282" s="12" t="s">
        <v>30</v>
      </c>
      <c r="C282" s="12" t="s">
        <v>29</v>
      </c>
      <c r="D282">
        <v>33</v>
      </c>
      <c r="E282">
        <v>47</v>
      </c>
      <c r="F282">
        <v>11</v>
      </c>
      <c r="G282" t="b">
        <v>0</v>
      </c>
      <c r="H282">
        <v>29.86</v>
      </c>
      <c r="I282">
        <v>124251</v>
      </c>
      <c r="J282">
        <v>3.65</v>
      </c>
      <c r="K282">
        <v>1.3</v>
      </c>
      <c r="L282">
        <v>480</v>
      </c>
      <c r="M282">
        <v>24</v>
      </c>
      <c r="N282">
        <v>14</v>
      </c>
      <c r="O282">
        <v>0.05</v>
      </c>
    </row>
    <row r="283" spans="1:15" x14ac:dyDescent="0.3">
      <c r="A283" s="13" t="s">
        <v>30</v>
      </c>
      <c r="B283" s="12" t="s">
        <v>30</v>
      </c>
      <c r="C283" s="12" t="s">
        <v>29</v>
      </c>
      <c r="D283">
        <v>33</v>
      </c>
      <c r="E283">
        <v>48</v>
      </c>
      <c r="F283">
        <v>11</v>
      </c>
      <c r="G283" t="b">
        <v>0</v>
      </c>
      <c r="H283">
        <v>29.86</v>
      </c>
      <c r="I283">
        <v>124251</v>
      </c>
      <c r="J283">
        <v>3.65</v>
      </c>
      <c r="K283">
        <v>1.3</v>
      </c>
      <c r="L283">
        <v>384</v>
      </c>
      <c r="M283">
        <v>72</v>
      </c>
      <c r="N283">
        <v>15</v>
      </c>
      <c r="O283">
        <v>0.1875</v>
      </c>
    </row>
    <row r="284" spans="1:15" x14ac:dyDescent="0.3">
      <c r="A284" s="13" t="s">
        <v>30</v>
      </c>
      <c r="B284" s="12" t="s">
        <v>30</v>
      </c>
      <c r="C284" s="12" t="s">
        <v>29</v>
      </c>
      <c r="D284">
        <v>37</v>
      </c>
      <c r="E284">
        <v>49</v>
      </c>
      <c r="F284">
        <v>12</v>
      </c>
      <c r="G284" t="b">
        <v>1</v>
      </c>
      <c r="H284">
        <v>29.86</v>
      </c>
      <c r="I284">
        <v>105715</v>
      </c>
      <c r="J284">
        <v>3.65</v>
      </c>
      <c r="K284">
        <v>1.3</v>
      </c>
      <c r="L284">
        <v>0</v>
      </c>
      <c r="M284">
        <v>96</v>
      </c>
      <c r="N284">
        <v>12</v>
      </c>
      <c r="O284" t="e">
        <v>#DIV/0!</v>
      </c>
    </row>
    <row r="285" spans="1:15" x14ac:dyDescent="0.3">
      <c r="A285" s="13" t="s">
        <v>30</v>
      </c>
      <c r="B285" s="12" t="s">
        <v>30</v>
      </c>
      <c r="C285" s="12" t="s">
        <v>29</v>
      </c>
      <c r="D285">
        <v>38</v>
      </c>
      <c r="E285">
        <v>50</v>
      </c>
      <c r="F285">
        <v>12</v>
      </c>
      <c r="G285" t="b">
        <v>0</v>
      </c>
      <c r="H285">
        <v>29.86</v>
      </c>
      <c r="I285">
        <v>105715</v>
      </c>
      <c r="J285">
        <v>3.4</v>
      </c>
      <c r="K285">
        <v>1.3</v>
      </c>
      <c r="L285">
        <v>0</v>
      </c>
      <c r="M285">
        <v>96</v>
      </c>
      <c r="N285">
        <v>12</v>
      </c>
      <c r="O285" t="e">
        <v>#DIV/0!</v>
      </c>
    </row>
    <row r="286" spans="1:15" x14ac:dyDescent="0.3">
      <c r="A286" s="13" t="s">
        <v>30</v>
      </c>
      <c r="B286" s="12" t="s">
        <v>30</v>
      </c>
      <c r="C286" s="12" t="s">
        <v>29</v>
      </c>
      <c r="D286">
        <v>41</v>
      </c>
      <c r="E286">
        <v>51</v>
      </c>
      <c r="F286">
        <v>12</v>
      </c>
      <c r="G286" t="b">
        <v>0</v>
      </c>
      <c r="H286">
        <v>29.86</v>
      </c>
      <c r="I286">
        <v>105715</v>
      </c>
      <c r="J286">
        <v>3.4</v>
      </c>
      <c r="K286">
        <v>1.3</v>
      </c>
      <c r="L286">
        <v>864</v>
      </c>
      <c r="M286">
        <v>144</v>
      </c>
      <c r="N286">
        <v>10</v>
      </c>
      <c r="O286">
        <v>0.16666666666666666</v>
      </c>
    </row>
    <row r="287" spans="1:15" x14ac:dyDescent="0.3">
      <c r="A287" s="13" t="s">
        <v>30</v>
      </c>
      <c r="B287" s="12" t="s">
        <v>30</v>
      </c>
      <c r="C287" s="12" t="s">
        <v>29</v>
      </c>
      <c r="D287">
        <v>44</v>
      </c>
      <c r="E287">
        <v>52</v>
      </c>
      <c r="F287">
        <v>12</v>
      </c>
      <c r="G287" t="b">
        <v>1</v>
      </c>
      <c r="H287">
        <v>29.86</v>
      </c>
      <c r="I287">
        <v>105715</v>
      </c>
      <c r="J287">
        <v>3.4</v>
      </c>
      <c r="K287">
        <v>1.3</v>
      </c>
      <c r="L287">
        <v>0</v>
      </c>
      <c r="M287">
        <v>0</v>
      </c>
      <c r="N287">
        <v>8</v>
      </c>
      <c r="O287" t="e">
        <v>#DIV/0!</v>
      </c>
    </row>
    <row r="288" spans="1:15" x14ac:dyDescent="0.3">
      <c r="A288" s="13" t="s">
        <v>30</v>
      </c>
      <c r="B288" s="12" t="s">
        <v>30</v>
      </c>
      <c r="C288" s="12" t="s">
        <v>29</v>
      </c>
      <c r="D288">
        <v>47</v>
      </c>
      <c r="E288">
        <v>1</v>
      </c>
      <c r="F288">
        <v>12</v>
      </c>
      <c r="G288" t="b">
        <v>1</v>
      </c>
      <c r="H288">
        <v>29.86</v>
      </c>
      <c r="I288">
        <v>105715</v>
      </c>
      <c r="J288">
        <v>3.4</v>
      </c>
      <c r="K288">
        <v>1.3</v>
      </c>
      <c r="L288">
        <v>0</v>
      </c>
      <c r="M288">
        <v>0</v>
      </c>
      <c r="N288">
        <v>6</v>
      </c>
      <c r="O288" t="e">
        <v>#DIV/0!</v>
      </c>
    </row>
    <row r="289" spans="1:15" x14ac:dyDescent="0.3">
      <c r="A289" s="13" t="s">
        <v>30</v>
      </c>
      <c r="B289" s="12" t="s">
        <v>30</v>
      </c>
      <c r="C289" s="12" t="s">
        <v>29</v>
      </c>
      <c r="D289">
        <v>41</v>
      </c>
      <c r="E289">
        <v>2</v>
      </c>
      <c r="F289">
        <v>1</v>
      </c>
      <c r="G289" t="b">
        <v>1</v>
      </c>
      <c r="H289">
        <v>29.86</v>
      </c>
      <c r="I289">
        <v>133692</v>
      </c>
      <c r="J289">
        <v>3.4</v>
      </c>
      <c r="K289">
        <v>1.5</v>
      </c>
      <c r="L289">
        <v>360</v>
      </c>
      <c r="M289">
        <v>336</v>
      </c>
      <c r="N289">
        <v>13</v>
      </c>
      <c r="O289">
        <v>0.93333333333333335</v>
      </c>
    </row>
    <row r="290" spans="1:15" x14ac:dyDescent="0.3">
      <c r="A290" s="13" t="s">
        <v>30</v>
      </c>
      <c r="B290" s="12" t="s">
        <v>30</v>
      </c>
      <c r="C290" s="12" t="s">
        <v>29</v>
      </c>
      <c r="D290">
        <v>41</v>
      </c>
      <c r="E290">
        <v>3</v>
      </c>
      <c r="F290">
        <v>1</v>
      </c>
      <c r="G290" t="b">
        <v>0</v>
      </c>
      <c r="H290">
        <v>29.86</v>
      </c>
      <c r="I290">
        <v>133692</v>
      </c>
      <c r="J290">
        <v>3.4</v>
      </c>
      <c r="K290">
        <v>1.5</v>
      </c>
      <c r="L290">
        <v>312</v>
      </c>
      <c r="M290">
        <v>192</v>
      </c>
      <c r="N290">
        <v>14</v>
      </c>
      <c r="O290">
        <v>0.61538461538461542</v>
      </c>
    </row>
    <row r="291" spans="1:15" x14ac:dyDescent="0.3">
      <c r="A291" s="13" t="s">
        <v>30</v>
      </c>
      <c r="B291" s="12" t="s">
        <v>30</v>
      </c>
      <c r="C291" s="12" t="s">
        <v>29</v>
      </c>
      <c r="D291">
        <v>41</v>
      </c>
      <c r="E291">
        <v>4</v>
      </c>
      <c r="F291">
        <v>1</v>
      </c>
      <c r="G291" t="b">
        <v>0</v>
      </c>
      <c r="H291">
        <v>29.86</v>
      </c>
      <c r="I291">
        <v>133692</v>
      </c>
      <c r="J291">
        <v>3.4</v>
      </c>
      <c r="K291">
        <v>1.5</v>
      </c>
      <c r="L291">
        <v>768</v>
      </c>
      <c r="M291">
        <v>120</v>
      </c>
      <c r="N291">
        <v>15</v>
      </c>
      <c r="O291">
        <v>0.15625</v>
      </c>
    </row>
    <row r="292" spans="1:15" x14ac:dyDescent="0.3">
      <c r="A292" s="13" t="s">
        <v>30</v>
      </c>
      <c r="B292" s="12" t="s">
        <v>30</v>
      </c>
      <c r="C292" s="12" t="s">
        <v>29</v>
      </c>
      <c r="D292">
        <v>41</v>
      </c>
      <c r="E292">
        <v>5</v>
      </c>
      <c r="F292">
        <v>1</v>
      </c>
      <c r="G292" t="b">
        <v>0</v>
      </c>
      <c r="H292">
        <v>29.86</v>
      </c>
      <c r="I292">
        <v>133692</v>
      </c>
      <c r="J292">
        <v>3.4</v>
      </c>
      <c r="K292">
        <v>1.5</v>
      </c>
      <c r="L292">
        <v>624</v>
      </c>
      <c r="M292">
        <v>0</v>
      </c>
      <c r="N292">
        <v>16</v>
      </c>
      <c r="O292">
        <v>0</v>
      </c>
    </row>
    <row r="293" spans="1:15" x14ac:dyDescent="0.3">
      <c r="A293" s="13" t="s">
        <v>30</v>
      </c>
      <c r="B293" s="12" t="s">
        <v>30</v>
      </c>
      <c r="C293" s="12" t="s">
        <v>29</v>
      </c>
      <c r="D293">
        <v>46</v>
      </c>
      <c r="E293">
        <v>6</v>
      </c>
      <c r="F293">
        <v>2</v>
      </c>
      <c r="G293" t="b">
        <v>0</v>
      </c>
      <c r="H293">
        <v>29.86</v>
      </c>
      <c r="I293">
        <v>137922</v>
      </c>
      <c r="J293">
        <v>3.15</v>
      </c>
      <c r="K293">
        <v>1.6</v>
      </c>
      <c r="L293">
        <v>384</v>
      </c>
      <c r="M293">
        <v>0</v>
      </c>
      <c r="N293">
        <v>12</v>
      </c>
      <c r="O293">
        <v>0</v>
      </c>
    </row>
    <row r="294" spans="1:15" x14ac:dyDescent="0.3">
      <c r="A294" s="13" t="s">
        <v>30</v>
      </c>
      <c r="B294" s="12" t="s">
        <v>30</v>
      </c>
      <c r="C294" s="12" t="s">
        <v>29</v>
      </c>
      <c r="D294">
        <v>46</v>
      </c>
      <c r="E294">
        <v>7</v>
      </c>
      <c r="F294">
        <v>2</v>
      </c>
      <c r="G294" t="b">
        <v>0</v>
      </c>
      <c r="H294">
        <v>29.86</v>
      </c>
      <c r="I294">
        <v>137922</v>
      </c>
      <c r="J294">
        <v>3.15</v>
      </c>
      <c r="K294">
        <v>1.6</v>
      </c>
      <c r="L294">
        <v>456</v>
      </c>
      <c r="M294">
        <v>72</v>
      </c>
      <c r="N294">
        <v>13</v>
      </c>
      <c r="O294">
        <v>0.15789473684210525</v>
      </c>
    </row>
    <row r="295" spans="1:15" x14ac:dyDescent="0.3">
      <c r="A295" s="13" t="s">
        <v>30</v>
      </c>
      <c r="B295" s="12" t="s">
        <v>30</v>
      </c>
      <c r="C295" s="12" t="s">
        <v>29</v>
      </c>
      <c r="D295">
        <v>46</v>
      </c>
      <c r="E295">
        <v>8</v>
      </c>
      <c r="F295">
        <v>2</v>
      </c>
      <c r="G295" t="b">
        <v>0</v>
      </c>
      <c r="H295">
        <v>29.86</v>
      </c>
      <c r="I295">
        <v>137922</v>
      </c>
      <c r="J295">
        <v>3.15</v>
      </c>
      <c r="K295">
        <v>1.6</v>
      </c>
      <c r="L295">
        <v>504</v>
      </c>
      <c r="M295">
        <v>312</v>
      </c>
      <c r="N295">
        <v>14</v>
      </c>
      <c r="O295">
        <v>0.61904761904761907</v>
      </c>
    </row>
    <row r="296" spans="1:15" x14ac:dyDescent="0.3">
      <c r="A296" s="13" t="s">
        <v>30</v>
      </c>
      <c r="B296" s="12" t="s">
        <v>30</v>
      </c>
      <c r="C296" s="12" t="s">
        <v>29</v>
      </c>
      <c r="D296">
        <v>46</v>
      </c>
      <c r="E296">
        <v>9</v>
      </c>
      <c r="F296">
        <v>2</v>
      </c>
      <c r="G296" t="b">
        <v>0</v>
      </c>
      <c r="H296">
        <v>29.86</v>
      </c>
      <c r="I296">
        <v>137922</v>
      </c>
      <c r="J296">
        <v>3.15</v>
      </c>
      <c r="K296">
        <v>1.6</v>
      </c>
      <c r="L296">
        <v>600</v>
      </c>
      <c r="M296">
        <v>0</v>
      </c>
      <c r="N296">
        <v>15</v>
      </c>
      <c r="O296">
        <v>0</v>
      </c>
    </row>
    <row r="297" spans="1:15" x14ac:dyDescent="0.3">
      <c r="A297" s="13" t="s">
        <v>30</v>
      </c>
      <c r="B297" s="12" t="s">
        <v>30</v>
      </c>
      <c r="C297" s="12" t="s">
        <v>29</v>
      </c>
      <c r="D297">
        <v>51</v>
      </c>
      <c r="E297">
        <v>10</v>
      </c>
      <c r="F297">
        <v>3</v>
      </c>
      <c r="G297" t="b">
        <v>0</v>
      </c>
      <c r="H297">
        <v>29.86</v>
      </c>
      <c r="I297">
        <v>172223</v>
      </c>
      <c r="J297">
        <v>3.15</v>
      </c>
      <c r="K297">
        <v>1.9</v>
      </c>
      <c r="L297">
        <v>96</v>
      </c>
      <c r="M297">
        <v>0</v>
      </c>
      <c r="N297">
        <v>11</v>
      </c>
      <c r="O297">
        <v>0</v>
      </c>
    </row>
    <row r="298" spans="1:15" x14ac:dyDescent="0.3">
      <c r="A298" s="13" t="s">
        <v>30</v>
      </c>
      <c r="B298" s="12" t="s">
        <v>30</v>
      </c>
      <c r="C298" s="12" t="s">
        <v>29</v>
      </c>
      <c r="D298">
        <v>51</v>
      </c>
      <c r="E298">
        <v>11</v>
      </c>
      <c r="F298">
        <v>3</v>
      </c>
      <c r="G298" t="b">
        <v>0</v>
      </c>
      <c r="H298">
        <v>29.86</v>
      </c>
      <c r="I298">
        <v>172223</v>
      </c>
      <c r="J298">
        <v>2.9</v>
      </c>
      <c r="K298">
        <v>1.9</v>
      </c>
      <c r="L298">
        <v>192</v>
      </c>
      <c r="M298">
        <v>24</v>
      </c>
      <c r="N298">
        <v>12</v>
      </c>
      <c r="O298">
        <v>0.125</v>
      </c>
    </row>
    <row r="299" spans="1:15" x14ac:dyDescent="0.3">
      <c r="A299" s="13" t="s">
        <v>30</v>
      </c>
      <c r="B299" s="12" t="s">
        <v>30</v>
      </c>
      <c r="C299" s="12" t="s">
        <v>29</v>
      </c>
      <c r="D299">
        <v>51</v>
      </c>
      <c r="E299">
        <v>12</v>
      </c>
      <c r="F299">
        <v>3</v>
      </c>
      <c r="G299" t="b">
        <v>0</v>
      </c>
      <c r="H299">
        <v>29.86</v>
      </c>
      <c r="I299">
        <v>172223</v>
      </c>
      <c r="J299">
        <v>2.9</v>
      </c>
      <c r="K299">
        <v>1.9</v>
      </c>
      <c r="L299">
        <v>240</v>
      </c>
      <c r="M299">
        <v>24</v>
      </c>
      <c r="N299">
        <v>13</v>
      </c>
      <c r="O299">
        <v>0.1</v>
      </c>
    </row>
    <row r="300" spans="1:15" x14ac:dyDescent="0.3">
      <c r="A300" s="13" t="s">
        <v>30</v>
      </c>
      <c r="B300" s="12" t="s">
        <v>30</v>
      </c>
      <c r="C300" s="12" t="s">
        <v>29</v>
      </c>
      <c r="D300">
        <v>51</v>
      </c>
      <c r="E300">
        <v>13</v>
      </c>
      <c r="F300">
        <v>3</v>
      </c>
      <c r="G300" t="b">
        <v>0</v>
      </c>
      <c r="H300">
        <v>29.86</v>
      </c>
      <c r="I300">
        <v>172223</v>
      </c>
      <c r="J300">
        <v>2.9</v>
      </c>
      <c r="K300">
        <v>1.9</v>
      </c>
      <c r="L300">
        <v>336</v>
      </c>
      <c r="M300">
        <v>72</v>
      </c>
      <c r="N300">
        <v>14</v>
      </c>
      <c r="O300">
        <v>0.21428571428571427</v>
      </c>
    </row>
    <row r="301" spans="1:15" x14ac:dyDescent="0.3">
      <c r="A301" s="13" t="s">
        <v>30</v>
      </c>
      <c r="B301" s="12" t="s">
        <v>30</v>
      </c>
      <c r="C301" s="12" t="s">
        <v>29</v>
      </c>
      <c r="D301">
        <v>51</v>
      </c>
      <c r="E301">
        <v>14</v>
      </c>
      <c r="F301">
        <v>3</v>
      </c>
      <c r="G301" t="b">
        <v>0</v>
      </c>
      <c r="H301">
        <v>29.86</v>
      </c>
      <c r="I301">
        <v>172223</v>
      </c>
      <c r="J301">
        <v>2.9</v>
      </c>
      <c r="K301">
        <v>1.9</v>
      </c>
      <c r="L301">
        <v>288</v>
      </c>
      <c r="M301">
        <v>144</v>
      </c>
      <c r="N301">
        <v>15</v>
      </c>
      <c r="O301">
        <v>0.5</v>
      </c>
    </row>
    <row r="302" spans="1:15" x14ac:dyDescent="0.3">
      <c r="A302" s="13" t="s">
        <v>30</v>
      </c>
      <c r="B302" s="12" t="s">
        <v>30</v>
      </c>
      <c r="C302" s="12" t="s">
        <v>29</v>
      </c>
      <c r="D302">
        <v>4</v>
      </c>
      <c r="E302">
        <v>15</v>
      </c>
      <c r="F302">
        <v>4</v>
      </c>
      <c r="G302" t="b">
        <v>0</v>
      </c>
      <c r="H302">
        <v>29.86</v>
      </c>
      <c r="I302">
        <v>139084</v>
      </c>
      <c r="J302">
        <v>2.9</v>
      </c>
      <c r="K302">
        <v>1.9</v>
      </c>
      <c r="L302">
        <v>120</v>
      </c>
      <c r="M302">
        <v>216</v>
      </c>
      <c r="N302">
        <v>11</v>
      </c>
      <c r="O302">
        <v>1.8</v>
      </c>
    </row>
    <row r="303" spans="1:15" x14ac:dyDescent="0.3">
      <c r="A303" s="13" t="s">
        <v>30</v>
      </c>
      <c r="B303" s="12" t="s">
        <v>30</v>
      </c>
      <c r="C303" s="12" t="s">
        <v>29</v>
      </c>
      <c r="D303">
        <v>4</v>
      </c>
      <c r="E303">
        <v>16</v>
      </c>
      <c r="F303">
        <v>4</v>
      </c>
      <c r="G303" t="b">
        <v>0</v>
      </c>
      <c r="H303">
        <v>29.86</v>
      </c>
      <c r="I303">
        <v>139084</v>
      </c>
      <c r="J303">
        <v>2.9</v>
      </c>
      <c r="K303">
        <v>1.9</v>
      </c>
      <c r="L303">
        <v>48</v>
      </c>
      <c r="M303">
        <v>72</v>
      </c>
      <c r="N303">
        <v>12</v>
      </c>
      <c r="O303">
        <v>1.5</v>
      </c>
    </row>
    <row r="304" spans="1:15" x14ac:dyDescent="0.3">
      <c r="A304" s="13" t="s">
        <v>30</v>
      </c>
      <c r="B304" s="12" t="s">
        <v>30</v>
      </c>
      <c r="C304" s="12" t="s">
        <v>29</v>
      </c>
      <c r="D304">
        <v>4</v>
      </c>
      <c r="E304">
        <v>17</v>
      </c>
      <c r="F304">
        <v>4</v>
      </c>
      <c r="G304" t="b">
        <v>1</v>
      </c>
      <c r="H304">
        <v>29.86</v>
      </c>
      <c r="I304">
        <v>139084</v>
      </c>
      <c r="J304">
        <v>2.65</v>
      </c>
      <c r="K304">
        <v>1.9</v>
      </c>
      <c r="L304">
        <v>0</v>
      </c>
      <c r="M304">
        <v>48</v>
      </c>
      <c r="N304">
        <v>13</v>
      </c>
      <c r="O304" t="e">
        <v>#DIV/0!</v>
      </c>
    </row>
    <row r="305" spans="1:15" x14ac:dyDescent="0.3">
      <c r="A305" s="13" t="s">
        <v>30</v>
      </c>
      <c r="B305" s="12" t="s">
        <v>30</v>
      </c>
      <c r="C305" s="12" t="s">
        <v>29</v>
      </c>
      <c r="D305">
        <v>5</v>
      </c>
      <c r="E305">
        <v>18</v>
      </c>
      <c r="F305">
        <v>4</v>
      </c>
      <c r="G305" t="b">
        <v>1</v>
      </c>
      <c r="H305">
        <v>29.86</v>
      </c>
      <c r="I305">
        <v>139084</v>
      </c>
      <c r="J305">
        <v>2.65</v>
      </c>
      <c r="K305">
        <v>1.9</v>
      </c>
      <c r="L305">
        <v>192</v>
      </c>
      <c r="M305">
        <v>72</v>
      </c>
      <c r="N305">
        <v>13</v>
      </c>
      <c r="O305">
        <v>0.375</v>
      </c>
    </row>
    <row r="306" spans="1:15" x14ac:dyDescent="0.3">
      <c r="A306" s="13" t="s">
        <v>30</v>
      </c>
      <c r="B306" s="12" t="s">
        <v>30</v>
      </c>
      <c r="C306" s="12" t="s">
        <v>29</v>
      </c>
      <c r="D306">
        <v>7</v>
      </c>
      <c r="E306">
        <v>19</v>
      </c>
      <c r="F306">
        <v>5</v>
      </c>
      <c r="G306" t="b">
        <v>0</v>
      </c>
      <c r="H306">
        <v>29.86</v>
      </c>
      <c r="I306">
        <v>139390</v>
      </c>
      <c r="J306">
        <v>2.65</v>
      </c>
      <c r="K306">
        <v>1.6</v>
      </c>
      <c r="L306">
        <v>120</v>
      </c>
      <c r="M306">
        <v>144</v>
      </c>
      <c r="N306">
        <v>12</v>
      </c>
      <c r="O306">
        <v>1.2</v>
      </c>
    </row>
    <row r="307" spans="1:15" x14ac:dyDescent="0.3">
      <c r="A307" s="13" t="s">
        <v>30</v>
      </c>
      <c r="B307" s="12" t="s">
        <v>30</v>
      </c>
      <c r="C307" s="12" t="s">
        <v>29</v>
      </c>
      <c r="D307">
        <v>7</v>
      </c>
      <c r="E307">
        <v>20</v>
      </c>
      <c r="F307">
        <v>5</v>
      </c>
      <c r="G307" t="b">
        <v>0</v>
      </c>
      <c r="H307">
        <v>29.86</v>
      </c>
      <c r="I307">
        <v>139390</v>
      </c>
      <c r="J307">
        <v>2.65</v>
      </c>
      <c r="K307">
        <v>1.6</v>
      </c>
      <c r="L307">
        <v>216</v>
      </c>
      <c r="M307">
        <v>96</v>
      </c>
      <c r="N307">
        <v>13</v>
      </c>
      <c r="O307">
        <v>0.44444444444444442</v>
      </c>
    </row>
    <row r="308" spans="1:15" x14ac:dyDescent="0.3">
      <c r="A308" s="13" t="s">
        <v>30</v>
      </c>
      <c r="B308" s="12" t="s">
        <v>30</v>
      </c>
      <c r="C308" s="12" t="s">
        <v>29</v>
      </c>
      <c r="D308">
        <v>7</v>
      </c>
      <c r="E308">
        <v>21</v>
      </c>
      <c r="F308">
        <v>5</v>
      </c>
      <c r="G308" t="b">
        <v>0</v>
      </c>
      <c r="H308">
        <v>29.86</v>
      </c>
      <c r="I308">
        <v>139390</v>
      </c>
      <c r="J308">
        <v>2.65</v>
      </c>
      <c r="K308">
        <v>1.6</v>
      </c>
      <c r="L308">
        <v>264</v>
      </c>
      <c r="M308">
        <v>168</v>
      </c>
      <c r="N308">
        <v>14</v>
      </c>
      <c r="O308">
        <v>0.63636363636363635</v>
      </c>
    </row>
    <row r="309" spans="1:15" x14ac:dyDescent="0.3">
      <c r="A309" s="13" t="s">
        <v>30</v>
      </c>
      <c r="B309" s="12" t="s">
        <v>30</v>
      </c>
      <c r="C309" s="12" t="s">
        <v>29</v>
      </c>
      <c r="D309">
        <v>7</v>
      </c>
      <c r="E309">
        <v>22</v>
      </c>
      <c r="F309">
        <v>5</v>
      </c>
      <c r="G309" t="b">
        <v>0</v>
      </c>
      <c r="H309">
        <v>29.86</v>
      </c>
      <c r="I309">
        <v>139390</v>
      </c>
      <c r="J309">
        <v>2.65</v>
      </c>
      <c r="K309">
        <v>1.6</v>
      </c>
      <c r="L309">
        <v>432</v>
      </c>
      <c r="M309">
        <v>264</v>
      </c>
      <c r="N309">
        <v>15</v>
      </c>
      <c r="O309">
        <v>0.61111111111111116</v>
      </c>
    </row>
    <row r="310" spans="1:15" x14ac:dyDescent="0.3">
      <c r="A310" s="13" t="s">
        <v>30</v>
      </c>
      <c r="B310" s="12" t="s">
        <v>30</v>
      </c>
      <c r="C310" s="12" t="s">
        <v>29</v>
      </c>
      <c r="D310">
        <v>12</v>
      </c>
      <c r="E310">
        <v>23</v>
      </c>
      <c r="F310">
        <v>5</v>
      </c>
      <c r="G310" t="b">
        <v>1</v>
      </c>
      <c r="H310">
        <v>29.86</v>
      </c>
      <c r="I310">
        <v>139390</v>
      </c>
      <c r="J310">
        <v>2.4</v>
      </c>
      <c r="K310">
        <v>1.6</v>
      </c>
      <c r="L310">
        <v>0</v>
      </c>
      <c r="M310">
        <v>0</v>
      </c>
      <c r="N310">
        <v>11</v>
      </c>
      <c r="O310" t="e">
        <v>#DIV/0!</v>
      </c>
    </row>
    <row r="311" spans="1:15" x14ac:dyDescent="0.3">
      <c r="A311" s="13" t="s">
        <v>30</v>
      </c>
      <c r="B311" s="12" t="s">
        <v>30</v>
      </c>
      <c r="C311" s="12" t="s">
        <v>29</v>
      </c>
      <c r="D311">
        <v>12</v>
      </c>
      <c r="E311">
        <v>24</v>
      </c>
      <c r="F311">
        <v>6</v>
      </c>
      <c r="G311" t="b">
        <v>0</v>
      </c>
      <c r="H311">
        <v>29.86</v>
      </c>
      <c r="I311">
        <v>132191</v>
      </c>
      <c r="J311">
        <v>2.4</v>
      </c>
      <c r="K311">
        <v>1.7</v>
      </c>
      <c r="L311">
        <v>0</v>
      </c>
      <c r="M311">
        <v>120</v>
      </c>
      <c r="N311">
        <v>12</v>
      </c>
      <c r="O311" t="e">
        <v>#DIV/0!</v>
      </c>
    </row>
    <row r="312" spans="1:15" x14ac:dyDescent="0.3">
      <c r="A312" s="13" t="s">
        <v>30</v>
      </c>
      <c r="B312" s="12" t="s">
        <v>30</v>
      </c>
      <c r="C312" s="12" t="s">
        <v>29</v>
      </c>
      <c r="D312">
        <v>12</v>
      </c>
      <c r="E312">
        <v>25</v>
      </c>
      <c r="F312">
        <v>6</v>
      </c>
      <c r="G312" t="b">
        <v>0</v>
      </c>
      <c r="H312">
        <v>29.86</v>
      </c>
      <c r="I312">
        <v>132191</v>
      </c>
      <c r="J312">
        <v>2.4</v>
      </c>
      <c r="K312">
        <v>1.7</v>
      </c>
      <c r="L312">
        <v>264</v>
      </c>
      <c r="M312">
        <v>0</v>
      </c>
      <c r="N312">
        <v>13</v>
      </c>
      <c r="O312">
        <v>0</v>
      </c>
    </row>
    <row r="313" spans="1:15" x14ac:dyDescent="0.3">
      <c r="A313" s="13" t="s">
        <v>30</v>
      </c>
      <c r="B313" s="12" t="s">
        <v>30</v>
      </c>
      <c r="C313" s="12" t="s">
        <v>29</v>
      </c>
      <c r="D313">
        <v>12</v>
      </c>
      <c r="E313">
        <v>26</v>
      </c>
      <c r="F313">
        <v>6</v>
      </c>
      <c r="G313" t="b">
        <v>0</v>
      </c>
      <c r="H313">
        <v>29.86</v>
      </c>
      <c r="I313">
        <v>132191</v>
      </c>
      <c r="J313">
        <v>2.4</v>
      </c>
      <c r="K313">
        <v>1.7</v>
      </c>
      <c r="L313">
        <v>408</v>
      </c>
      <c r="M313">
        <v>240</v>
      </c>
      <c r="N313">
        <v>14</v>
      </c>
      <c r="O313">
        <v>0.58823529411764708</v>
      </c>
    </row>
    <row r="314" spans="1:15" x14ac:dyDescent="0.3">
      <c r="A314" s="13" t="s">
        <v>34</v>
      </c>
      <c r="B314" s="12" t="s">
        <v>30</v>
      </c>
      <c r="C314" s="12" t="s">
        <v>29</v>
      </c>
      <c r="D314">
        <v>12</v>
      </c>
      <c r="E314">
        <v>27</v>
      </c>
      <c r="F314">
        <v>7</v>
      </c>
      <c r="G314" t="b">
        <v>0</v>
      </c>
      <c r="H314">
        <v>28.82</v>
      </c>
      <c r="I314">
        <v>124806</v>
      </c>
      <c r="J314">
        <v>4.5</v>
      </c>
      <c r="K314">
        <v>1.3</v>
      </c>
      <c r="L314">
        <v>1701</v>
      </c>
      <c r="M314">
        <v>792</v>
      </c>
      <c r="N314">
        <v>15</v>
      </c>
      <c r="O314">
        <v>0.46560846560846558</v>
      </c>
    </row>
    <row r="315" spans="1:15" x14ac:dyDescent="0.3">
      <c r="A315" s="13" t="s">
        <v>34</v>
      </c>
      <c r="B315" s="12" t="s">
        <v>30</v>
      </c>
      <c r="C315" s="12" t="s">
        <v>29</v>
      </c>
      <c r="D315">
        <v>12</v>
      </c>
      <c r="E315">
        <v>28</v>
      </c>
      <c r="F315">
        <v>7</v>
      </c>
      <c r="G315" t="b">
        <v>0</v>
      </c>
      <c r="H315">
        <v>28.82</v>
      </c>
      <c r="I315">
        <v>124806</v>
      </c>
      <c r="J315">
        <v>4.5</v>
      </c>
      <c r="K315">
        <v>1.3</v>
      </c>
      <c r="L315">
        <v>1884</v>
      </c>
      <c r="M315">
        <v>1176</v>
      </c>
      <c r="N315">
        <v>16</v>
      </c>
      <c r="O315">
        <v>0.62420382165605093</v>
      </c>
    </row>
    <row r="316" spans="1:15" x14ac:dyDescent="0.3">
      <c r="A316" s="13" t="s">
        <v>34</v>
      </c>
      <c r="B316" s="12" t="s">
        <v>30</v>
      </c>
      <c r="C316" s="12" t="s">
        <v>29</v>
      </c>
      <c r="D316">
        <v>12</v>
      </c>
      <c r="E316">
        <v>29</v>
      </c>
      <c r="F316">
        <v>7</v>
      </c>
      <c r="G316" t="b">
        <v>0</v>
      </c>
      <c r="H316">
        <v>28.82</v>
      </c>
      <c r="I316">
        <v>124806</v>
      </c>
      <c r="J316">
        <v>4.5</v>
      </c>
      <c r="K316">
        <v>1.3</v>
      </c>
      <c r="L316">
        <v>2205</v>
      </c>
      <c r="M316">
        <v>0</v>
      </c>
      <c r="N316">
        <v>17</v>
      </c>
      <c r="O316">
        <v>0</v>
      </c>
    </row>
    <row r="317" spans="1:15" x14ac:dyDescent="0.3">
      <c r="A317" s="13" t="s">
        <v>34</v>
      </c>
      <c r="B317" s="12" t="s">
        <v>30</v>
      </c>
      <c r="C317" s="12" t="s">
        <v>29</v>
      </c>
      <c r="D317">
        <v>12</v>
      </c>
      <c r="E317">
        <v>30</v>
      </c>
      <c r="F317">
        <v>7</v>
      </c>
      <c r="G317" t="b">
        <v>0</v>
      </c>
      <c r="H317">
        <v>28.82</v>
      </c>
      <c r="I317">
        <v>124806</v>
      </c>
      <c r="J317">
        <v>4.5</v>
      </c>
      <c r="K317">
        <v>1.3</v>
      </c>
      <c r="L317">
        <v>1949</v>
      </c>
      <c r="M317">
        <v>1392</v>
      </c>
      <c r="N317">
        <v>18</v>
      </c>
      <c r="O317">
        <v>0.71421241662390966</v>
      </c>
    </row>
    <row r="318" spans="1:15" x14ac:dyDescent="0.3">
      <c r="A318" s="13" t="s">
        <v>34</v>
      </c>
      <c r="B318" s="12" t="s">
        <v>30</v>
      </c>
      <c r="C318" s="12" t="s">
        <v>29</v>
      </c>
      <c r="D318">
        <v>12</v>
      </c>
      <c r="E318">
        <v>31</v>
      </c>
      <c r="F318">
        <v>7</v>
      </c>
      <c r="G318" t="b">
        <v>0</v>
      </c>
      <c r="H318">
        <v>28.82</v>
      </c>
      <c r="I318">
        <v>124806</v>
      </c>
      <c r="J318">
        <v>4.5</v>
      </c>
      <c r="K318">
        <v>1.3</v>
      </c>
      <c r="L318">
        <v>2279</v>
      </c>
      <c r="M318">
        <v>696</v>
      </c>
      <c r="N318">
        <v>19</v>
      </c>
      <c r="O318">
        <v>0.30539710399297937</v>
      </c>
    </row>
    <row r="319" spans="1:15" x14ac:dyDescent="0.3">
      <c r="A319" s="13" t="s">
        <v>34</v>
      </c>
      <c r="B319" s="12" t="s">
        <v>30</v>
      </c>
      <c r="C319" s="12" t="s">
        <v>29</v>
      </c>
      <c r="D319">
        <v>13</v>
      </c>
      <c r="E319">
        <v>32</v>
      </c>
      <c r="F319">
        <v>8</v>
      </c>
      <c r="G319" t="b">
        <v>1</v>
      </c>
      <c r="H319">
        <v>28.82</v>
      </c>
      <c r="I319">
        <v>69121</v>
      </c>
      <c r="J319">
        <v>4.5</v>
      </c>
      <c r="K319">
        <v>1.1000000000000001</v>
      </c>
      <c r="L319">
        <v>0</v>
      </c>
      <c r="M319">
        <v>0</v>
      </c>
      <c r="N319">
        <v>19</v>
      </c>
      <c r="O319" t="e">
        <v>#DIV/0!</v>
      </c>
    </row>
    <row r="320" spans="1:15" x14ac:dyDescent="0.3">
      <c r="A320" s="13" t="s">
        <v>34</v>
      </c>
      <c r="B320" s="12" t="s">
        <v>30</v>
      </c>
      <c r="C320" s="12" t="s">
        <v>29</v>
      </c>
      <c r="D320">
        <v>14</v>
      </c>
      <c r="E320">
        <v>33</v>
      </c>
      <c r="F320">
        <v>8</v>
      </c>
      <c r="G320" t="b">
        <v>1</v>
      </c>
      <c r="H320">
        <v>28.82</v>
      </c>
      <c r="I320">
        <v>69121</v>
      </c>
      <c r="J320">
        <v>4.5</v>
      </c>
      <c r="K320">
        <v>1.1000000000000001</v>
      </c>
      <c r="L320">
        <v>0</v>
      </c>
      <c r="M320">
        <v>0</v>
      </c>
      <c r="N320">
        <v>19</v>
      </c>
      <c r="O320" t="e">
        <v>#DIV/0!</v>
      </c>
    </row>
    <row r="321" spans="1:15" x14ac:dyDescent="0.3">
      <c r="A321" s="13" t="s">
        <v>34</v>
      </c>
      <c r="B321" s="12" t="s">
        <v>30</v>
      </c>
      <c r="C321" s="12" t="s">
        <v>29</v>
      </c>
      <c r="D321">
        <v>15</v>
      </c>
      <c r="E321">
        <v>34</v>
      </c>
      <c r="F321">
        <v>8</v>
      </c>
      <c r="G321" t="b">
        <v>0</v>
      </c>
      <c r="H321">
        <v>28.82</v>
      </c>
      <c r="I321">
        <v>69121</v>
      </c>
      <c r="J321">
        <v>4.5</v>
      </c>
      <c r="K321">
        <v>1.1000000000000001</v>
      </c>
      <c r="L321">
        <v>2280</v>
      </c>
      <c r="M321">
        <v>1368</v>
      </c>
      <c r="N321">
        <v>19</v>
      </c>
      <c r="O321">
        <v>0.6</v>
      </c>
    </row>
    <row r="322" spans="1:15" x14ac:dyDescent="0.3">
      <c r="A322" s="13" t="s">
        <v>34</v>
      </c>
      <c r="B322" s="12" t="s">
        <v>30</v>
      </c>
      <c r="C322" s="12" t="s">
        <v>29</v>
      </c>
      <c r="D322">
        <v>14</v>
      </c>
      <c r="E322">
        <v>35</v>
      </c>
      <c r="F322">
        <v>8</v>
      </c>
      <c r="G322" t="b">
        <v>0</v>
      </c>
      <c r="H322">
        <v>28.82</v>
      </c>
      <c r="I322">
        <v>69121</v>
      </c>
      <c r="J322">
        <v>4.5</v>
      </c>
      <c r="K322">
        <v>1.1000000000000001</v>
      </c>
      <c r="L322">
        <v>2424</v>
      </c>
      <c r="M322">
        <v>1296</v>
      </c>
      <c r="N322">
        <v>21</v>
      </c>
      <c r="O322">
        <v>0.53465346534653468</v>
      </c>
    </row>
    <row r="323" spans="1:15" x14ac:dyDescent="0.3">
      <c r="A323" s="13" t="s">
        <v>34</v>
      </c>
      <c r="B323" s="12" t="s">
        <v>30</v>
      </c>
      <c r="C323" s="12" t="s">
        <v>29</v>
      </c>
      <c r="D323">
        <v>22</v>
      </c>
      <c r="E323">
        <v>36</v>
      </c>
      <c r="F323">
        <v>9</v>
      </c>
      <c r="G323" t="b">
        <v>0</v>
      </c>
      <c r="H323">
        <v>28.82</v>
      </c>
      <c r="I323">
        <v>121666</v>
      </c>
      <c r="J323">
        <v>4.5</v>
      </c>
      <c r="K323">
        <v>0.7</v>
      </c>
      <c r="L323">
        <v>1960</v>
      </c>
      <c r="M323">
        <v>1248</v>
      </c>
      <c r="N323">
        <v>14</v>
      </c>
      <c r="O323">
        <v>0.63673469387755099</v>
      </c>
    </row>
    <row r="324" spans="1:15" x14ac:dyDescent="0.3">
      <c r="A324" s="13" t="s">
        <v>34</v>
      </c>
      <c r="B324" s="12" t="s">
        <v>30</v>
      </c>
      <c r="C324" s="12" t="s">
        <v>29</v>
      </c>
      <c r="D324">
        <v>22</v>
      </c>
      <c r="E324">
        <v>37</v>
      </c>
      <c r="F324">
        <v>9</v>
      </c>
      <c r="G324" t="b">
        <v>0</v>
      </c>
      <c r="H324">
        <v>28.82</v>
      </c>
      <c r="I324">
        <v>121666</v>
      </c>
      <c r="J324">
        <v>4.5</v>
      </c>
      <c r="K324">
        <v>0.7</v>
      </c>
      <c r="L324">
        <v>2369</v>
      </c>
      <c r="M324">
        <v>1176</v>
      </c>
      <c r="N324">
        <v>15</v>
      </c>
      <c r="O324">
        <v>0.49641198818066695</v>
      </c>
    </row>
    <row r="325" spans="1:15" x14ac:dyDescent="0.3">
      <c r="A325" s="13" t="s">
        <v>34</v>
      </c>
      <c r="B325" s="12" t="s">
        <v>30</v>
      </c>
      <c r="C325" s="12" t="s">
        <v>29</v>
      </c>
      <c r="D325">
        <v>22</v>
      </c>
      <c r="E325">
        <v>38</v>
      </c>
      <c r="F325">
        <v>9</v>
      </c>
      <c r="G325" t="b">
        <v>0</v>
      </c>
      <c r="H325">
        <v>28.82</v>
      </c>
      <c r="I325">
        <v>121666</v>
      </c>
      <c r="J325">
        <v>3.9</v>
      </c>
      <c r="K325">
        <v>0.7</v>
      </c>
      <c r="L325">
        <v>2058</v>
      </c>
      <c r="M325">
        <v>1656</v>
      </c>
      <c r="N325">
        <v>16</v>
      </c>
      <c r="O325">
        <v>0.80466472303206993</v>
      </c>
    </row>
    <row r="326" spans="1:15" x14ac:dyDescent="0.3">
      <c r="A326" s="13" t="s">
        <v>34</v>
      </c>
      <c r="B326" s="12" t="s">
        <v>30</v>
      </c>
      <c r="C326" s="12" t="s">
        <v>29</v>
      </c>
      <c r="D326">
        <v>22</v>
      </c>
      <c r="E326">
        <v>39</v>
      </c>
      <c r="F326">
        <v>9</v>
      </c>
      <c r="G326" t="b">
        <v>0</v>
      </c>
      <c r="H326">
        <v>28.82</v>
      </c>
      <c r="I326">
        <v>121666</v>
      </c>
      <c r="J326">
        <v>3.9</v>
      </c>
      <c r="K326">
        <v>0.7</v>
      </c>
      <c r="L326">
        <v>1710</v>
      </c>
      <c r="M326">
        <v>1176</v>
      </c>
      <c r="N326">
        <v>17</v>
      </c>
      <c r="O326">
        <v>0.68771929824561406</v>
      </c>
    </row>
    <row r="327" spans="1:15" x14ac:dyDescent="0.3">
      <c r="A327" s="13" t="s">
        <v>34</v>
      </c>
      <c r="B327" s="12" t="s">
        <v>30</v>
      </c>
      <c r="C327" s="12" t="s">
        <v>29</v>
      </c>
      <c r="D327">
        <v>26</v>
      </c>
      <c r="E327">
        <v>40</v>
      </c>
      <c r="F327">
        <v>9</v>
      </c>
      <c r="G327" t="b">
        <v>0</v>
      </c>
      <c r="H327">
        <v>28.82</v>
      </c>
      <c r="I327">
        <v>121666</v>
      </c>
      <c r="J327">
        <v>3.9</v>
      </c>
      <c r="K327">
        <v>0.7</v>
      </c>
      <c r="L327">
        <v>1550</v>
      </c>
      <c r="M327">
        <v>1584</v>
      </c>
      <c r="N327">
        <v>14</v>
      </c>
      <c r="O327">
        <v>1.0219354838709678</v>
      </c>
    </row>
    <row r="328" spans="1:15" x14ac:dyDescent="0.3">
      <c r="A328" s="13" t="s">
        <v>34</v>
      </c>
      <c r="B328" s="12" t="s">
        <v>30</v>
      </c>
      <c r="C328" s="12" t="s">
        <v>29</v>
      </c>
      <c r="D328">
        <v>26</v>
      </c>
      <c r="E328">
        <v>41</v>
      </c>
      <c r="F328">
        <v>10</v>
      </c>
      <c r="G328" t="b">
        <v>0</v>
      </c>
      <c r="H328">
        <v>28.82</v>
      </c>
      <c r="I328">
        <v>126488</v>
      </c>
      <c r="J328">
        <v>3.9</v>
      </c>
      <c r="K328">
        <v>0.9</v>
      </c>
      <c r="L328">
        <v>1192</v>
      </c>
      <c r="M328">
        <v>648</v>
      </c>
      <c r="N328">
        <v>15</v>
      </c>
      <c r="O328">
        <v>0.5436241610738255</v>
      </c>
    </row>
    <row r="329" spans="1:15" x14ac:dyDescent="0.3">
      <c r="A329" s="13" t="s">
        <v>34</v>
      </c>
      <c r="B329" s="12" t="s">
        <v>30</v>
      </c>
      <c r="C329" s="12" t="s">
        <v>29</v>
      </c>
      <c r="D329">
        <v>26</v>
      </c>
      <c r="E329">
        <v>42</v>
      </c>
      <c r="F329">
        <v>10</v>
      </c>
      <c r="G329" t="b">
        <v>0</v>
      </c>
      <c r="H329">
        <v>28.82</v>
      </c>
      <c r="I329">
        <v>126488</v>
      </c>
      <c r="J329">
        <v>3.9</v>
      </c>
      <c r="K329">
        <v>0.9</v>
      </c>
      <c r="L329">
        <v>1809</v>
      </c>
      <c r="M329">
        <v>1896</v>
      </c>
      <c r="N329">
        <v>16</v>
      </c>
      <c r="O329">
        <v>1.0480928689883913</v>
      </c>
    </row>
    <row r="330" spans="1:15" x14ac:dyDescent="0.3">
      <c r="A330" s="13" t="s">
        <v>34</v>
      </c>
      <c r="B330" s="12" t="s">
        <v>30</v>
      </c>
      <c r="C330" s="12" t="s">
        <v>29</v>
      </c>
      <c r="D330">
        <v>26</v>
      </c>
      <c r="E330">
        <v>43</v>
      </c>
      <c r="F330">
        <v>10</v>
      </c>
      <c r="G330" t="b">
        <v>0</v>
      </c>
      <c r="H330">
        <v>28.82</v>
      </c>
      <c r="I330">
        <v>126488</v>
      </c>
      <c r="J330">
        <v>3.65</v>
      </c>
      <c r="K330">
        <v>0.9</v>
      </c>
      <c r="L330">
        <v>1487</v>
      </c>
      <c r="M330">
        <v>1440</v>
      </c>
      <c r="N330">
        <v>17</v>
      </c>
      <c r="O330">
        <v>0.96839273705447204</v>
      </c>
    </row>
    <row r="331" spans="1:15" x14ac:dyDescent="0.3">
      <c r="A331" s="13" t="s">
        <v>34</v>
      </c>
      <c r="B331" s="12" t="s">
        <v>30</v>
      </c>
      <c r="C331" s="12" t="s">
        <v>29</v>
      </c>
      <c r="D331">
        <v>26</v>
      </c>
      <c r="E331">
        <v>44</v>
      </c>
      <c r="F331">
        <v>10</v>
      </c>
      <c r="G331" t="b">
        <v>1</v>
      </c>
      <c r="H331">
        <v>28.82</v>
      </c>
      <c r="I331">
        <v>126488</v>
      </c>
      <c r="J331">
        <v>3.65</v>
      </c>
      <c r="K331">
        <v>0.9</v>
      </c>
      <c r="L331">
        <v>1236</v>
      </c>
      <c r="M331">
        <v>1560</v>
      </c>
      <c r="N331">
        <v>18</v>
      </c>
      <c r="O331">
        <v>1.2621359223300972</v>
      </c>
    </row>
    <row r="332" spans="1:15" x14ac:dyDescent="0.3">
      <c r="A332" s="13" t="s">
        <v>34</v>
      </c>
      <c r="B332" s="12" t="s">
        <v>30</v>
      </c>
      <c r="C332" s="12" t="s">
        <v>29</v>
      </c>
      <c r="D332">
        <v>33</v>
      </c>
      <c r="E332">
        <v>45</v>
      </c>
      <c r="F332">
        <v>11</v>
      </c>
      <c r="G332" t="b">
        <v>0</v>
      </c>
      <c r="H332">
        <v>28.82</v>
      </c>
      <c r="I332">
        <v>124251</v>
      </c>
      <c r="J332">
        <v>3.65</v>
      </c>
      <c r="K332">
        <v>1.3</v>
      </c>
      <c r="L332">
        <v>1992</v>
      </c>
      <c r="M332">
        <v>1968</v>
      </c>
      <c r="N332">
        <v>12</v>
      </c>
      <c r="O332">
        <v>0.98795180722891562</v>
      </c>
    </row>
    <row r="333" spans="1:15" x14ac:dyDescent="0.3">
      <c r="A333" s="13" t="s">
        <v>34</v>
      </c>
      <c r="B333" s="12" t="s">
        <v>30</v>
      </c>
      <c r="C333" s="12" t="s">
        <v>29</v>
      </c>
      <c r="D333">
        <v>33</v>
      </c>
      <c r="E333">
        <v>46</v>
      </c>
      <c r="F333">
        <v>11</v>
      </c>
      <c r="G333" t="b">
        <v>0</v>
      </c>
      <c r="H333">
        <v>28.82</v>
      </c>
      <c r="I333">
        <v>124251</v>
      </c>
      <c r="J333">
        <v>3.65</v>
      </c>
      <c r="K333">
        <v>1.3</v>
      </c>
      <c r="L333">
        <v>1752</v>
      </c>
      <c r="M333">
        <v>1656</v>
      </c>
      <c r="N333">
        <v>13</v>
      </c>
      <c r="O333">
        <v>0.9452054794520548</v>
      </c>
    </row>
    <row r="334" spans="1:15" x14ac:dyDescent="0.3">
      <c r="A334" s="13" t="s">
        <v>34</v>
      </c>
      <c r="B334" s="12" t="s">
        <v>30</v>
      </c>
      <c r="C334" s="12" t="s">
        <v>29</v>
      </c>
      <c r="D334">
        <v>33</v>
      </c>
      <c r="E334">
        <v>47</v>
      </c>
      <c r="F334">
        <v>11</v>
      </c>
      <c r="G334" t="b">
        <v>0</v>
      </c>
      <c r="H334">
        <v>28.82</v>
      </c>
      <c r="I334">
        <v>124251</v>
      </c>
      <c r="J334">
        <v>3.65</v>
      </c>
      <c r="K334">
        <v>1.3</v>
      </c>
      <c r="L334">
        <v>1584</v>
      </c>
      <c r="M334">
        <v>1296</v>
      </c>
      <c r="N334">
        <v>14</v>
      </c>
      <c r="O334">
        <v>0.81818181818181823</v>
      </c>
    </row>
    <row r="335" spans="1:15" x14ac:dyDescent="0.3">
      <c r="A335" s="13" t="s">
        <v>34</v>
      </c>
      <c r="B335" s="12" t="s">
        <v>30</v>
      </c>
      <c r="C335" s="12" t="s">
        <v>29</v>
      </c>
      <c r="D335">
        <v>33</v>
      </c>
      <c r="E335">
        <v>48</v>
      </c>
      <c r="F335">
        <v>11</v>
      </c>
      <c r="G335" t="b">
        <v>0</v>
      </c>
      <c r="H335">
        <v>28.82</v>
      </c>
      <c r="I335">
        <v>124251</v>
      </c>
      <c r="J335">
        <v>3.65</v>
      </c>
      <c r="K335">
        <v>1.3</v>
      </c>
      <c r="L335">
        <v>1584</v>
      </c>
      <c r="M335">
        <v>2064</v>
      </c>
      <c r="N335">
        <v>15</v>
      </c>
      <c r="O335">
        <v>1.303030303030303</v>
      </c>
    </row>
    <row r="336" spans="1:15" x14ac:dyDescent="0.3">
      <c r="A336" s="13" t="s">
        <v>34</v>
      </c>
      <c r="B336" s="12" t="s">
        <v>30</v>
      </c>
      <c r="C336" s="12" t="s">
        <v>29</v>
      </c>
      <c r="D336">
        <v>37</v>
      </c>
      <c r="E336">
        <v>49</v>
      </c>
      <c r="F336">
        <v>12</v>
      </c>
      <c r="G336" t="b">
        <v>1</v>
      </c>
      <c r="H336">
        <v>28.82</v>
      </c>
      <c r="I336">
        <v>105715</v>
      </c>
      <c r="J336">
        <v>3.65</v>
      </c>
      <c r="K336">
        <v>1.3</v>
      </c>
      <c r="L336">
        <v>1152</v>
      </c>
      <c r="M336">
        <v>2064</v>
      </c>
      <c r="N336">
        <v>12</v>
      </c>
      <c r="O336">
        <v>1.7916666666666667</v>
      </c>
    </row>
    <row r="337" spans="1:15" x14ac:dyDescent="0.3">
      <c r="A337" s="13" t="s">
        <v>34</v>
      </c>
      <c r="B337" s="12" t="s">
        <v>30</v>
      </c>
      <c r="C337" s="12" t="s">
        <v>29</v>
      </c>
      <c r="D337">
        <v>37</v>
      </c>
      <c r="E337">
        <v>50</v>
      </c>
      <c r="F337">
        <v>12</v>
      </c>
      <c r="G337" t="b">
        <v>0</v>
      </c>
      <c r="H337">
        <v>28.82</v>
      </c>
      <c r="I337">
        <v>105715</v>
      </c>
      <c r="J337">
        <v>3.4</v>
      </c>
      <c r="K337">
        <v>1.3</v>
      </c>
      <c r="L337">
        <v>2136</v>
      </c>
      <c r="M337">
        <v>1464</v>
      </c>
      <c r="N337">
        <v>13</v>
      </c>
      <c r="O337">
        <v>0.6853932584269663</v>
      </c>
    </row>
    <row r="338" spans="1:15" x14ac:dyDescent="0.3">
      <c r="A338" s="13" t="s">
        <v>34</v>
      </c>
      <c r="B338" s="12" t="s">
        <v>30</v>
      </c>
      <c r="C338" s="12" t="s">
        <v>29</v>
      </c>
      <c r="D338">
        <v>37</v>
      </c>
      <c r="E338">
        <v>51</v>
      </c>
      <c r="F338">
        <v>12</v>
      </c>
      <c r="G338" t="b">
        <v>0</v>
      </c>
      <c r="H338">
        <v>28.82</v>
      </c>
      <c r="I338">
        <v>105715</v>
      </c>
      <c r="J338">
        <v>3.4</v>
      </c>
      <c r="K338">
        <v>1.3</v>
      </c>
      <c r="L338">
        <v>1392</v>
      </c>
      <c r="M338">
        <v>552</v>
      </c>
      <c r="N338">
        <v>14</v>
      </c>
      <c r="O338">
        <v>0.39655172413793105</v>
      </c>
    </row>
    <row r="339" spans="1:15" x14ac:dyDescent="0.3">
      <c r="A339" s="13" t="s">
        <v>34</v>
      </c>
      <c r="B339" s="12" t="s">
        <v>30</v>
      </c>
      <c r="C339" s="12" t="s">
        <v>29</v>
      </c>
      <c r="D339">
        <v>44</v>
      </c>
      <c r="E339">
        <v>52</v>
      </c>
      <c r="F339">
        <v>12</v>
      </c>
      <c r="G339" t="b">
        <v>1</v>
      </c>
      <c r="H339">
        <v>28.82</v>
      </c>
      <c r="I339">
        <v>105715</v>
      </c>
      <c r="J339">
        <v>3.4</v>
      </c>
      <c r="K339">
        <v>1.3</v>
      </c>
      <c r="L339">
        <v>0</v>
      </c>
      <c r="M339">
        <v>0</v>
      </c>
      <c r="N339">
        <v>8</v>
      </c>
      <c r="O339" t="e">
        <v>#DIV/0!</v>
      </c>
    </row>
    <row r="340" spans="1:15" x14ac:dyDescent="0.3">
      <c r="A340" s="13" t="s">
        <v>34</v>
      </c>
      <c r="B340" s="12" t="s">
        <v>30</v>
      </c>
      <c r="C340" s="12" t="s">
        <v>29</v>
      </c>
      <c r="D340">
        <v>47</v>
      </c>
      <c r="E340">
        <v>1</v>
      </c>
      <c r="F340">
        <v>12</v>
      </c>
      <c r="G340" t="b">
        <v>1</v>
      </c>
      <c r="H340">
        <v>28.82</v>
      </c>
      <c r="I340">
        <v>105715</v>
      </c>
      <c r="J340">
        <v>3.4</v>
      </c>
      <c r="K340">
        <v>1.3</v>
      </c>
      <c r="L340">
        <v>0</v>
      </c>
      <c r="M340">
        <v>0</v>
      </c>
      <c r="N340">
        <v>6</v>
      </c>
      <c r="O340" t="e">
        <v>#DIV/0!</v>
      </c>
    </row>
    <row r="341" spans="1:15" x14ac:dyDescent="0.3">
      <c r="A341" s="13" t="s">
        <v>34</v>
      </c>
      <c r="B341" s="12" t="s">
        <v>30</v>
      </c>
      <c r="C341" s="12" t="s">
        <v>29</v>
      </c>
      <c r="D341">
        <v>41</v>
      </c>
      <c r="E341">
        <v>2</v>
      </c>
      <c r="F341">
        <v>1</v>
      </c>
      <c r="G341" t="b">
        <v>1</v>
      </c>
      <c r="H341">
        <v>28.82</v>
      </c>
      <c r="I341">
        <v>133692</v>
      </c>
      <c r="J341">
        <v>3.4</v>
      </c>
      <c r="K341">
        <v>1.5</v>
      </c>
      <c r="L341">
        <v>1416</v>
      </c>
      <c r="M341">
        <v>1536</v>
      </c>
      <c r="N341">
        <v>13</v>
      </c>
      <c r="O341">
        <v>1.0847457627118644</v>
      </c>
    </row>
    <row r="342" spans="1:15" x14ac:dyDescent="0.3">
      <c r="A342" s="13" t="s">
        <v>34</v>
      </c>
      <c r="B342" s="12" t="s">
        <v>30</v>
      </c>
      <c r="C342" s="12" t="s">
        <v>29</v>
      </c>
      <c r="D342">
        <v>41</v>
      </c>
      <c r="E342">
        <v>3</v>
      </c>
      <c r="F342">
        <v>1</v>
      </c>
      <c r="G342" t="b">
        <v>0</v>
      </c>
      <c r="H342">
        <v>28.82</v>
      </c>
      <c r="I342">
        <v>133692</v>
      </c>
      <c r="J342">
        <v>3.4</v>
      </c>
      <c r="K342">
        <v>1.5</v>
      </c>
      <c r="L342">
        <v>1584</v>
      </c>
      <c r="M342">
        <v>1680</v>
      </c>
      <c r="N342">
        <v>14</v>
      </c>
      <c r="O342">
        <v>1.0606060606060606</v>
      </c>
    </row>
    <row r="343" spans="1:15" x14ac:dyDescent="0.3">
      <c r="A343" s="13" t="s">
        <v>34</v>
      </c>
      <c r="B343" s="12" t="s">
        <v>30</v>
      </c>
      <c r="C343" s="12" t="s">
        <v>29</v>
      </c>
      <c r="D343">
        <v>41</v>
      </c>
      <c r="E343">
        <v>4</v>
      </c>
      <c r="F343">
        <v>1</v>
      </c>
      <c r="G343" t="b">
        <v>0</v>
      </c>
      <c r="H343">
        <v>28.82</v>
      </c>
      <c r="I343">
        <v>133692</v>
      </c>
      <c r="J343">
        <v>3.4</v>
      </c>
      <c r="K343">
        <v>1.5</v>
      </c>
      <c r="L343">
        <v>1608</v>
      </c>
      <c r="M343">
        <v>1800</v>
      </c>
      <c r="N343">
        <v>15</v>
      </c>
      <c r="O343">
        <v>1.1194029850746268</v>
      </c>
    </row>
    <row r="344" spans="1:15" x14ac:dyDescent="0.3">
      <c r="A344" s="13" t="s">
        <v>34</v>
      </c>
      <c r="B344" s="12" t="s">
        <v>30</v>
      </c>
      <c r="C344" s="12" t="s">
        <v>29</v>
      </c>
      <c r="D344">
        <v>41</v>
      </c>
      <c r="E344">
        <v>5</v>
      </c>
      <c r="F344">
        <v>1</v>
      </c>
      <c r="G344" t="b">
        <v>0</v>
      </c>
      <c r="H344">
        <v>28.82</v>
      </c>
      <c r="I344">
        <v>133692</v>
      </c>
      <c r="J344">
        <v>3.4</v>
      </c>
      <c r="K344">
        <v>1.5</v>
      </c>
      <c r="L344">
        <v>1512</v>
      </c>
      <c r="M344">
        <v>1752</v>
      </c>
      <c r="N344">
        <v>16</v>
      </c>
      <c r="O344">
        <v>1.1587301587301588</v>
      </c>
    </row>
    <row r="345" spans="1:15" x14ac:dyDescent="0.3">
      <c r="A345" s="13" t="s">
        <v>34</v>
      </c>
      <c r="B345" s="12" t="s">
        <v>30</v>
      </c>
      <c r="C345" s="12" t="s">
        <v>29</v>
      </c>
      <c r="D345">
        <v>46</v>
      </c>
      <c r="E345">
        <v>6</v>
      </c>
      <c r="F345">
        <v>2</v>
      </c>
      <c r="G345" t="b">
        <v>0</v>
      </c>
      <c r="H345">
        <v>28.82</v>
      </c>
      <c r="I345">
        <v>137922</v>
      </c>
      <c r="J345">
        <v>3.15</v>
      </c>
      <c r="K345">
        <v>1.6</v>
      </c>
      <c r="L345">
        <v>1896</v>
      </c>
      <c r="M345">
        <v>1608</v>
      </c>
      <c r="N345">
        <v>12</v>
      </c>
      <c r="O345">
        <v>0.84810126582278478</v>
      </c>
    </row>
    <row r="346" spans="1:15" x14ac:dyDescent="0.3">
      <c r="A346" s="13" t="s">
        <v>34</v>
      </c>
      <c r="B346" s="12" t="s">
        <v>30</v>
      </c>
      <c r="C346" s="12" t="s">
        <v>29</v>
      </c>
      <c r="D346">
        <v>46</v>
      </c>
      <c r="E346">
        <v>7</v>
      </c>
      <c r="F346">
        <v>2</v>
      </c>
      <c r="G346" t="b">
        <v>0</v>
      </c>
      <c r="H346">
        <v>28.82</v>
      </c>
      <c r="I346">
        <v>137922</v>
      </c>
      <c r="J346">
        <v>3.15</v>
      </c>
      <c r="K346">
        <v>1.6</v>
      </c>
      <c r="L346">
        <v>1896</v>
      </c>
      <c r="M346">
        <v>1848</v>
      </c>
      <c r="N346">
        <v>13</v>
      </c>
      <c r="O346">
        <v>0.97468354430379744</v>
      </c>
    </row>
    <row r="347" spans="1:15" x14ac:dyDescent="0.3">
      <c r="A347" s="13" t="s">
        <v>34</v>
      </c>
      <c r="B347" s="12" t="s">
        <v>30</v>
      </c>
      <c r="C347" s="12" t="s">
        <v>29</v>
      </c>
      <c r="D347">
        <v>46</v>
      </c>
      <c r="E347">
        <v>8</v>
      </c>
      <c r="F347">
        <v>2</v>
      </c>
      <c r="G347" t="b">
        <v>0</v>
      </c>
      <c r="H347">
        <v>28.82</v>
      </c>
      <c r="I347">
        <v>137922</v>
      </c>
      <c r="J347">
        <v>3.15</v>
      </c>
      <c r="K347">
        <v>1.6</v>
      </c>
      <c r="L347">
        <v>1416</v>
      </c>
      <c r="M347">
        <v>1368</v>
      </c>
      <c r="N347">
        <v>14</v>
      </c>
      <c r="O347">
        <v>0.96610169491525422</v>
      </c>
    </row>
    <row r="348" spans="1:15" x14ac:dyDescent="0.3">
      <c r="A348" s="13" t="s">
        <v>34</v>
      </c>
      <c r="B348" s="12" t="s">
        <v>30</v>
      </c>
      <c r="C348" s="12" t="s">
        <v>29</v>
      </c>
      <c r="D348">
        <v>46</v>
      </c>
      <c r="E348">
        <v>9</v>
      </c>
      <c r="F348">
        <v>2</v>
      </c>
      <c r="G348" t="b">
        <v>0</v>
      </c>
      <c r="H348">
        <v>28.82</v>
      </c>
      <c r="I348">
        <v>137922</v>
      </c>
      <c r="J348">
        <v>3.15</v>
      </c>
      <c r="K348">
        <v>1.6</v>
      </c>
      <c r="L348">
        <v>1896</v>
      </c>
      <c r="M348">
        <v>1512</v>
      </c>
      <c r="N348">
        <v>15</v>
      </c>
      <c r="O348">
        <v>0.79746835443037978</v>
      </c>
    </row>
    <row r="349" spans="1:15" x14ac:dyDescent="0.3">
      <c r="A349" s="13" t="s">
        <v>34</v>
      </c>
      <c r="B349" s="12" t="s">
        <v>30</v>
      </c>
      <c r="C349" s="12" t="s">
        <v>29</v>
      </c>
      <c r="D349">
        <v>51</v>
      </c>
      <c r="E349">
        <v>10</v>
      </c>
      <c r="F349">
        <v>3</v>
      </c>
      <c r="G349" t="b">
        <v>0</v>
      </c>
      <c r="H349">
        <v>28.82</v>
      </c>
      <c r="I349">
        <v>172223</v>
      </c>
      <c r="J349">
        <v>3.15</v>
      </c>
      <c r="K349">
        <v>1.9</v>
      </c>
      <c r="L349">
        <v>1608</v>
      </c>
      <c r="M349">
        <v>1608</v>
      </c>
      <c r="N349">
        <v>11</v>
      </c>
      <c r="O349">
        <v>1</v>
      </c>
    </row>
    <row r="350" spans="1:15" x14ac:dyDescent="0.3">
      <c r="A350" s="13" t="s">
        <v>34</v>
      </c>
      <c r="B350" s="12" t="s">
        <v>30</v>
      </c>
      <c r="C350" s="12" t="s">
        <v>29</v>
      </c>
      <c r="D350">
        <v>51</v>
      </c>
      <c r="E350">
        <v>11</v>
      </c>
      <c r="F350">
        <v>3</v>
      </c>
      <c r="G350" t="b">
        <v>0</v>
      </c>
      <c r="H350">
        <v>28.82</v>
      </c>
      <c r="I350">
        <v>172223</v>
      </c>
      <c r="J350">
        <v>2.9</v>
      </c>
      <c r="K350">
        <v>1.9</v>
      </c>
      <c r="L350">
        <v>1488</v>
      </c>
      <c r="M350">
        <v>1704</v>
      </c>
      <c r="N350">
        <v>12</v>
      </c>
      <c r="O350">
        <v>1.1451612903225807</v>
      </c>
    </row>
    <row r="351" spans="1:15" x14ac:dyDescent="0.3">
      <c r="A351" s="13" t="s">
        <v>34</v>
      </c>
      <c r="B351" s="12" t="s">
        <v>30</v>
      </c>
      <c r="C351" s="12" t="s">
        <v>29</v>
      </c>
      <c r="D351">
        <v>51</v>
      </c>
      <c r="E351">
        <v>12</v>
      </c>
      <c r="F351">
        <v>3</v>
      </c>
      <c r="G351" t="b">
        <v>0</v>
      </c>
      <c r="H351">
        <v>28.82</v>
      </c>
      <c r="I351">
        <v>172223</v>
      </c>
      <c r="J351">
        <v>2.9</v>
      </c>
      <c r="K351">
        <v>1.9</v>
      </c>
      <c r="L351">
        <v>1584</v>
      </c>
      <c r="M351">
        <v>1512</v>
      </c>
      <c r="N351">
        <v>13</v>
      </c>
      <c r="O351">
        <v>0.95454545454545459</v>
      </c>
    </row>
    <row r="352" spans="1:15" x14ac:dyDescent="0.3">
      <c r="A352" s="13" t="s">
        <v>34</v>
      </c>
      <c r="B352" s="12" t="s">
        <v>30</v>
      </c>
      <c r="C352" s="12" t="s">
        <v>29</v>
      </c>
      <c r="D352">
        <v>51</v>
      </c>
      <c r="E352">
        <v>13</v>
      </c>
      <c r="F352">
        <v>3</v>
      </c>
      <c r="G352" t="b">
        <v>0</v>
      </c>
      <c r="H352">
        <v>28.82</v>
      </c>
      <c r="I352">
        <v>172223</v>
      </c>
      <c r="J352">
        <v>2.9</v>
      </c>
      <c r="K352">
        <v>1.9</v>
      </c>
      <c r="L352">
        <v>1560</v>
      </c>
      <c r="M352">
        <v>1608</v>
      </c>
      <c r="N352">
        <v>14</v>
      </c>
      <c r="O352">
        <v>1.0307692307692307</v>
      </c>
    </row>
    <row r="353" spans="1:15" x14ac:dyDescent="0.3">
      <c r="A353" s="13" t="s">
        <v>34</v>
      </c>
      <c r="B353" s="12" t="s">
        <v>30</v>
      </c>
      <c r="C353" s="12" t="s">
        <v>29</v>
      </c>
      <c r="D353">
        <v>51</v>
      </c>
      <c r="E353">
        <v>14</v>
      </c>
      <c r="F353">
        <v>3</v>
      </c>
      <c r="G353" t="b">
        <v>0</v>
      </c>
      <c r="H353">
        <v>28.82</v>
      </c>
      <c r="I353">
        <v>172223</v>
      </c>
      <c r="J353">
        <v>2.9</v>
      </c>
      <c r="K353">
        <v>1.9</v>
      </c>
      <c r="L353">
        <v>1800</v>
      </c>
      <c r="M353">
        <v>1848</v>
      </c>
      <c r="N353">
        <v>15</v>
      </c>
      <c r="O353">
        <v>1.0266666666666666</v>
      </c>
    </row>
    <row r="354" spans="1:15" x14ac:dyDescent="0.3">
      <c r="A354" s="13" t="s">
        <v>34</v>
      </c>
      <c r="B354" s="12" t="s">
        <v>30</v>
      </c>
      <c r="C354" s="12" t="s">
        <v>29</v>
      </c>
      <c r="D354">
        <v>4</v>
      </c>
      <c r="E354">
        <v>15</v>
      </c>
      <c r="F354">
        <v>4</v>
      </c>
      <c r="G354" t="b">
        <v>0</v>
      </c>
      <c r="H354">
        <v>28.82</v>
      </c>
      <c r="I354">
        <v>139084</v>
      </c>
      <c r="J354">
        <v>2.9</v>
      </c>
      <c r="K354">
        <v>1.9</v>
      </c>
      <c r="L354">
        <v>1848</v>
      </c>
      <c r="M354">
        <v>1824</v>
      </c>
      <c r="N354">
        <v>11</v>
      </c>
      <c r="O354">
        <v>0.98701298701298701</v>
      </c>
    </row>
    <row r="355" spans="1:15" x14ac:dyDescent="0.3">
      <c r="A355" s="13" t="s">
        <v>34</v>
      </c>
      <c r="B355" s="12" t="s">
        <v>30</v>
      </c>
      <c r="C355" s="12" t="s">
        <v>29</v>
      </c>
      <c r="D355">
        <v>4</v>
      </c>
      <c r="E355">
        <v>16</v>
      </c>
      <c r="F355">
        <v>4</v>
      </c>
      <c r="G355" t="b">
        <v>0</v>
      </c>
      <c r="H355">
        <v>28.82</v>
      </c>
      <c r="I355">
        <v>139084</v>
      </c>
      <c r="J355">
        <v>2.9</v>
      </c>
      <c r="K355">
        <v>1.9</v>
      </c>
      <c r="L355">
        <v>2112</v>
      </c>
      <c r="M355">
        <v>1512</v>
      </c>
      <c r="N355">
        <v>12</v>
      </c>
      <c r="O355">
        <v>0.71590909090909094</v>
      </c>
    </row>
    <row r="356" spans="1:15" x14ac:dyDescent="0.3">
      <c r="A356" s="13" t="s">
        <v>34</v>
      </c>
      <c r="B356" s="12" t="s">
        <v>30</v>
      </c>
      <c r="C356" s="12" t="s">
        <v>29</v>
      </c>
      <c r="D356">
        <v>4</v>
      </c>
      <c r="E356">
        <v>17</v>
      </c>
      <c r="F356">
        <v>4</v>
      </c>
      <c r="G356" t="b">
        <v>1</v>
      </c>
      <c r="H356">
        <v>28.82</v>
      </c>
      <c r="I356">
        <v>139084</v>
      </c>
      <c r="J356">
        <v>2.65</v>
      </c>
      <c r="K356">
        <v>1.9</v>
      </c>
      <c r="L356">
        <v>0</v>
      </c>
      <c r="M356">
        <v>984</v>
      </c>
      <c r="N356">
        <v>13</v>
      </c>
      <c r="O356" t="e">
        <v>#DIV/0!</v>
      </c>
    </row>
    <row r="357" spans="1:15" x14ac:dyDescent="0.3">
      <c r="A357" s="13" t="s">
        <v>34</v>
      </c>
      <c r="B357" s="12" t="s">
        <v>30</v>
      </c>
      <c r="C357" s="12" t="s">
        <v>29</v>
      </c>
      <c r="D357">
        <v>5</v>
      </c>
      <c r="E357">
        <v>18</v>
      </c>
      <c r="F357">
        <v>4</v>
      </c>
      <c r="G357" t="b">
        <v>1</v>
      </c>
      <c r="H357">
        <v>28.82</v>
      </c>
      <c r="I357">
        <v>139084</v>
      </c>
      <c r="J357">
        <v>2.65</v>
      </c>
      <c r="K357">
        <v>1.9</v>
      </c>
      <c r="L357">
        <v>960</v>
      </c>
      <c r="M357">
        <v>792</v>
      </c>
      <c r="N357">
        <v>13</v>
      </c>
      <c r="O357">
        <v>0.82499999999999996</v>
      </c>
    </row>
    <row r="358" spans="1:15" x14ac:dyDescent="0.3">
      <c r="A358" s="13" t="s">
        <v>34</v>
      </c>
      <c r="B358" s="12" t="s">
        <v>30</v>
      </c>
      <c r="C358" s="12" t="s">
        <v>29</v>
      </c>
      <c r="D358">
        <v>7</v>
      </c>
      <c r="E358">
        <v>19</v>
      </c>
      <c r="F358">
        <v>5</v>
      </c>
      <c r="G358" t="b">
        <v>0</v>
      </c>
      <c r="H358">
        <v>28.82</v>
      </c>
      <c r="I358">
        <v>139390</v>
      </c>
      <c r="J358">
        <v>2.65</v>
      </c>
      <c r="K358">
        <v>1.6</v>
      </c>
      <c r="L358">
        <v>1656</v>
      </c>
      <c r="M358">
        <v>1656</v>
      </c>
      <c r="N358">
        <v>12</v>
      </c>
      <c r="O358">
        <v>1</v>
      </c>
    </row>
    <row r="359" spans="1:15" x14ac:dyDescent="0.3">
      <c r="A359" s="13" t="s">
        <v>34</v>
      </c>
      <c r="B359" s="12" t="s">
        <v>30</v>
      </c>
      <c r="C359" s="12" t="s">
        <v>29</v>
      </c>
      <c r="D359">
        <v>7</v>
      </c>
      <c r="E359">
        <v>20</v>
      </c>
      <c r="F359">
        <v>5</v>
      </c>
      <c r="G359" t="b">
        <v>0</v>
      </c>
      <c r="H359">
        <v>28.82</v>
      </c>
      <c r="I359">
        <v>139390</v>
      </c>
      <c r="J359">
        <v>2.65</v>
      </c>
      <c r="K359">
        <v>1.6</v>
      </c>
      <c r="L359">
        <v>1464</v>
      </c>
      <c r="M359">
        <v>2064</v>
      </c>
      <c r="N359">
        <v>13</v>
      </c>
      <c r="O359">
        <v>1.4098360655737705</v>
      </c>
    </row>
    <row r="360" spans="1:15" x14ac:dyDescent="0.3">
      <c r="A360" s="13" t="s">
        <v>34</v>
      </c>
      <c r="B360" s="12" t="s">
        <v>30</v>
      </c>
      <c r="C360" s="12" t="s">
        <v>29</v>
      </c>
      <c r="D360">
        <v>7</v>
      </c>
      <c r="E360">
        <v>21</v>
      </c>
      <c r="F360">
        <v>5</v>
      </c>
      <c r="G360" t="b">
        <v>0</v>
      </c>
      <c r="H360">
        <v>28.82</v>
      </c>
      <c r="I360">
        <v>139390</v>
      </c>
      <c r="J360">
        <v>2.65</v>
      </c>
      <c r="K360">
        <v>1.6</v>
      </c>
      <c r="L360">
        <v>1944</v>
      </c>
      <c r="M360">
        <v>1272</v>
      </c>
      <c r="N360">
        <v>14</v>
      </c>
      <c r="O360">
        <v>0.65432098765432101</v>
      </c>
    </row>
    <row r="361" spans="1:15" x14ac:dyDescent="0.3">
      <c r="A361" s="13" t="s">
        <v>34</v>
      </c>
      <c r="B361" s="12" t="s">
        <v>30</v>
      </c>
      <c r="C361" s="12" t="s">
        <v>29</v>
      </c>
      <c r="D361">
        <v>7</v>
      </c>
      <c r="E361">
        <v>22</v>
      </c>
      <c r="F361">
        <v>5</v>
      </c>
      <c r="G361" t="b">
        <v>0</v>
      </c>
      <c r="H361">
        <v>28.82</v>
      </c>
      <c r="I361">
        <v>139390</v>
      </c>
      <c r="J361">
        <v>2.65</v>
      </c>
      <c r="K361">
        <v>1.6</v>
      </c>
      <c r="L361">
        <v>2952</v>
      </c>
      <c r="M361">
        <v>2016</v>
      </c>
      <c r="N361">
        <v>15</v>
      </c>
      <c r="O361">
        <v>0.68292682926829273</v>
      </c>
    </row>
    <row r="362" spans="1:15" x14ac:dyDescent="0.3">
      <c r="A362" s="13" t="s">
        <v>34</v>
      </c>
      <c r="B362" s="12" t="s">
        <v>30</v>
      </c>
      <c r="C362" s="12" t="s">
        <v>29</v>
      </c>
      <c r="D362">
        <v>12</v>
      </c>
      <c r="E362">
        <v>23</v>
      </c>
      <c r="F362">
        <v>5</v>
      </c>
      <c r="G362" t="b">
        <v>1</v>
      </c>
      <c r="H362">
        <v>28.82</v>
      </c>
      <c r="I362">
        <v>139390</v>
      </c>
      <c r="J362">
        <v>2.4</v>
      </c>
      <c r="K362">
        <v>1.6</v>
      </c>
      <c r="L362">
        <v>336</v>
      </c>
      <c r="M362">
        <v>1584</v>
      </c>
      <c r="N362">
        <v>11</v>
      </c>
      <c r="O362">
        <v>4.7142857142857144</v>
      </c>
    </row>
    <row r="363" spans="1:15" x14ac:dyDescent="0.3">
      <c r="A363" s="13" t="s">
        <v>34</v>
      </c>
      <c r="B363" s="12" t="s">
        <v>30</v>
      </c>
      <c r="C363" s="12" t="s">
        <v>29</v>
      </c>
      <c r="D363">
        <v>12</v>
      </c>
      <c r="E363">
        <v>24</v>
      </c>
      <c r="F363">
        <v>6</v>
      </c>
      <c r="G363" t="b">
        <v>0</v>
      </c>
      <c r="H363">
        <v>28.82</v>
      </c>
      <c r="I363">
        <v>132191</v>
      </c>
      <c r="J363">
        <v>2.4</v>
      </c>
      <c r="K363">
        <v>1.7</v>
      </c>
      <c r="L363">
        <v>1920</v>
      </c>
      <c r="M363">
        <v>1584</v>
      </c>
      <c r="N363">
        <v>12</v>
      </c>
      <c r="O363">
        <v>0.82499999999999996</v>
      </c>
    </row>
    <row r="364" spans="1:15" x14ac:dyDescent="0.3">
      <c r="A364" s="13" t="s">
        <v>34</v>
      </c>
      <c r="B364" s="12" t="s">
        <v>30</v>
      </c>
      <c r="C364" s="12" t="s">
        <v>29</v>
      </c>
      <c r="D364">
        <v>12</v>
      </c>
      <c r="E364">
        <v>25</v>
      </c>
      <c r="F364">
        <v>6</v>
      </c>
      <c r="G364" t="b">
        <v>0</v>
      </c>
      <c r="H364">
        <v>28.82</v>
      </c>
      <c r="I364">
        <v>132191</v>
      </c>
      <c r="J364">
        <v>2.4</v>
      </c>
      <c r="K364">
        <v>1.7</v>
      </c>
      <c r="L364">
        <v>1896</v>
      </c>
      <c r="M364">
        <v>1560</v>
      </c>
      <c r="N364">
        <v>13</v>
      </c>
      <c r="O364">
        <v>0.82278481012658233</v>
      </c>
    </row>
    <row r="365" spans="1:15" x14ac:dyDescent="0.3">
      <c r="A365" s="13" t="s">
        <v>34</v>
      </c>
      <c r="B365" s="12" t="s">
        <v>30</v>
      </c>
      <c r="C365" s="12" t="s">
        <v>29</v>
      </c>
      <c r="D365">
        <v>12</v>
      </c>
      <c r="E365">
        <v>26</v>
      </c>
      <c r="F365">
        <v>6</v>
      </c>
      <c r="G365" t="b">
        <v>0</v>
      </c>
      <c r="H365">
        <v>28.82</v>
      </c>
      <c r="I365">
        <v>132191</v>
      </c>
      <c r="J365">
        <v>2.4</v>
      </c>
      <c r="K365">
        <v>1.7</v>
      </c>
      <c r="L365">
        <v>1824</v>
      </c>
      <c r="M365">
        <v>936</v>
      </c>
      <c r="N365">
        <v>14</v>
      </c>
      <c r="O365">
        <v>0.51315789473684215</v>
      </c>
    </row>
    <row r="366" spans="1:15" x14ac:dyDescent="0.3">
      <c r="A366" s="13" t="s">
        <v>35</v>
      </c>
      <c r="B366" s="12" t="s">
        <v>30</v>
      </c>
      <c r="C366" s="12" t="s">
        <v>29</v>
      </c>
      <c r="D366">
        <v>12</v>
      </c>
      <c r="E366">
        <v>27</v>
      </c>
      <c r="F366">
        <v>7</v>
      </c>
      <c r="G366" t="b">
        <v>0</v>
      </c>
      <c r="H366">
        <v>29.91</v>
      </c>
      <c r="I366">
        <v>124806</v>
      </c>
      <c r="J366">
        <v>4.5</v>
      </c>
      <c r="K366">
        <v>1.3</v>
      </c>
      <c r="L366">
        <v>212</v>
      </c>
      <c r="M366">
        <v>240</v>
      </c>
      <c r="N366">
        <v>15</v>
      </c>
      <c r="O366">
        <v>1.1320754716981132</v>
      </c>
    </row>
    <row r="367" spans="1:15" x14ac:dyDescent="0.3">
      <c r="A367" s="13" t="s">
        <v>35</v>
      </c>
      <c r="B367" s="12" t="s">
        <v>30</v>
      </c>
      <c r="C367" s="12" t="s">
        <v>29</v>
      </c>
      <c r="D367">
        <v>12</v>
      </c>
      <c r="E367">
        <v>28</v>
      </c>
      <c r="F367">
        <v>7</v>
      </c>
      <c r="G367" t="b">
        <v>0</v>
      </c>
      <c r="H367">
        <v>29.91</v>
      </c>
      <c r="I367">
        <v>124806</v>
      </c>
      <c r="J367">
        <v>4.5</v>
      </c>
      <c r="K367">
        <v>1.3</v>
      </c>
      <c r="L367">
        <v>222</v>
      </c>
      <c r="M367">
        <v>192</v>
      </c>
      <c r="N367">
        <v>16</v>
      </c>
      <c r="O367">
        <v>0.86486486486486491</v>
      </c>
    </row>
    <row r="368" spans="1:15" x14ac:dyDescent="0.3">
      <c r="A368" s="13" t="s">
        <v>35</v>
      </c>
      <c r="B368" s="12" t="s">
        <v>30</v>
      </c>
      <c r="C368" s="12" t="s">
        <v>29</v>
      </c>
      <c r="D368">
        <v>12</v>
      </c>
      <c r="E368">
        <v>29</v>
      </c>
      <c r="F368">
        <v>7</v>
      </c>
      <c r="G368" t="b">
        <v>0</v>
      </c>
      <c r="H368">
        <v>29.91</v>
      </c>
      <c r="I368">
        <v>124806</v>
      </c>
      <c r="J368">
        <v>4.5</v>
      </c>
      <c r="K368">
        <v>1.3</v>
      </c>
      <c r="L368">
        <v>194</v>
      </c>
      <c r="M368">
        <v>24</v>
      </c>
      <c r="N368">
        <v>17</v>
      </c>
      <c r="O368">
        <v>0.12371134020618557</v>
      </c>
    </row>
    <row r="369" spans="1:15" x14ac:dyDescent="0.3">
      <c r="A369" s="13" t="s">
        <v>35</v>
      </c>
      <c r="B369" s="12" t="s">
        <v>30</v>
      </c>
      <c r="C369" s="12" t="s">
        <v>29</v>
      </c>
      <c r="D369">
        <v>12</v>
      </c>
      <c r="E369">
        <v>30</v>
      </c>
      <c r="F369">
        <v>7</v>
      </c>
      <c r="G369" t="b">
        <v>0</v>
      </c>
      <c r="H369">
        <v>29.91</v>
      </c>
      <c r="I369">
        <v>124806</v>
      </c>
      <c r="J369">
        <v>4.5</v>
      </c>
      <c r="K369">
        <v>1.3</v>
      </c>
      <c r="L369">
        <v>346</v>
      </c>
      <c r="M369">
        <v>96</v>
      </c>
      <c r="N369">
        <v>18</v>
      </c>
      <c r="O369">
        <v>0.2774566473988439</v>
      </c>
    </row>
    <row r="370" spans="1:15" x14ac:dyDescent="0.3">
      <c r="A370" s="13" t="s">
        <v>35</v>
      </c>
      <c r="B370" s="12" t="s">
        <v>30</v>
      </c>
      <c r="C370" s="12" t="s">
        <v>29</v>
      </c>
      <c r="D370">
        <v>12</v>
      </c>
      <c r="E370">
        <v>31</v>
      </c>
      <c r="F370">
        <v>7</v>
      </c>
      <c r="G370" t="b">
        <v>0</v>
      </c>
      <c r="H370">
        <v>29.91</v>
      </c>
      <c r="I370">
        <v>124806</v>
      </c>
      <c r="J370">
        <v>4.5</v>
      </c>
      <c r="K370">
        <v>1.3</v>
      </c>
      <c r="L370">
        <v>303</v>
      </c>
      <c r="M370">
        <v>0</v>
      </c>
      <c r="N370">
        <v>19</v>
      </c>
      <c r="O370">
        <v>0</v>
      </c>
    </row>
    <row r="371" spans="1:15" x14ac:dyDescent="0.3">
      <c r="A371" s="13" t="s">
        <v>35</v>
      </c>
      <c r="B371" s="12" t="s">
        <v>30</v>
      </c>
      <c r="C371" s="12" t="s">
        <v>29</v>
      </c>
      <c r="D371">
        <v>13</v>
      </c>
      <c r="E371">
        <v>32</v>
      </c>
      <c r="F371">
        <v>8</v>
      </c>
      <c r="G371" t="b">
        <v>1</v>
      </c>
      <c r="H371">
        <v>29.91</v>
      </c>
      <c r="I371">
        <v>69121</v>
      </c>
      <c r="J371">
        <v>4.5</v>
      </c>
      <c r="K371">
        <v>1.1000000000000001</v>
      </c>
      <c r="L371">
        <v>0</v>
      </c>
      <c r="M371">
        <v>0</v>
      </c>
      <c r="N371">
        <v>19</v>
      </c>
      <c r="O371" t="e">
        <v>#DIV/0!</v>
      </c>
    </row>
    <row r="372" spans="1:15" x14ac:dyDescent="0.3">
      <c r="A372" s="13" t="s">
        <v>35</v>
      </c>
      <c r="B372" s="12" t="s">
        <v>30</v>
      </c>
      <c r="C372" s="12" t="s">
        <v>29</v>
      </c>
      <c r="D372">
        <v>14</v>
      </c>
      <c r="E372">
        <v>33</v>
      </c>
      <c r="F372">
        <v>8</v>
      </c>
      <c r="G372" t="b">
        <v>1</v>
      </c>
      <c r="H372">
        <v>29.91</v>
      </c>
      <c r="I372">
        <v>69121</v>
      </c>
      <c r="J372">
        <v>4.5</v>
      </c>
      <c r="K372">
        <v>1.1000000000000001</v>
      </c>
      <c r="L372">
        <v>1</v>
      </c>
      <c r="M372">
        <v>0</v>
      </c>
      <c r="N372">
        <v>19</v>
      </c>
      <c r="O372">
        <v>0</v>
      </c>
    </row>
    <row r="373" spans="1:15" x14ac:dyDescent="0.3">
      <c r="A373" s="13" t="s">
        <v>35</v>
      </c>
      <c r="B373" s="12" t="s">
        <v>30</v>
      </c>
      <c r="C373" s="12" t="s">
        <v>29</v>
      </c>
      <c r="D373">
        <v>15</v>
      </c>
      <c r="E373">
        <v>34</v>
      </c>
      <c r="F373">
        <v>8</v>
      </c>
      <c r="G373" t="b">
        <v>0</v>
      </c>
      <c r="H373">
        <v>29.91</v>
      </c>
      <c r="I373">
        <v>69121</v>
      </c>
      <c r="J373">
        <v>4.5</v>
      </c>
      <c r="K373">
        <v>1.1000000000000001</v>
      </c>
      <c r="L373">
        <v>382</v>
      </c>
      <c r="M373">
        <v>96</v>
      </c>
      <c r="N373">
        <v>19</v>
      </c>
      <c r="O373">
        <v>0.2513089005235602</v>
      </c>
    </row>
    <row r="374" spans="1:15" x14ac:dyDescent="0.3">
      <c r="A374" s="13" t="s">
        <v>35</v>
      </c>
      <c r="B374" s="12" t="s">
        <v>30</v>
      </c>
      <c r="C374" s="12" t="s">
        <v>29</v>
      </c>
      <c r="D374">
        <v>14</v>
      </c>
      <c r="E374">
        <v>35</v>
      </c>
      <c r="F374">
        <v>8</v>
      </c>
      <c r="G374" t="b">
        <v>0</v>
      </c>
      <c r="H374">
        <v>29.91</v>
      </c>
      <c r="I374">
        <v>69121</v>
      </c>
      <c r="J374">
        <v>4.5</v>
      </c>
      <c r="K374">
        <v>1.1000000000000001</v>
      </c>
      <c r="L374">
        <v>199</v>
      </c>
      <c r="M374">
        <v>144</v>
      </c>
      <c r="N374">
        <v>21</v>
      </c>
      <c r="O374">
        <v>0.72361809045226133</v>
      </c>
    </row>
    <row r="375" spans="1:15" x14ac:dyDescent="0.3">
      <c r="A375" s="13" t="s">
        <v>35</v>
      </c>
      <c r="B375" s="12" t="s">
        <v>30</v>
      </c>
      <c r="C375" s="12" t="s">
        <v>29</v>
      </c>
      <c r="D375">
        <v>22</v>
      </c>
      <c r="E375">
        <v>36</v>
      </c>
      <c r="F375">
        <v>9</v>
      </c>
      <c r="G375" t="b">
        <v>0</v>
      </c>
      <c r="H375">
        <v>29.91</v>
      </c>
      <c r="I375">
        <v>121666</v>
      </c>
      <c r="J375">
        <v>4.5</v>
      </c>
      <c r="K375">
        <v>0.7</v>
      </c>
      <c r="L375">
        <v>272</v>
      </c>
      <c r="M375">
        <v>288</v>
      </c>
      <c r="N375">
        <v>14</v>
      </c>
      <c r="O375">
        <v>1.0588235294117647</v>
      </c>
    </row>
    <row r="376" spans="1:15" x14ac:dyDescent="0.3">
      <c r="A376" s="13" t="s">
        <v>35</v>
      </c>
      <c r="B376" s="12" t="s">
        <v>30</v>
      </c>
      <c r="C376" s="12" t="s">
        <v>29</v>
      </c>
      <c r="D376">
        <v>22</v>
      </c>
      <c r="E376">
        <v>37</v>
      </c>
      <c r="F376">
        <v>9</v>
      </c>
      <c r="G376" t="b">
        <v>0</v>
      </c>
      <c r="H376">
        <v>29.91</v>
      </c>
      <c r="I376">
        <v>121666</v>
      </c>
      <c r="J376">
        <v>4.5</v>
      </c>
      <c r="K376">
        <v>0.7</v>
      </c>
      <c r="L376">
        <v>310</v>
      </c>
      <c r="M376">
        <v>216</v>
      </c>
      <c r="N376">
        <v>15</v>
      </c>
      <c r="O376">
        <v>0.6967741935483871</v>
      </c>
    </row>
    <row r="377" spans="1:15" x14ac:dyDescent="0.3">
      <c r="A377" s="13" t="s">
        <v>35</v>
      </c>
      <c r="B377" s="12" t="s">
        <v>30</v>
      </c>
      <c r="C377" s="12" t="s">
        <v>29</v>
      </c>
      <c r="D377">
        <v>22</v>
      </c>
      <c r="E377">
        <v>38</v>
      </c>
      <c r="F377">
        <v>9</v>
      </c>
      <c r="G377" t="b">
        <v>0</v>
      </c>
      <c r="H377">
        <v>29.91</v>
      </c>
      <c r="I377">
        <v>121666</v>
      </c>
      <c r="J377">
        <v>3.9</v>
      </c>
      <c r="K377">
        <v>0.7</v>
      </c>
      <c r="L377">
        <v>259</v>
      </c>
      <c r="M377">
        <v>0</v>
      </c>
      <c r="N377">
        <v>16</v>
      </c>
      <c r="O377">
        <v>0</v>
      </c>
    </row>
    <row r="378" spans="1:15" x14ac:dyDescent="0.3">
      <c r="A378" s="13" t="s">
        <v>35</v>
      </c>
      <c r="B378" s="12" t="s">
        <v>30</v>
      </c>
      <c r="C378" s="12" t="s">
        <v>29</v>
      </c>
      <c r="D378">
        <v>22</v>
      </c>
      <c r="E378">
        <v>39</v>
      </c>
      <c r="F378">
        <v>9</v>
      </c>
      <c r="G378" t="b">
        <v>0</v>
      </c>
      <c r="H378">
        <v>29.91</v>
      </c>
      <c r="I378">
        <v>121666</v>
      </c>
      <c r="J378">
        <v>3.9</v>
      </c>
      <c r="K378">
        <v>0.7</v>
      </c>
      <c r="L378">
        <v>168</v>
      </c>
      <c r="M378">
        <v>144</v>
      </c>
      <c r="N378">
        <v>17</v>
      </c>
      <c r="O378">
        <v>0.8571428571428571</v>
      </c>
    </row>
    <row r="379" spans="1:15" x14ac:dyDescent="0.3">
      <c r="A379" s="13" t="s">
        <v>35</v>
      </c>
      <c r="B379" s="12" t="s">
        <v>30</v>
      </c>
      <c r="C379" s="12" t="s">
        <v>29</v>
      </c>
      <c r="D379">
        <v>26</v>
      </c>
      <c r="E379">
        <v>40</v>
      </c>
      <c r="F379">
        <v>9</v>
      </c>
      <c r="G379" t="b">
        <v>0</v>
      </c>
      <c r="H379">
        <v>29.91</v>
      </c>
      <c r="I379">
        <v>121666</v>
      </c>
      <c r="J379">
        <v>3.9</v>
      </c>
      <c r="K379">
        <v>0.7</v>
      </c>
      <c r="L379">
        <v>231</v>
      </c>
      <c r="M379">
        <v>96</v>
      </c>
      <c r="N379">
        <v>14</v>
      </c>
      <c r="O379">
        <v>0.41558441558441561</v>
      </c>
    </row>
    <row r="380" spans="1:15" x14ac:dyDescent="0.3">
      <c r="A380" s="13" t="s">
        <v>35</v>
      </c>
      <c r="B380" s="12" t="s">
        <v>30</v>
      </c>
      <c r="C380" s="12" t="s">
        <v>29</v>
      </c>
      <c r="D380">
        <v>26</v>
      </c>
      <c r="E380">
        <v>41</v>
      </c>
      <c r="F380">
        <v>10</v>
      </c>
      <c r="G380" t="b">
        <v>0</v>
      </c>
      <c r="H380">
        <v>29.91</v>
      </c>
      <c r="I380">
        <v>126488</v>
      </c>
      <c r="J380">
        <v>3.9</v>
      </c>
      <c r="K380">
        <v>0.9</v>
      </c>
      <c r="L380">
        <v>239</v>
      </c>
      <c r="M380">
        <v>96</v>
      </c>
      <c r="N380">
        <v>15</v>
      </c>
      <c r="O380">
        <v>0.40167364016736401</v>
      </c>
    </row>
    <row r="381" spans="1:15" x14ac:dyDescent="0.3">
      <c r="A381" s="13" t="s">
        <v>35</v>
      </c>
      <c r="B381" s="12" t="s">
        <v>30</v>
      </c>
      <c r="C381" s="12" t="s">
        <v>29</v>
      </c>
      <c r="D381">
        <v>26</v>
      </c>
      <c r="E381">
        <v>42</v>
      </c>
      <c r="F381">
        <v>10</v>
      </c>
      <c r="G381" t="b">
        <v>0</v>
      </c>
      <c r="H381">
        <v>29.91</v>
      </c>
      <c r="I381">
        <v>126488</v>
      </c>
      <c r="J381">
        <v>3.9</v>
      </c>
      <c r="K381">
        <v>0.9</v>
      </c>
      <c r="L381">
        <v>261</v>
      </c>
      <c r="M381">
        <v>336</v>
      </c>
      <c r="N381">
        <v>16</v>
      </c>
      <c r="O381">
        <v>1.2873563218390804</v>
      </c>
    </row>
    <row r="382" spans="1:15" x14ac:dyDescent="0.3">
      <c r="A382" s="13" t="s">
        <v>35</v>
      </c>
      <c r="B382" s="12" t="s">
        <v>30</v>
      </c>
      <c r="C382" s="12" t="s">
        <v>29</v>
      </c>
      <c r="D382">
        <v>26</v>
      </c>
      <c r="E382">
        <v>43</v>
      </c>
      <c r="F382">
        <v>10</v>
      </c>
      <c r="G382" t="b">
        <v>0</v>
      </c>
      <c r="H382">
        <v>29.91</v>
      </c>
      <c r="I382">
        <v>126488</v>
      </c>
      <c r="J382">
        <v>3.65</v>
      </c>
      <c r="K382">
        <v>0.9</v>
      </c>
      <c r="L382">
        <v>293</v>
      </c>
      <c r="M382">
        <v>168</v>
      </c>
      <c r="N382">
        <v>17</v>
      </c>
      <c r="O382">
        <v>0.57337883959044367</v>
      </c>
    </row>
    <row r="383" spans="1:15" x14ac:dyDescent="0.3">
      <c r="A383" s="13" t="s">
        <v>35</v>
      </c>
      <c r="B383" s="12" t="s">
        <v>30</v>
      </c>
      <c r="C383" s="12" t="s">
        <v>29</v>
      </c>
      <c r="D383">
        <v>26</v>
      </c>
      <c r="E383">
        <v>44</v>
      </c>
      <c r="F383">
        <v>10</v>
      </c>
      <c r="G383" t="b">
        <v>1</v>
      </c>
      <c r="H383">
        <v>29.91</v>
      </c>
      <c r="I383">
        <v>126488</v>
      </c>
      <c r="J383">
        <v>3.65</v>
      </c>
      <c r="K383">
        <v>0.9</v>
      </c>
      <c r="L383">
        <v>364</v>
      </c>
      <c r="M383">
        <v>288</v>
      </c>
      <c r="N383">
        <v>18</v>
      </c>
      <c r="O383">
        <v>0.79120879120879117</v>
      </c>
    </row>
    <row r="384" spans="1:15" x14ac:dyDescent="0.3">
      <c r="A384" s="13" t="s">
        <v>35</v>
      </c>
      <c r="B384" s="12" t="s">
        <v>30</v>
      </c>
      <c r="C384" s="12" t="s">
        <v>29</v>
      </c>
      <c r="D384">
        <v>33</v>
      </c>
      <c r="E384">
        <v>45</v>
      </c>
      <c r="F384">
        <v>11</v>
      </c>
      <c r="G384" t="b">
        <v>0</v>
      </c>
      <c r="H384">
        <v>29.91</v>
      </c>
      <c r="I384">
        <v>124251</v>
      </c>
      <c r="J384">
        <v>3.65</v>
      </c>
      <c r="K384">
        <v>1.3</v>
      </c>
      <c r="L384">
        <v>288</v>
      </c>
      <c r="M384">
        <v>96</v>
      </c>
      <c r="N384">
        <v>12</v>
      </c>
      <c r="O384">
        <v>0.33333333333333331</v>
      </c>
    </row>
    <row r="385" spans="1:15" x14ac:dyDescent="0.3">
      <c r="A385" s="13" t="s">
        <v>35</v>
      </c>
      <c r="B385" s="12" t="s">
        <v>30</v>
      </c>
      <c r="C385" s="12" t="s">
        <v>29</v>
      </c>
      <c r="D385">
        <v>33</v>
      </c>
      <c r="E385">
        <v>46</v>
      </c>
      <c r="F385">
        <v>11</v>
      </c>
      <c r="G385" t="b">
        <v>0</v>
      </c>
      <c r="H385">
        <v>29.91</v>
      </c>
      <c r="I385">
        <v>124251</v>
      </c>
      <c r="J385">
        <v>3.65</v>
      </c>
      <c r="K385">
        <v>1.3</v>
      </c>
      <c r="L385">
        <v>144</v>
      </c>
      <c r="M385">
        <v>228</v>
      </c>
      <c r="N385">
        <v>13</v>
      </c>
      <c r="O385">
        <v>1.5833333333333333</v>
      </c>
    </row>
    <row r="386" spans="1:15" x14ac:dyDescent="0.3">
      <c r="A386" s="13" t="s">
        <v>35</v>
      </c>
      <c r="B386" s="12" t="s">
        <v>30</v>
      </c>
      <c r="C386" s="12" t="s">
        <v>29</v>
      </c>
      <c r="D386">
        <v>33</v>
      </c>
      <c r="E386">
        <v>47</v>
      </c>
      <c r="F386">
        <v>11</v>
      </c>
      <c r="G386" t="b">
        <v>0</v>
      </c>
      <c r="H386">
        <v>29.91</v>
      </c>
      <c r="I386">
        <v>124251</v>
      </c>
      <c r="J386">
        <v>3.65</v>
      </c>
      <c r="K386">
        <v>1.3</v>
      </c>
      <c r="L386">
        <v>240</v>
      </c>
      <c r="M386">
        <v>216</v>
      </c>
      <c r="N386">
        <v>14</v>
      </c>
      <c r="O386">
        <v>0.9</v>
      </c>
    </row>
    <row r="387" spans="1:15" x14ac:dyDescent="0.3">
      <c r="A387" s="13" t="s">
        <v>35</v>
      </c>
      <c r="B387" s="12" t="s">
        <v>30</v>
      </c>
      <c r="C387" s="12" t="s">
        <v>29</v>
      </c>
      <c r="D387">
        <v>33</v>
      </c>
      <c r="E387">
        <v>48</v>
      </c>
      <c r="F387">
        <v>11</v>
      </c>
      <c r="G387" t="b">
        <v>0</v>
      </c>
      <c r="H387">
        <v>29.91</v>
      </c>
      <c r="I387">
        <v>124251</v>
      </c>
      <c r="J387">
        <v>3.65</v>
      </c>
      <c r="K387">
        <v>1.3</v>
      </c>
      <c r="L387">
        <v>288</v>
      </c>
      <c r="M387">
        <v>264</v>
      </c>
      <c r="N387">
        <v>15</v>
      </c>
      <c r="O387">
        <v>0.91666666666666663</v>
      </c>
    </row>
    <row r="388" spans="1:15" x14ac:dyDescent="0.3">
      <c r="A388" s="13" t="s">
        <v>35</v>
      </c>
      <c r="B388" s="12" t="s">
        <v>30</v>
      </c>
      <c r="C388" s="12" t="s">
        <v>29</v>
      </c>
      <c r="D388">
        <v>37</v>
      </c>
      <c r="E388">
        <v>49</v>
      </c>
      <c r="F388">
        <v>12</v>
      </c>
      <c r="G388" t="b">
        <v>1</v>
      </c>
      <c r="H388">
        <v>29.91</v>
      </c>
      <c r="I388">
        <v>105715</v>
      </c>
      <c r="J388">
        <v>3.65</v>
      </c>
      <c r="K388">
        <v>1.3</v>
      </c>
      <c r="L388">
        <v>216</v>
      </c>
      <c r="M388">
        <v>288</v>
      </c>
      <c r="N388">
        <v>12</v>
      </c>
      <c r="O388">
        <v>1.3333333333333333</v>
      </c>
    </row>
    <row r="389" spans="1:15" x14ac:dyDescent="0.3">
      <c r="A389" s="13" t="s">
        <v>35</v>
      </c>
      <c r="B389" s="12" t="s">
        <v>30</v>
      </c>
      <c r="C389" s="12" t="s">
        <v>29</v>
      </c>
      <c r="D389">
        <v>37</v>
      </c>
      <c r="E389">
        <v>50</v>
      </c>
      <c r="F389">
        <v>12</v>
      </c>
      <c r="G389" t="b">
        <v>0</v>
      </c>
      <c r="H389">
        <v>29.91</v>
      </c>
      <c r="I389">
        <v>105715</v>
      </c>
      <c r="J389">
        <v>3.4</v>
      </c>
      <c r="K389">
        <v>1.3</v>
      </c>
      <c r="L389">
        <v>360</v>
      </c>
      <c r="M389">
        <v>240</v>
      </c>
      <c r="N389">
        <v>13</v>
      </c>
      <c r="O389">
        <v>0.66666666666666663</v>
      </c>
    </row>
    <row r="390" spans="1:15" x14ac:dyDescent="0.3">
      <c r="A390" s="13" t="s">
        <v>35</v>
      </c>
      <c r="B390" s="12" t="s">
        <v>30</v>
      </c>
      <c r="C390" s="12" t="s">
        <v>29</v>
      </c>
      <c r="D390">
        <v>37</v>
      </c>
      <c r="E390">
        <v>51</v>
      </c>
      <c r="F390">
        <v>12</v>
      </c>
      <c r="G390" t="b">
        <v>0</v>
      </c>
      <c r="H390">
        <v>29.91</v>
      </c>
      <c r="I390">
        <v>105715</v>
      </c>
      <c r="J390">
        <v>3.4</v>
      </c>
      <c r="K390">
        <v>1.3</v>
      </c>
      <c r="L390">
        <v>168</v>
      </c>
      <c r="M390">
        <v>72</v>
      </c>
      <c r="N390">
        <v>14</v>
      </c>
      <c r="O390">
        <v>0.42857142857142855</v>
      </c>
    </row>
    <row r="391" spans="1:15" x14ac:dyDescent="0.3">
      <c r="A391" s="13" t="s">
        <v>35</v>
      </c>
      <c r="B391" s="12" t="s">
        <v>30</v>
      </c>
      <c r="C391" s="12" t="s">
        <v>29</v>
      </c>
      <c r="D391">
        <v>44</v>
      </c>
      <c r="E391">
        <v>52</v>
      </c>
      <c r="F391">
        <v>12</v>
      </c>
      <c r="G391" t="b">
        <v>1</v>
      </c>
      <c r="H391">
        <v>29.91</v>
      </c>
      <c r="I391">
        <v>105715</v>
      </c>
      <c r="J391">
        <v>3.4</v>
      </c>
      <c r="K391">
        <v>1.3</v>
      </c>
      <c r="L391">
        <v>0</v>
      </c>
      <c r="M391">
        <v>0</v>
      </c>
      <c r="N391">
        <v>8</v>
      </c>
      <c r="O391" t="e">
        <v>#DIV/0!</v>
      </c>
    </row>
    <row r="392" spans="1:15" x14ac:dyDescent="0.3">
      <c r="A392" s="13" t="s">
        <v>35</v>
      </c>
      <c r="B392" s="12" t="s">
        <v>30</v>
      </c>
      <c r="C392" s="12" t="s">
        <v>29</v>
      </c>
      <c r="D392">
        <v>47</v>
      </c>
      <c r="E392">
        <v>1</v>
      </c>
      <c r="F392">
        <v>12</v>
      </c>
      <c r="G392" t="b">
        <v>1</v>
      </c>
      <c r="H392">
        <v>29.91</v>
      </c>
      <c r="I392">
        <v>105715</v>
      </c>
      <c r="J392">
        <v>3.4</v>
      </c>
      <c r="K392">
        <v>1.3</v>
      </c>
      <c r="L392">
        <v>0</v>
      </c>
      <c r="M392">
        <v>0</v>
      </c>
      <c r="N392">
        <v>6</v>
      </c>
      <c r="O392" t="e">
        <v>#DIV/0!</v>
      </c>
    </row>
    <row r="393" spans="1:15" x14ac:dyDescent="0.3">
      <c r="A393" s="13" t="s">
        <v>35</v>
      </c>
      <c r="B393" s="12" t="s">
        <v>30</v>
      </c>
      <c r="C393" s="12" t="s">
        <v>29</v>
      </c>
      <c r="D393">
        <v>41</v>
      </c>
      <c r="E393">
        <v>2</v>
      </c>
      <c r="F393">
        <v>1</v>
      </c>
      <c r="G393" t="b">
        <v>1</v>
      </c>
      <c r="H393">
        <v>29.91</v>
      </c>
      <c r="I393">
        <v>133692</v>
      </c>
      <c r="J393">
        <v>3.4</v>
      </c>
      <c r="K393">
        <v>1.5</v>
      </c>
      <c r="L393">
        <v>312</v>
      </c>
      <c r="M393">
        <v>432</v>
      </c>
      <c r="N393">
        <v>13</v>
      </c>
      <c r="O393">
        <v>1.3846153846153846</v>
      </c>
    </row>
    <row r="394" spans="1:15" x14ac:dyDescent="0.3">
      <c r="A394" s="13" t="s">
        <v>35</v>
      </c>
      <c r="B394" s="12" t="s">
        <v>30</v>
      </c>
      <c r="C394" s="12" t="s">
        <v>29</v>
      </c>
      <c r="D394">
        <v>41</v>
      </c>
      <c r="E394">
        <v>3</v>
      </c>
      <c r="F394">
        <v>1</v>
      </c>
      <c r="G394" t="b">
        <v>0</v>
      </c>
      <c r="H394">
        <v>29.91</v>
      </c>
      <c r="I394">
        <v>133692</v>
      </c>
      <c r="J394">
        <v>3.4</v>
      </c>
      <c r="K394">
        <v>1.5</v>
      </c>
      <c r="L394">
        <v>312</v>
      </c>
      <c r="M394">
        <v>336</v>
      </c>
      <c r="N394">
        <v>14</v>
      </c>
      <c r="O394">
        <v>1.0769230769230769</v>
      </c>
    </row>
    <row r="395" spans="1:15" x14ac:dyDescent="0.3">
      <c r="A395" s="13" t="s">
        <v>35</v>
      </c>
      <c r="B395" s="12" t="s">
        <v>30</v>
      </c>
      <c r="C395" s="12" t="s">
        <v>29</v>
      </c>
      <c r="D395">
        <v>41</v>
      </c>
      <c r="E395">
        <v>4</v>
      </c>
      <c r="F395">
        <v>1</v>
      </c>
      <c r="G395" t="b">
        <v>0</v>
      </c>
      <c r="H395">
        <v>29.91</v>
      </c>
      <c r="I395">
        <v>133692</v>
      </c>
      <c r="J395">
        <v>3.4</v>
      </c>
      <c r="K395">
        <v>1.5</v>
      </c>
      <c r="L395">
        <v>264</v>
      </c>
      <c r="M395">
        <v>384</v>
      </c>
      <c r="N395">
        <v>15</v>
      </c>
      <c r="O395">
        <v>1.4545454545454546</v>
      </c>
    </row>
    <row r="396" spans="1:15" x14ac:dyDescent="0.3">
      <c r="A396" s="13" t="s">
        <v>35</v>
      </c>
      <c r="B396" s="12" t="s">
        <v>30</v>
      </c>
      <c r="C396" s="12" t="s">
        <v>29</v>
      </c>
      <c r="D396">
        <v>41</v>
      </c>
      <c r="E396">
        <v>5</v>
      </c>
      <c r="F396">
        <v>1</v>
      </c>
      <c r="G396" t="b">
        <v>0</v>
      </c>
      <c r="H396">
        <v>29.91</v>
      </c>
      <c r="I396">
        <v>133692</v>
      </c>
      <c r="J396">
        <v>3.4</v>
      </c>
      <c r="K396">
        <v>1.5</v>
      </c>
      <c r="L396">
        <v>360</v>
      </c>
      <c r="M396">
        <v>216</v>
      </c>
      <c r="N396">
        <v>16</v>
      </c>
      <c r="O396">
        <v>0.6</v>
      </c>
    </row>
    <row r="397" spans="1:15" x14ac:dyDescent="0.3">
      <c r="A397" s="13" t="s">
        <v>35</v>
      </c>
      <c r="B397" s="12" t="s">
        <v>30</v>
      </c>
      <c r="C397" s="12" t="s">
        <v>29</v>
      </c>
      <c r="D397">
        <v>46</v>
      </c>
      <c r="E397">
        <v>6</v>
      </c>
      <c r="F397">
        <v>2</v>
      </c>
      <c r="G397" t="b">
        <v>0</v>
      </c>
      <c r="H397">
        <v>29.91</v>
      </c>
      <c r="I397">
        <v>137922</v>
      </c>
      <c r="J397">
        <v>3.15</v>
      </c>
      <c r="K397">
        <v>1.6</v>
      </c>
      <c r="L397">
        <v>288</v>
      </c>
      <c r="M397">
        <v>384</v>
      </c>
      <c r="N397">
        <v>12</v>
      </c>
      <c r="O397">
        <v>1.3333333333333333</v>
      </c>
    </row>
    <row r="398" spans="1:15" x14ac:dyDescent="0.3">
      <c r="A398" s="13" t="s">
        <v>35</v>
      </c>
      <c r="B398" s="12" t="s">
        <v>30</v>
      </c>
      <c r="C398" s="12" t="s">
        <v>29</v>
      </c>
      <c r="D398">
        <v>46</v>
      </c>
      <c r="E398">
        <v>7</v>
      </c>
      <c r="F398">
        <v>2</v>
      </c>
      <c r="G398" t="b">
        <v>0</v>
      </c>
      <c r="H398">
        <v>29.91</v>
      </c>
      <c r="I398">
        <v>137922</v>
      </c>
      <c r="J398">
        <v>3.15</v>
      </c>
      <c r="K398">
        <v>1.6</v>
      </c>
      <c r="L398">
        <v>240</v>
      </c>
      <c r="M398">
        <v>312</v>
      </c>
      <c r="N398">
        <v>13</v>
      </c>
      <c r="O398">
        <v>1.3</v>
      </c>
    </row>
    <row r="399" spans="1:15" x14ac:dyDescent="0.3">
      <c r="A399" s="13" t="s">
        <v>35</v>
      </c>
      <c r="B399" s="12" t="s">
        <v>30</v>
      </c>
      <c r="C399" s="12" t="s">
        <v>29</v>
      </c>
      <c r="D399">
        <v>46</v>
      </c>
      <c r="E399">
        <v>8</v>
      </c>
      <c r="F399">
        <v>2</v>
      </c>
      <c r="G399" t="b">
        <v>0</v>
      </c>
      <c r="H399">
        <v>29.91</v>
      </c>
      <c r="I399">
        <v>137922</v>
      </c>
      <c r="J399">
        <v>3.15</v>
      </c>
      <c r="K399">
        <v>1.6</v>
      </c>
      <c r="L399">
        <v>240</v>
      </c>
      <c r="M399">
        <v>264</v>
      </c>
      <c r="N399">
        <v>14</v>
      </c>
      <c r="O399">
        <v>1.1000000000000001</v>
      </c>
    </row>
    <row r="400" spans="1:15" x14ac:dyDescent="0.3">
      <c r="A400" s="13" t="s">
        <v>35</v>
      </c>
      <c r="B400" s="12" t="s">
        <v>30</v>
      </c>
      <c r="C400" s="12" t="s">
        <v>29</v>
      </c>
      <c r="D400">
        <v>46</v>
      </c>
      <c r="E400">
        <v>9</v>
      </c>
      <c r="F400">
        <v>2</v>
      </c>
      <c r="G400" t="b">
        <v>0</v>
      </c>
      <c r="H400">
        <v>29.91</v>
      </c>
      <c r="I400">
        <v>137922</v>
      </c>
      <c r="J400">
        <v>3.15</v>
      </c>
      <c r="K400">
        <v>1.6</v>
      </c>
      <c r="L400">
        <v>336</v>
      </c>
      <c r="M400">
        <v>384</v>
      </c>
      <c r="N400">
        <v>15</v>
      </c>
      <c r="O400">
        <v>1.1428571428571428</v>
      </c>
    </row>
    <row r="401" spans="1:15" x14ac:dyDescent="0.3">
      <c r="A401" s="13" t="s">
        <v>35</v>
      </c>
      <c r="B401" s="12" t="s">
        <v>30</v>
      </c>
      <c r="C401" s="12" t="s">
        <v>29</v>
      </c>
      <c r="D401">
        <v>51</v>
      </c>
      <c r="E401">
        <v>10</v>
      </c>
      <c r="F401">
        <v>3</v>
      </c>
      <c r="G401" t="b">
        <v>0</v>
      </c>
      <c r="H401">
        <v>29.91</v>
      </c>
      <c r="I401">
        <v>172223</v>
      </c>
      <c r="J401">
        <v>3.15</v>
      </c>
      <c r="K401">
        <v>1.9</v>
      </c>
      <c r="L401">
        <v>312</v>
      </c>
      <c r="M401">
        <v>360</v>
      </c>
      <c r="N401">
        <v>11</v>
      </c>
      <c r="O401">
        <v>1.1538461538461537</v>
      </c>
    </row>
    <row r="402" spans="1:15" x14ac:dyDescent="0.3">
      <c r="A402" s="13" t="s">
        <v>35</v>
      </c>
      <c r="B402" s="12" t="s">
        <v>30</v>
      </c>
      <c r="C402" s="12" t="s">
        <v>29</v>
      </c>
      <c r="D402">
        <v>51</v>
      </c>
      <c r="E402">
        <v>11</v>
      </c>
      <c r="F402">
        <v>3</v>
      </c>
      <c r="G402" t="b">
        <v>0</v>
      </c>
      <c r="H402">
        <v>29.91</v>
      </c>
      <c r="I402">
        <v>172223</v>
      </c>
      <c r="J402">
        <v>2.9</v>
      </c>
      <c r="K402">
        <v>1.9</v>
      </c>
      <c r="L402">
        <v>240</v>
      </c>
      <c r="M402">
        <v>432</v>
      </c>
      <c r="N402">
        <v>12</v>
      </c>
      <c r="O402">
        <v>1.8</v>
      </c>
    </row>
    <row r="403" spans="1:15" x14ac:dyDescent="0.3">
      <c r="A403" s="13" t="s">
        <v>35</v>
      </c>
      <c r="B403" s="12" t="s">
        <v>30</v>
      </c>
      <c r="C403" s="12" t="s">
        <v>29</v>
      </c>
      <c r="D403">
        <v>51</v>
      </c>
      <c r="E403">
        <v>12</v>
      </c>
      <c r="F403">
        <v>3</v>
      </c>
      <c r="G403" t="b">
        <v>0</v>
      </c>
      <c r="H403">
        <v>29.91</v>
      </c>
      <c r="I403">
        <v>172223</v>
      </c>
      <c r="J403">
        <v>2.9</v>
      </c>
      <c r="K403">
        <v>1.9</v>
      </c>
      <c r="L403">
        <v>312</v>
      </c>
      <c r="M403">
        <v>336</v>
      </c>
      <c r="N403">
        <v>13</v>
      </c>
      <c r="O403">
        <v>1.0769230769230769</v>
      </c>
    </row>
    <row r="404" spans="1:15" x14ac:dyDescent="0.3">
      <c r="A404" s="13" t="s">
        <v>35</v>
      </c>
      <c r="B404" s="12" t="s">
        <v>30</v>
      </c>
      <c r="C404" s="12" t="s">
        <v>29</v>
      </c>
      <c r="D404">
        <v>51</v>
      </c>
      <c r="E404">
        <v>13</v>
      </c>
      <c r="F404">
        <v>3</v>
      </c>
      <c r="G404" t="b">
        <v>0</v>
      </c>
      <c r="H404">
        <v>29.91</v>
      </c>
      <c r="I404">
        <v>172223</v>
      </c>
      <c r="J404">
        <v>2.9</v>
      </c>
      <c r="K404">
        <v>1.9</v>
      </c>
      <c r="L404">
        <v>288</v>
      </c>
      <c r="M404">
        <v>216</v>
      </c>
      <c r="N404">
        <v>14</v>
      </c>
      <c r="O404">
        <v>0.75</v>
      </c>
    </row>
    <row r="405" spans="1:15" x14ac:dyDescent="0.3">
      <c r="A405" s="13" t="s">
        <v>35</v>
      </c>
      <c r="B405" s="12" t="s">
        <v>30</v>
      </c>
      <c r="C405" s="12" t="s">
        <v>29</v>
      </c>
      <c r="D405">
        <v>51</v>
      </c>
      <c r="E405">
        <v>14</v>
      </c>
      <c r="F405">
        <v>3</v>
      </c>
      <c r="G405" t="b">
        <v>0</v>
      </c>
      <c r="H405">
        <v>29.91</v>
      </c>
      <c r="I405">
        <v>172223</v>
      </c>
      <c r="J405">
        <v>2.9</v>
      </c>
      <c r="K405">
        <v>1.9</v>
      </c>
      <c r="L405">
        <v>312</v>
      </c>
      <c r="M405">
        <v>240</v>
      </c>
      <c r="N405">
        <v>15</v>
      </c>
      <c r="O405">
        <v>0.76923076923076927</v>
      </c>
    </row>
    <row r="406" spans="1:15" x14ac:dyDescent="0.3">
      <c r="A406" s="13" t="s">
        <v>35</v>
      </c>
      <c r="B406" s="12" t="s">
        <v>30</v>
      </c>
      <c r="C406" s="12" t="s">
        <v>29</v>
      </c>
      <c r="D406">
        <v>4</v>
      </c>
      <c r="E406">
        <v>15</v>
      </c>
      <c r="F406">
        <v>4</v>
      </c>
      <c r="G406" t="b">
        <v>0</v>
      </c>
      <c r="H406">
        <v>29.91</v>
      </c>
      <c r="I406">
        <v>139084</v>
      </c>
      <c r="J406">
        <v>2.9</v>
      </c>
      <c r="K406">
        <v>1.9</v>
      </c>
      <c r="L406">
        <v>360</v>
      </c>
      <c r="M406">
        <v>288</v>
      </c>
      <c r="N406">
        <v>11</v>
      </c>
      <c r="O406">
        <v>0.8</v>
      </c>
    </row>
    <row r="407" spans="1:15" x14ac:dyDescent="0.3">
      <c r="A407" s="13" t="s">
        <v>35</v>
      </c>
      <c r="B407" s="12" t="s">
        <v>30</v>
      </c>
      <c r="C407" s="12" t="s">
        <v>29</v>
      </c>
      <c r="D407">
        <v>4</v>
      </c>
      <c r="E407">
        <v>16</v>
      </c>
      <c r="F407">
        <v>4</v>
      </c>
      <c r="G407" t="b">
        <v>0</v>
      </c>
      <c r="H407">
        <v>29.91</v>
      </c>
      <c r="I407">
        <v>139084</v>
      </c>
      <c r="J407">
        <v>2.9</v>
      </c>
      <c r="K407">
        <v>1.9</v>
      </c>
      <c r="L407">
        <v>384</v>
      </c>
      <c r="M407">
        <v>216</v>
      </c>
      <c r="N407">
        <v>12</v>
      </c>
      <c r="O407">
        <v>0.5625</v>
      </c>
    </row>
    <row r="408" spans="1:15" x14ac:dyDescent="0.3">
      <c r="A408" s="13" t="s">
        <v>35</v>
      </c>
      <c r="B408" s="12" t="s">
        <v>30</v>
      </c>
      <c r="C408" s="12" t="s">
        <v>29</v>
      </c>
      <c r="D408">
        <v>4</v>
      </c>
      <c r="E408">
        <v>17</v>
      </c>
      <c r="F408">
        <v>4</v>
      </c>
      <c r="G408" t="b">
        <v>1</v>
      </c>
      <c r="H408">
        <v>29.91</v>
      </c>
      <c r="I408">
        <v>139084</v>
      </c>
      <c r="J408">
        <v>2.65</v>
      </c>
      <c r="K408">
        <v>1.9</v>
      </c>
      <c r="L408">
        <v>0</v>
      </c>
      <c r="M408">
        <v>72</v>
      </c>
      <c r="N408">
        <v>13</v>
      </c>
      <c r="O408" t="e">
        <v>#DIV/0!</v>
      </c>
    </row>
    <row r="409" spans="1:15" x14ac:dyDescent="0.3">
      <c r="A409" s="13" t="s">
        <v>35</v>
      </c>
      <c r="B409" s="12" t="s">
        <v>30</v>
      </c>
      <c r="C409" s="12" t="s">
        <v>29</v>
      </c>
      <c r="D409">
        <v>5</v>
      </c>
      <c r="E409">
        <v>18</v>
      </c>
      <c r="F409">
        <v>4</v>
      </c>
      <c r="G409" t="b">
        <v>1</v>
      </c>
      <c r="H409">
        <v>29.91</v>
      </c>
      <c r="I409">
        <v>139084</v>
      </c>
      <c r="J409">
        <v>2.65</v>
      </c>
      <c r="K409">
        <v>1.9</v>
      </c>
      <c r="L409">
        <v>192</v>
      </c>
      <c r="M409">
        <v>144</v>
      </c>
      <c r="N409">
        <v>13</v>
      </c>
      <c r="O409">
        <v>0.75</v>
      </c>
    </row>
    <row r="410" spans="1:15" x14ac:dyDescent="0.3">
      <c r="A410" s="13" t="s">
        <v>35</v>
      </c>
      <c r="B410" s="12" t="s">
        <v>30</v>
      </c>
      <c r="C410" s="12" t="s">
        <v>29</v>
      </c>
      <c r="D410">
        <v>7</v>
      </c>
      <c r="E410">
        <v>19</v>
      </c>
      <c r="F410">
        <v>5</v>
      </c>
      <c r="G410" t="b">
        <v>0</v>
      </c>
      <c r="H410">
        <v>29.91</v>
      </c>
      <c r="I410">
        <v>139390</v>
      </c>
      <c r="J410">
        <v>2.65</v>
      </c>
      <c r="K410">
        <v>1.6</v>
      </c>
      <c r="L410">
        <v>264</v>
      </c>
      <c r="M410">
        <v>384</v>
      </c>
      <c r="N410">
        <v>12</v>
      </c>
      <c r="O410">
        <v>1.4545454545454546</v>
      </c>
    </row>
    <row r="411" spans="1:15" x14ac:dyDescent="0.3">
      <c r="A411" s="13" t="s">
        <v>35</v>
      </c>
      <c r="B411" s="12" t="s">
        <v>30</v>
      </c>
      <c r="C411" s="12" t="s">
        <v>29</v>
      </c>
      <c r="D411">
        <v>7</v>
      </c>
      <c r="E411">
        <v>20</v>
      </c>
      <c r="F411">
        <v>5</v>
      </c>
      <c r="G411" t="b">
        <v>0</v>
      </c>
      <c r="H411">
        <v>29.91</v>
      </c>
      <c r="I411">
        <v>139390</v>
      </c>
      <c r="J411">
        <v>2.65</v>
      </c>
      <c r="K411">
        <v>1.6</v>
      </c>
      <c r="L411">
        <v>216</v>
      </c>
      <c r="M411">
        <v>312</v>
      </c>
      <c r="N411">
        <v>13</v>
      </c>
      <c r="O411">
        <v>1.4444444444444444</v>
      </c>
    </row>
    <row r="412" spans="1:15" x14ac:dyDescent="0.3">
      <c r="A412" s="13" t="s">
        <v>35</v>
      </c>
      <c r="B412" s="12" t="s">
        <v>30</v>
      </c>
      <c r="C412" s="12" t="s">
        <v>29</v>
      </c>
      <c r="D412">
        <v>7</v>
      </c>
      <c r="E412">
        <v>21</v>
      </c>
      <c r="F412">
        <v>5</v>
      </c>
      <c r="G412" t="b">
        <v>0</v>
      </c>
      <c r="H412">
        <v>29.91</v>
      </c>
      <c r="I412">
        <v>139390</v>
      </c>
      <c r="J412">
        <v>2.65</v>
      </c>
      <c r="K412">
        <v>1.6</v>
      </c>
      <c r="L412">
        <v>384</v>
      </c>
      <c r="M412">
        <v>144</v>
      </c>
      <c r="N412">
        <v>14</v>
      </c>
      <c r="O412">
        <v>0.375</v>
      </c>
    </row>
    <row r="413" spans="1:15" x14ac:dyDescent="0.3">
      <c r="A413" s="13" t="s">
        <v>35</v>
      </c>
      <c r="B413" s="12" t="s">
        <v>30</v>
      </c>
      <c r="C413" s="12" t="s">
        <v>29</v>
      </c>
      <c r="D413">
        <v>7</v>
      </c>
      <c r="E413">
        <v>22</v>
      </c>
      <c r="F413">
        <v>5</v>
      </c>
      <c r="G413" t="b">
        <v>0</v>
      </c>
      <c r="H413">
        <v>29.91</v>
      </c>
      <c r="I413">
        <v>139390</v>
      </c>
      <c r="J413">
        <v>2.65</v>
      </c>
      <c r="K413">
        <v>1.6</v>
      </c>
      <c r="L413">
        <v>672</v>
      </c>
      <c r="M413">
        <v>384</v>
      </c>
      <c r="N413">
        <v>15</v>
      </c>
      <c r="O413">
        <v>0.5714285714285714</v>
      </c>
    </row>
    <row r="414" spans="1:15" x14ac:dyDescent="0.3">
      <c r="A414" s="13" t="s">
        <v>35</v>
      </c>
      <c r="B414" s="12" t="s">
        <v>30</v>
      </c>
      <c r="C414" s="12" t="s">
        <v>29</v>
      </c>
      <c r="D414">
        <v>12</v>
      </c>
      <c r="E414">
        <v>23</v>
      </c>
      <c r="F414">
        <v>5</v>
      </c>
      <c r="G414" t="b">
        <v>1</v>
      </c>
      <c r="H414">
        <v>29.91</v>
      </c>
      <c r="I414">
        <v>139390</v>
      </c>
      <c r="J414">
        <v>2.4</v>
      </c>
      <c r="K414">
        <v>1.6</v>
      </c>
      <c r="L414">
        <v>96</v>
      </c>
      <c r="M414">
        <v>312</v>
      </c>
      <c r="N414">
        <v>11</v>
      </c>
      <c r="O414">
        <v>3.25</v>
      </c>
    </row>
    <row r="415" spans="1:15" x14ac:dyDescent="0.3">
      <c r="A415" s="13" t="s">
        <v>35</v>
      </c>
      <c r="B415" s="12" t="s">
        <v>30</v>
      </c>
      <c r="C415" s="12" t="s">
        <v>29</v>
      </c>
      <c r="D415">
        <v>12</v>
      </c>
      <c r="E415">
        <v>24</v>
      </c>
      <c r="F415">
        <v>6</v>
      </c>
      <c r="G415" t="b">
        <v>0</v>
      </c>
      <c r="H415">
        <v>29.91</v>
      </c>
      <c r="I415">
        <v>132191</v>
      </c>
      <c r="J415">
        <v>2.4</v>
      </c>
      <c r="K415">
        <v>1.7</v>
      </c>
      <c r="L415">
        <v>360</v>
      </c>
      <c r="M415">
        <v>0</v>
      </c>
      <c r="N415">
        <v>12</v>
      </c>
      <c r="O415">
        <v>0</v>
      </c>
    </row>
    <row r="416" spans="1:15" x14ac:dyDescent="0.3">
      <c r="A416" s="13" t="s">
        <v>35</v>
      </c>
      <c r="B416" s="12" t="s">
        <v>30</v>
      </c>
      <c r="C416" s="12" t="s">
        <v>29</v>
      </c>
      <c r="D416">
        <v>12</v>
      </c>
      <c r="E416">
        <v>25</v>
      </c>
      <c r="F416">
        <v>6</v>
      </c>
      <c r="G416" t="b">
        <v>0</v>
      </c>
      <c r="H416">
        <v>29.91</v>
      </c>
      <c r="I416">
        <v>132191</v>
      </c>
      <c r="J416">
        <v>2.4</v>
      </c>
      <c r="K416">
        <v>1.7</v>
      </c>
      <c r="L416">
        <v>432</v>
      </c>
      <c r="M416">
        <v>192</v>
      </c>
      <c r="N416">
        <v>13</v>
      </c>
      <c r="O416">
        <v>0.44444444444444442</v>
      </c>
    </row>
    <row r="417" spans="1:15" x14ac:dyDescent="0.3">
      <c r="A417" s="13" t="s">
        <v>35</v>
      </c>
      <c r="B417" s="12" t="s">
        <v>30</v>
      </c>
      <c r="C417" s="12" t="s">
        <v>29</v>
      </c>
      <c r="D417">
        <v>12</v>
      </c>
      <c r="E417">
        <v>26</v>
      </c>
      <c r="F417">
        <v>6</v>
      </c>
      <c r="G417" t="b">
        <v>0</v>
      </c>
      <c r="H417">
        <v>29.91</v>
      </c>
      <c r="I417">
        <v>132191</v>
      </c>
      <c r="J417">
        <v>2.4</v>
      </c>
      <c r="K417">
        <v>1.7</v>
      </c>
      <c r="L417">
        <v>360</v>
      </c>
      <c r="M417">
        <v>264</v>
      </c>
      <c r="N417">
        <v>14</v>
      </c>
      <c r="O417">
        <v>0.73333333333333328</v>
      </c>
    </row>
    <row r="418" spans="1:15" x14ac:dyDescent="0.3">
      <c r="A418" s="13" t="s">
        <v>40</v>
      </c>
      <c r="B418" s="12" t="s">
        <v>29</v>
      </c>
      <c r="C418" s="12" t="s">
        <v>31</v>
      </c>
      <c r="D418">
        <v>11</v>
      </c>
      <c r="E418">
        <v>27</v>
      </c>
      <c r="F418">
        <v>7</v>
      </c>
      <c r="G418" t="b">
        <v>0</v>
      </c>
      <c r="H418">
        <v>19.350000000000001</v>
      </c>
      <c r="I418">
        <v>124806</v>
      </c>
      <c r="J418">
        <v>4.5</v>
      </c>
      <c r="K418">
        <v>1.3</v>
      </c>
      <c r="L418">
        <v>3000</v>
      </c>
      <c r="M418">
        <v>3265</v>
      </c>
      <c r="N418">
        <v>16</v>
      </c>
      <c r="O418">
        <v>1.0883333333333334</v>
      </c>
    </row>
    <row r="419" spans="1:15" x14ac:dyDescent="0.3">
      <c r="A419" s="13" t="s">
        <v>40</v>
      </c>
      <c r="B419" s="12" t="s">
        <v>29</v>
      </c>
      <c r="C419" s="12" t="s">
        <v>31</v>
      </c>
      <c r="D419">
        <v>11</v>
      </c>
      <c r="E419">
        <v>28</v>
      </c>
      <c r="F419">
        <v>7</v>
      </c>
      <c r="G419" t="b">
        <v>0</v>
      </c>
      <c r="H419">
        <v>19.350000000000001</v>
      </c>
      <c r="I419">
        <v>124806</v>
      </c>
      <c r="J419">
        <v>4.5</v>
      </c>
      <c r="K419">
        <v>1.3</v>
      </c>
      <c r="L419">
        <v>2967</v>
      </c>
      <c r="M419">
        <v>2416</v>
      </c>
      <c r="N419">
        <v>17</v>
      </c>
      <c r="O419">
        <v>0.81429052915402766</v>
      </c>
    </row>
    <row r="420" spans="1:15" x14ac:dyDescent="0.3">
      <c r="A420" s="13" t="s">
        <v>40</v>
      </c>
      <c r="B420" s="12" t="s">
        <v>29</v>
      </c>
      <c r="C420" s="12" t="s">
        <v>31</v>
      </c>
      <c r="D420">
        <v>11</v>
      </c>
      <c r="E420">
        <v>29</v>
      </c>
      <c r="F420">
        <v>7</v>
      </c>
      <c r="G420" t="b">
        <v>0</v>
      </c>
      <c r="H420">
        <v>19.350000000000001</v>
      </c>
      <c r="I420">
        <v>124806</v>
      </c>
      <c r="J420">
        <v>4.5</v>
      </c>
      <c r="K420">
        <v>1.3</v>
      </c>
      <c r="L420">
        <v>3000</v>
      </c>
      <c r="M420">
        <v>2280</v>
      </c>
      <c r="N420">
        <v>18</v>
      </c>
      <c r="O420">
        <v>0.76</v>
      </c>
    </row>
    <row r="421" spans="1:15" x14ac:dyDescent="0.3">
      <c r="A421" s="13" t="s">
        <v>40</v>
      </c>
      <c r="B421" s="12" t="s">
        <v>29</v>
      </c>
      <c r="C421" s="12" t="s">
        <v>31</v>
      </c>
      <c r="D421">
        <v>11</v>
      </c>
      <c r="E421">
        <v>30</v>
      </c>
      <c r="F421">
        <v>7</v>
      </c>
      <c r="G421" t="b">
        <v>0</v>
      </c>
      <c r="H421">
        <v>19.350000000000001</v>
      </c>
      <c r="I421">
        <v>124806</v>
      </c>
      <c r="J421">
        <v>4.5</v>
      </c>
      <c r="K421">
        <v>1.3</v>
      </c>
      <c r="L421">
        <v>3000</v>
      </c>
      <c r="M421">
        <v>2435</v>
      </c>
      <c r="N421">
        <v>19</v>
      </c>
      <c r="O421">
        <v>0.81166666666666665</v>
      </c>
    </row>
    <row r="422" spans="1:15" x14ac:dyDescent="0.3">
      <c r="A422" s="13" t="s">
        <v>40</v>
      </c>
      <c r="B422" s="12" t="s">
        <v>29</v>
      </c>
      <c r="C422" s="12" t="s">
        <v>31</v>
      </c>
      <c r="D422">
        <v>10</v>
      </c>
      <c r="E422">
        <v>31</v>
      </c>
      <c r="F422">
        <v>7</v>
      </c>
      <c r="G422" t="b">
        <v>0</v>
      </c>
      <c r="H422">
        <v>19.350000000000001</v>
      </c>
      <c r="I422">
        <v>124806</v>
      </c>
      <c r="J422">
        <v>4.5</v>
      </c>
      <c r="K422">
        <v>1.3</v>
      </c>
      <c r="L422">
        <v>2615</v>
      </c>
      <c r="M422">
        <v>1864</v>
      </c>
      <c r="N422">
        <v>21</v>
      </c>
      <c r="O422">
        <v>0.71281070745697894</v>
      </c>
    </row>
    <row r="423" spans="1:15" x14ac:dyDescent="0.3">
      <c r="A423" s="13" t="s">
        <v>40</v>
      </c>
      <c r="B423" s="12" t="s">
        <v>29</v>
      </c>
      <c r="C423" s="12" t="s">
        <v>31</v>
      </c>
      <c r="D423">
        <v>11</v>
      </c>
      <c r="E423">
        <v>32</v>
      </c>
      <c r="F423">
        <v>8</v>
      </c>
      <c r="G423" t="b">
        <v>1</v>
      </c>
      <c r="H423">
        <v>19.350000000000001</v>
      </c>
      <c r="I423">
        <v>69121</v>
      </c>
      <c r="J423">
        <v>4.5</v>
      </c>
      <c r="K423">
        <v>1.1000000000000001</v>
      </c>
      <c r="L423">
        <v>0</v>
      </c>
      <c r="M423">
        <v>0</v>
      </c>
      <c r="N423">
        <v>21</v>
      </c>
      <c r="O423" t="e">
        <v>#DIV/0!</v>
      </c>
    </row>
    <row r="424" spans="1:15" x14ac:dyDescent="0.3">
      <c r="A424" s="13" t="s">
        <v>40</v>
      </c>
      <c r="B424" s="12" t="s">
        <v>29</v>
      </c>
      <c r="C424" s="12" t="s">
        <v>31</v>
      </c>
      <c r="D424">
        <v>12</v>
      </c>
      <c r="E424">
        <v>33</v>
      </c>
      <c r="F424">
        <v>8</v>
      </c>
      <c r="G424" t="b">
        <v>1</v>
      </c>
      <c r="H424">
        <v>19.350000000000001</v>
      </c>
      <c r="I424">
        <v>69121</v>
      </c>
      <c r="J424">
        <v>4.5</v>
      </c>
      <c r="K424">
        <v>1.1000000000000001</v>
      </c>
      <c r="L424">
        <v>0</v>
      </c>
      <c r="M424">
        <v>0</v>
      </c>
      <c r="N424">
        <v>21</v>
      </c>
      <c r="O424" t="e">
        <v>#DIV/0!</v>
      </c>
    </row>
    <row r="425" spans="1:15" x14ac:dyDescent="0.3">
      <c r="A425" s="13" t="s">
        <v>40</v>
      </c>
      <c r="B425" s="12" t="s">
        <v>29</v>
      </c>
      <c r="C425" s="12" t="s">
        <v>31</v>
      </c>
      <c r="D425">
        <v>13</v>
      </c>
      <c r="E425">
        <v>34</v>
      </c>
      <c r="F425">
        <v>8</v>
      </c>
      <c r="G425" t="b">
        <v>0</v>
      </c>
      <c r="H425">
        <v>19.350000000000001</v>
      </c>
      <c r="I425">
        <v>69121</v>
      </c>
      <c r="J425">
        <v>4.5</v>
      </c>
      <c r="K425">
        <v>1.1000000000000001</v>
      </c>
      <c r="L425">
        <v>0</v>
      </c>
      <c r="M425">
        <v>0</v>
      </c>
      <c r="N425">
        <v>21</v>
      </c>
      <c r="O425" t="e">
        <v>#DIV/0!</v>
      </c>
    </row>
    <row r="426" spans="1:15" x14ac:dyDescent="0.3">
      <c r="A426" s="13" t="s">
        <v>40</v>
      </c>
      <c r="B426" s="12" t="s">
        <v>29</v>
      </c>
      <c r="C426" s="12" t="s">
        <v>31</v>
      </c>
      <c r="D426">
        <v>12</v>
      </c>
      <c r="E426">
        <v>35</v>
      </c>
      <c r="F426">
        <v>8</v>
      </c>
      <c r="G426" t="b">
        <v>0</v>
      </c>
      <c r="H426">
        <v>19.350000000000001</v>
      </c>
      <c r="I426">
        <v>69121</v>
      </c>
      <c r="J426">
        <v>4.5</v>
      </c>
      <c r="K426">
        <v>1.1000000000000001</v>
      </c>
      <c r="L426">
        <v>0</v>
      </c>
      <c r="M426">
        <v>56</v>
      </c>
      <c r="N426">
        <v>23</v>
      </c>
      <c r="O426" t="e">
        <v>#DIV/0!</v>
      </c>
    </row>
    <row r="427" spans="1:15" x14ac:dyDescent="0.3">
      <c r="A427" s="13" t="s">
        <v>40</v>
      </c>
      <c r="B427" s="12" t="s">
        <v>29</v>
      </c>
      <c r="C427" s="12" t="s">
        <v>31</v>
      </c>
      <c r="D427">
        <v>19</v>
      </c>
      <c r="E427">
        <v>36</v>
      </c>
      <c r="F427">
        <v>9</v>
      </c>
      <c r="G427" t="b">
        <v>0</v>
      </c>
      <c r="H427">
        <v>19.350000000000001</v>
      </c>
      <c r="I427">
        <v>121666</v>
      </c>
      <c r="J427">
        <v>4.5</v>
      </c>
      <c r="K427">
        <v>0.7</v>
      </c>
      <c r="L427">
        <v>452</v>
      </c>
      <c r="M427">
        <v>508</v>
      </c>
      <c r="N427">
        <v>17</v>
      </c>
      <c r="O427">
        <v>1.1238938053097345</v>
      </c>
    </row>
    <row r="428" spans="1:15" x14ac:dyDescent="0.3">
      <c r="A428" s="13" t="s">
        <v>40</v>
      </c>
      <c r="B428" s="12" t="s">
        <v>29</v>
      </c>
      <c r="C428" s="12" t="s">
        <v>31</v>
      </c>
      <c r="D428">
        <v>19</v>
      </c>
      <c r="E428">
        <v>37</v>
      </c>
      <c r="F428">
        <v>9</v>
      </c>
      <c r="G428" t="b">
        <v>0</v>
      </c>
      <c r="H428">
        <v>19.350000000000001</v>
      </c>
      <c r="I428">
        <v>121666</v>
      </c>
      <c r="J428">
        <v>4.5</v>
      </c>
      <c r="K428">
        <v>0.7</v>
      </c>
      <c r="L428">
        <v>562</v>
      </c>
      <c r="M428">
        <v>662</v>
      </c>
      <c r="N428">
        <v>18</v>
      </c>
      <c r="O428">
        <v>1.1779359430604983</v>
      </c>
    </row>
    <row r="429" spans="1:15" x14ac:dyDescent="0.3">
      <c r="A429" s="13" t="s">
        <v>40</v>
      </c>
      <c r="B429" s="12" t="s">
        <v>29</v>
      </c>
      <c r="C429" s="12" t="s">
        <v>31</v>
      </c>
      <c r="D429">
        <v>19</v>
      </c>
      <c r="E429">
        <v>38</v>
      </c>
      <c r="F429">
        <v>9</v>
      </c>
      <c r="G429" t="b">
        <v>0</v>
      </c>
      <c r="H429">
        <v>19.350000000000001</v>
      </c>
      <c r="I429">
        <v>121666</v>
      </c>
      <c r="J429">
        <v>3.9</v>
      </c>
      <c r="K429">
        <v>0.7</v>
      </c>
      <c r="L429">
        <v>1176</v>
      </c>
      <c r="M429">
        <v>1814</v>
      </c>
      <c r="N429">
        <v>19</v>
      </c>
      <c r="O429">
        <v>1.5425170068027212</v>
      </c>
    </row>
    <row r="430" spans="1:15" x14ac:dyDescent="0.3">
      <c r="A430" s="13" t="s">
        <v>40</v>
      </c>
      <c r="B430" s="12" t="s">
        <v>29</v>
      </c>
      <c r="C430" s="12" t="s">
        <v>31</v>
      </c>
      <c r="D430">
        <v>19</v>
      </c>
      <c r="E430">
        <v>39</v>
      </c>
      <c r="F430">
        <v>9</v>
      </c>
      <c r="G430" t="b">
        <v>0</v>
      </c>
      <c r="H430">
        <v>19.350000000000001</v>
      </c>
      <c r="I430">
        <v>121666</v>
      </c>
      <c r="J430">
        <v>3.9</v>
      </c>
      <c r="K430">
        <v>0.7</v>
      </c>
      <c r="L430">
        <v>1612</v>
      </c>
      <c r="M430">
        <v>2597</v>
      </c>
      <c r="N430">
        <v>20</v>
      </c>
      <c r="O430">
        <v>1.6110421836228288</v>
      </c>
    </row>
    <row r="431" spans="1:15" x14ac:dyDescent="0.3">
      <c r="A431" s="13" t="s">
        <v>40</v>
      </c>
      <c r="B431" s="12" t="s">
        <v>29</v>
      </c>
      <c r="C431" s="12" t="s">
        <v>31</v>
      </c>
      <c r="D431">
        <v>24</v>
      </c>
      <c r="E431">
        <v>40</v>
      </c>
      <c r="F431">
        <v>9</v>
      </c>
      <c r="G431" t="b">
        <v>0</v>
      </c>
      <c r="H431">
        <v>19.350000000000001</v>
      </c>
      <c r="I431">
        <v>121666</v>
      </c>
      <c r="J431">
        <v>3.9</v>
      </c>
      <c r="K431">
        <v>0.7</v>
      </c>
      <c r="L431">
        <v>2523</v>
      </c>
      <c r="M431">
        <v>2255</v>
      </c>
      <c r="N431">
        <v>16</v>
      </c>
      <c r="O431">
        <v>0.89377724930638125</v>
      </c>
    </row>
    <row r="432" spans="1:15" x14ac:dyDescent="0.3">
      <c r="A432" s="13" t="s">
        <v>40</v>
      </c>
      <c r="B432" s="12" t="s">
        <v>29</v>
      </c>
      <c r="C432" s="12" t="s">
        <v>31</v>
      </c>
      <c r="D432">
        <v>24</v>
      </c>
      <c r="E432">
        <v>41</v>
      </c>
      <c r="F432">
        <v>10</v>
      </c>
      <c r="G432" t="b">
        <v>0</v>
      </c>
      <c r="H432">
        <v>19.350000000000001</v>
      </c>
      <c r="I432">
        <v>126488</v>
      </c>
      <c r="J432">
        <v>3.9</v>
      </c>
      <c r="K432">
        <v>0.9</v>
      </c>
      <c r="L432">
        <v>2225</v>
      </c>
      <c r="M432">
        <v>2235</v>
      </c>
      <c r="N432">
        <v>17</v>
      </c>
      <c r="O432">
        <v>1.0044943820224719</v>
      </c>
    </row>
    <row r="433" spans="1:15" x14ac:dyDescent="0.3">
      <c r="A433" s="13" t="s">
        <v>40</v>
      </c>
      <c r="B433" s="12" t="s">
        <v>29</v>
      </c>
      <c r="C433" s="12" t="s">
        <v>31</v>
      </c>
      <c r="D433">
        <v>24</v>
      </c>
      <c r="E433">
        <v>42</v>
      </c>
      <c r="F433">
        <v>10</v>
      </c>
      <c r="G433" t="b">
        <v>0</v>
      </c>
      <c r="H433">
        <v>19.350000000000001</v>
      </c>
      <c r="I433">
        <v>126488</v>
      </c>
      <c r="J433">
        <v>3.9</v>
      </c>
      <c r="K433">
        <v>0.9</v>
      </c>
      <c r="L433">
        <v>2639</v>
      </c>
      <c r="M433">
        <v>2563</v>
      </c>
      <c r="N433">
        <v>18</v>
      </c>
      <c r="O433">
        <v>0.97120121258052294</v>
      </c>
    </row>
    <row r="434" spans="1:15" x14ac:dyDescent="0.3">
      <c r="A434" s="13" t="s">
        <v>40</v>
      </c>
      <c r="B434" s="12" t="s">
        <v>29</v>
      </c>
      <c r="C434" s="12" t="s">
        <v>31</v>
      </c>
      <c r="D434">
        <v>22</v>
      </c>
      <c r="E434">
        <v>43</v>
      </c>
      <c r="F434">
        <v>10</v>
      </c>
      <c r="G434" t="b">
        <v>0</v>
      </c>
      <c r="H434">
        <v>19.350000000000001</v>
      </c>
      <c r="I434">
        <v>126488</v>
      </c>
      <c r="J434">
        <v>3.65</v>
      </c>
      <c r="K434">
        <v>0.9</v>
      </c>
      <c r="L434">
        <v>2523</v>
      </c>
      <c r="M434">
        <v>1436</v>
      </c>
      <c r="N434">
        <v>21</v>
      </c>
      <c r="O434">
        <v>0.56916369401506139</v>
      </c>
    </row>
    <row r="435" spans="1:15" x14ac:dyDescent="0.3">
      <c r="A435" s="13" t="s">
        <v>40</v>
      </c>
      <c r="B435" s="12" t="s">
        <v>29</v>
      </c>
      <c r="C435" s="12" t="s">
        <v>31</v>
      </c>
      <c r="D435">
        <v>23</v>
      </c>
      <c r="E435">
        <v>44</v>
      </c>
      <c r="F435">
        <v>10</v>
      </c>
      <c r="G435" t="b">
        <v>1</v>
      </c>
      <c r="H435">
        <v>19.350000000000001</v>
      </c>
      <c r="I435">
        <v>126488</v>
      </c>
      <c r="J435">
        <v>3.65</v>
      </c>
      <c r="K435">
        <v>0.9</v>
      </c>
      <c r="L435">
        <v>1780</v>
      </c>
      <c r="M435">
        <v>1436</v>
      </c>
      <c r="N435">
        <v>21</v>
      </c>
      <c r="O435">
        <v>0.80674157303370786</v>
      </c>
    </row>
    <row r="436" spans="1:15" x14ac:dyDescent="0.3">
      <c r="A436" s="13" t="s">
        <v>40</v>
      </c>
      <c r="B436" s="12" t="s">
        <v>29</v>
      </c>
      <c r="C436" s="12" t="s">
        <v>31</v>
      </c>
      <c r="D436">
        <v>31</v>
      </c>
      <c r="E436">
        <v>45</v>
      </c>
      <c r="F436">
        <v>11</v>
      </c>
      <c r="G436" t="b">
        <v>0</v>
      </c>
      <c r="H436">
        <v>19.350000000000001</v>
      </c>
      <c r="I436">
        <v>124251</v>
      </c>
      <c r="J436">
        <v>3.65</v>
      </c>
      <c r="K436">
        <v>1.3</v>
      </c>
      <c r="L436">
        <v>2604</v>
      </c>
      <c r="M436">
        <v>2211</v>
      </c>
      <c r="N436">
        <v>14</v>
      </c>
      <c r="O436">
        <v>0.84907834101382484</v>
      </c>
    </row>
    <row r="437" spans="1:15" x14ac:dyDescent="0.3">
      <c r="A437" s="13" t="s">
        <v>40</v>
      </c>
      <c r="B437" s="12" t="s">
        <v>29</v>
      </c>
      <c r="C437" s="12" t="s">
        <v>31</v>
      </c>
      <c r="D437">
        <v>30</v>
      </c>
      <c r="E437">
        <v>46</v>
      </c>
      <c r="F437">
        <v>11</v>
      </c>
      <c r="G437" t="b">
        <v>0</v>
      </c>
      <c r="H437">
        <v>19.350000000000001</v>
      </c>
      <c r="I437">
        <v>124251</v>
      </c>
      <c r="J437">
        <v>3.65</v>
      </c>
      <c r="K437">
        <v>1.3</v>
      </c>
      <c r="L437">
        <v>2430</v>
      </c>
      <c r="M437">
        <v>1874</v>
      </c>
      <c r="N437">
        <v>16</v>
      </c>
      <c r="O437">
        <v>0.77119341563786004</v>
      </c>
    </row>
    <row r="438" spans="1:15" x14ac:dyDescent="0.3">
      <c r="A438" s="13" t="s">
        <v>40</v>
      </c>
      <c r="B438" s="12" t="s">
        <v>29</v>
      </c>
      <c r="C438" s="12" t="s">
        <v>31</v>
      </c>
      <c r="D438">
        <v>29</v>
      </c>
      <c r="E438">
        <v>47</v>
      </c>
      <c r="F438">
        <v>11</v>
      </c>
      <c r="G438" t="b">
        <v>0</v>
      </c>
      <c r="H438">
        <v>19.350000000000001</v>
      </c>
      <c r="I438">
        <v>124251</v>
      </c>
      <c r="J438">
        <v>3.65</v>
      </c>
      <c r="K438">
        <v>1.3</v>
      </c>
      <c r="L438">
        <v>2605</v>
      </c>
      <c r="M438">
        <v>2143</v>
      </c>
      <c r="N438">
        <v>18</v>
      </c>
      <c r="O438">
        <v>0.8226487523992323</v>
      </c>
    </row>
    <row r="439" spans="1:15" x14ac:dyDescent="0.3">
      <c r="A439" s="13" t="s">
        <v>40</v>
      </c>
      <c r="B439" s="12" t="s">
        <v>29</v>
      </c>
      <c r="C439" s="12" t="s">
        <v>31</v>
      </c>
      <c r="D439">
        <v>29</v>
      </c>
      <c r="E439">
        <v>48</v>
      </c>
      <c r="F439">
        <v>11</v>
      </c>
      <c r="G439" t="b">
        <v>0</v>
      </c>
      <c r="H439">
        <v>19.350000000000001</v>
      </c>
      <c r="I439">
        <v>124251</v>
      </c>
      <c r="J439">
        <v>3.65</v>
      </c>
      <c r="K439">
        <v>1.3</v>
      </c>
      <c r="L439">
        <v>2604</v>
      </c>
      <c r="M439">
        <v>2135</v>
      </c>
      <c r="N439">
        <v>19</v>
      </c>
      <c r="O439">
        <v>0.81989247311827962</v>
      </c>
    </row>
    <row r="440" spans="1:15" x14ac:dyDescent="0.3">
      <c r="A440" s="13" t="s">
        <v>40</v>
      </c>
      <c r="B440" s="12" t="s">
        <v>29</v>
      </c>
      <c r="C440" s="12" t="s">
        <v>31</v>
      </c>
      <c r="D440">
        <v>33</v>
      </c>
      <c r="E440">
        <v>49</v>
      </c>
      <c r="F440">
        <v>12</v>
      </c>
      <c r="G440" t="b">
        <v>1</v>
      </c>
      <c r="H440">
        <v>19.350000000000001</v>
      </c>
      <c r="I440">
        <v>105715</v>
      </c>
      <c r="J440">
        <v>3.65</v>
      </c>
      <c r="K440">
        <v>1.3</v>
      </c>
      <c r="L440">
        <v>1676</v>
      </c>
      <c r="M440">
        <v>1512</v>
      </c>
      <c r="N440">
        <v>16</v>
      </c>
      <c r="O440">
        <v>0.90214797136038183</v>
      </c>
    </row>
    <row r="441" spans="1:15" x14ac:dyDescent="0.3">
      <c r="A441" s="13" t="s">
        <v>40</v>
      </c>
      <c r="B441" s="12" t="s">
        <v>29</v>
      </c>
      <c r="C441" s="12" t="s">
        <v>31</v>
      </c>
      <c r="D441">
        <v>33</v>
      </c>
      <c r="E441">
        <v>50</v>
      </c>
      <c r="F441">
        <v>12</v>
      </c>
      <c r="G441" t="b">
        <v>0</v>
      </c>
      <c r="H441">
        <v>19.350000000000001</v>
      </c>
      <c r="I441">
        <v>105715</v>
      </c>
      <c r="J441">
        <v>3.4</v>
      </c>
      <c r="K441">
        <v>1.3</v>
      </c>
      <c r="L441">
        <v>2386</v>
      </c>
      <c r="M441">
        <v>2407</v>
      </c>
      <c r="N441">
        <v>17</v>
      </c>
      <c r="O441">
        <v>1.0088013411567478</v>
      </c>
    </row>
    <row r="442" spans="1:15" x14ac:dyDescent="0.3">
      <c r="A442" s="13" t="s">
        <v>40</v>
      </c>
      <c r="B442" s="12" t="s">
        <v>29</v>
      </c>
      <c r="C442" s="12" t="s">
        <v>31</v>
      </c>
      <c r="D442">
        <v>33</v>
      </c>
      <c r="E442">
        <v>51</v>
      </c>
      <c r="F442">
        <v>12</v>
      </c>
      <c r="G442" t="b">
        <v>0</v>
      </c>
      <c r="H442">
        <v>19.350000000000001</v>
      </c>
      <c r="I442">
        <v>105715</v>
      </c>
      <c r="J442">
        <v>3.4</v>
      </c>
      <c r="K442">
        <v>1.3</v>
      </c>
      <c r="L442">
        <v>1604</v>
      </c>
      <c r="M442">
        <v>1840</v>
      </c>
      <c r="N442">
        <v>18</v>
      </c>
      <c r="O442">
        <v>1.1471321695760599</v>
      </c>
    </row>
    <row r="443" spans="1:15" x14ac:dyDescent="0.3">
      <c r="A443" s="13" t="s">
        <v>40</v>
      </c>
      <c r="B443" s="12" t="s">
        <v>29</v>
      </c>
      <c r="C443" s="12" t="s">
        <v>31</v>
      </c>
      <c r="D443">
        <v>34</v>
      </c>
      <c r="E443">
        <v>52</v>
      </c>
      <c r="F443">
        <v>12</v>
      </c>
      <c r="G443" t="b">
        <v>1</v>
      </c>
      <c r="H443">
        <v>19.350000000000001</v>
      </c>
      <c r="I443">
        <v>105715</v>
      </c>
      <c r="J443">
        <v>3.4</v>
      </c>
      <c r="K443">
        <v>1.3</v>
      </c>
      <c r="L443">
        <v>0</v>
      </c>
      <c r="M443">
        <v>0</v>
      </c>
      <c r="N443">
        <v>18</v>
      </c>
      <c r="O443" t="e">
        <v>#DIV/0!</v>
      </c>
    </row>
    <row r="444" spans="1:15" x14ac:dyDescent="0.3">
      <c r="A444" s="13" t="s">
        <v>40</v>
      </c>
      <c r="B444" s="12" t="s">
        <v>29</v>
      </c>
      <c r="C444" s="12" t="s">
        <v>31</v>
      </c>
      <c r="D444">
        <v>37</v>
      </c>
      <c r="E444">
        <v>1</v>
      </c>
      <c r="F444">
        <v>12</v>
      </c>
      <c r="G444" t="b">
        <v>1</v>
      </c>
      <c r="H444">
        <v>19.350000000000001</v>
      </c>
      <c r="I444">
        <v>105715</v>
      </c>
      <c r="J444">
        <v>3.4</v>
      </c>
      <c r="K444">
        <v>1.3</v>
      </c>
      <c r="L444">
        <v>0</v>
      </c>
      <c r="M444">
        <v>0</v>
      </c>
      <c r="N444">
        <v>16</v>
      </c>
      <c r="O444" t="e">
        <v>#DIV/0!</v>
      </c>
    </row>
    <row r="445" spans="1:15" x14ac:dyDescent="0.3">
      <c r="A445" s="13" t="s">
        <v>40</v>
      </c>
      <c r="B445" s="12" t="s">
        <v>29</v>
      </c>
      <c r="C445" s="12" t="s">
        <v>31</v>
      </c>
      <c r="D445">
        <v>37</v>
      </c>
      <c r="E445">
        <v>2</v>
      </c>
      <c r="F445">
        <v>1</v>
      </c>
      <c r="G445" t="b">
        <v>1</v>
      </c>
      <c r="H445">
        <v>19.350000000000001</v>
      </c>
      <c r="I445">
        <v>133692</v>
      </c>
      <c r="J445">
        <v>3.4</v>
      </c>
      <c r="K445">
        <v>1.5</v>
      </c>
      <c r="L445">
        <v>1685</v>
      </c>
      <c r="M445">
        <v>1510</v>
      </c>
      <c r="N445">
        <v>17</v>
      </c>
      <c r="O445">
        <v>0.89614243323442133</v>
      </c>
    </row>
    <row r="446" spans="1:15" x14ac:dyDescent="0.3">
      <c r="A446" s="13" t="s">
        <v>40</v>
      </c>
      <c r="B446" s="12" t="s">
        <v>29</v>
      </c>
      <c r="C446" s="12" t="s">
        <v>31</v>
      </c>
      <c r="D446">
        <v>37</v>
      </c>
      <c r="E446">
        <v>3</v>
      </c>
      <c r="F446">
        <v>1</v>
      </c>
      <c r="G446" t="b">
        <v>0</v>
      </c>
      <c r="H446">
        <v>19.350000000000001</v>
      </c>
      <c r="I446">
        <v>133692</v>
      </c>
      <c r="J446">
        <v>3.4</v>
      </c>
      <c r="K446">
        <v>1.5</v>
      </c>
      <c r="L446">
        <v>1919</v>
      </c>
      <c r="M446">
        <v>1927</v>
      </c>
      <c r="N446">
        <v>18</v>
      </c>
      <c r="O446">
        <v>1.0041688379364253</v>
      </c>
    </row>
    <row r="447" spans="1:15" x14ac:dyDescent="0.3">
      <c r="A447" s="13" t="s">
        <v>40</v>
      </c>
      <c r="B447" s="12" t="s">
        <v>29</v>
      </c>
      <c r="C447" s="12" t="s">
        <v>31</v>
      </c>
      <c r="D447">
        <v>37</v>
      </c>
      <c r="E447">
        <v>4</v>
      </c>
      <c r="F447">
        <v>1</v>
      </c>
      <c r="G447" t="b">
        <v>0</v>
      </c>
      <c r="H447">
        <v>19.350000000000001</v>
      </c>
      <c r="I447">
        <v>133692</v>
      </c>
      <c r="J447">
        <v>3.4</v>
      </c>
      <c r="K447">
        <v>1.5</v>
      </c>
      <c r="L447">
        <v>2126</v>
      </c>
      <c r="M447">
        <v>2107</v>
      </c>
      <c r="N447">
        <v>19</v>
      </c>
      <c r="O447">
        <v>0.99106302916274691</v>
      </c>
    </row>
    <row r="448" spans="1:15" x14ac:dyDescent="0.3">
      <c r="A448" s="13" t="s">
        <v>40</v>
      </c>
      <c r="B448" s="12" t="s">
        <v>29</v>
      </c>
      <c r="C448" s="12" t="s">
        <v>31</v>
      </c>
      <c r="D448">
        <v>37</v>
      </c>
      <c r="E448">
        <v>5</v>
      </c>
      <c r="F448">
        <v>1</v>
      </c>
      <c r="G448" t="b">
        <v>0</v>
      </c>
      <c r="H448">
        <v>19.350000000000001</v>
      </c>
      <c r="I448">
        <v>133692</v>
      </c>
      <c r="J448">
        <v>3.4</v>
      </c>
      <c r="K448">
        <v>1.5</v>
      </c>
      <c r="L448">
        <v>2153</v>
      </c>
      <c r="M448">
        <v>2104</v>
      </c>
      <c r="N448">
        <v>20</v>
      </c>
      <c r="O448">
        <v>0.97724105898745939</v>
      </c>
    </row>
    <row r="449" spans="1:15" x14ac:dyDescent="0.3">
      <c r="A449" s="13" t="s">
        <v>40</v>
      </c>
      <c r="B449" s="12" t="s">
        <v>29</v>
      </c>
      <c r="C449" s="12" t="s">
        <v>31</v>
      </c>
      <c r="D449">
        <v>45</v>
      </c>
      <c r="E449">
        <v>6</v>
      </c>
      <c r="F449">
        <v>2</v>
      </c>
      <c r="G449" t="b">
        <v>0</v>
      </c>
      <c r="H449">
        <v>19.350000000000001</v>
      </c>
      <c r="I449">
        <v>137922</v>
      </c>
      <c r="J449">
        <v>3.15</v>
      </c>
      <c r="K449">
        <v>1.6</v>
      </c>
      <c r="L449">
        <v>2153</v>
      </c>
      <c r="M449">
        <v>1981</v>
      </c>
      <c r="N449">
        <v>13</v>
      </c>
      <c r="O449">
        <v>0.92011147236414303</v>
      </c>
    </row>
    <row r="450" spans="1:15" x14ac:dyDescent="0.3">
      <c r="A450" s="13" t="s">
        <v>40</v>
      </c>
      <c r="B450" s="12" t="s">
        <v>29</v>
      </c>
      <c r="C450" s="12" t="s">
        <v>31</v>
      </c>
      <c r="D450">
        <v>45</v>
      </c>
      <c r="E450">
        <v>7</v>
      </c>
      <c r="F450">
        <v>2</v>
      </c>
      <c r="G450" t="b">
        <v>0</v>
      </c>
      <c r="H450">
        <v>19.350000000000001</v>
      </c>
      <c r="I450">
        <v>137922</v>
      </c>
      <c r="J450">
        <v>3.15</v>
      </c>
      <c r="K450">
        <v>1.6</v>
      </c>
      <c r="L450">
        <v>2020</v>
      </c>
      <c r="M450">
        <v>2100</v>
      </c>
      <c r="N450">
        <v>14</v>
      </c>
      <c r="O450">
        <v>1.0396039603960396</v>
      </c>
    </row>
    <row r="451" spans="1:15" x14ac:dyDescent="0.3">
      <c r="A451" s="13" t="s">
        <v>40</v>
      </c>
      <c r="B451" s="12" t="s">
        <v>29</v>
      </c>
      <c r="C451" s="12" t="s">
        <v>31</v>
      </c>
      <c r="D451">
        <v>45</v>
      </c>
      <c r="E451">
        <v>8</v>
      </c>
      <c r="F451">
        <v>2</v>
      </c>
      <c r="G451" t="b">
        <v>0</v>
      </c>
      <c r="H451">
        <v>19.350000000000001</v>
      </c>
      <c r="I451">
        <v>137922</v>
      </c>
      <c r="J451">
        <v>3.15</v>
      </c>
      <c r="K451">
        <v>1.6</v>
      </c>
      <c r="L451">
        <v>2125</v>
      </c>
      <c r="M451">
        <v>2137</v>
      </c>
      <c r="N451">
        <v>15</v>
      </c>
      <c r="O451">
        <v>1.0056470588235293</v>
      </c>
    </row>
    <row r="452" spans="1:15" x14ac:dyDescent="0.3">
      <c r="A452" s="13" t="s">
        <v>40</v>
      </c>
      <c r="B452" s="12" t="s">
        <v>29</v>
      </c>
      <c r="C452" s="12" t="s">
        <v>31</v>
      </c>
      <c r="D452">
        <v>45</v>
      </c>
      <c r="E452">
        <v>9</v>
      </c>
      <c r="F452">
        <v>2</v>
      </c>
      <c r="G452" t="b">
        <v>0</v>
      </c>
      <c r="H452">
        <v>19.350000000000001</v>
      </c>
      <c r="I452">
        <v>137922</v>
      </c>
      <c r="J452">
        <v>3.15</v>
      </c>
      <c r="K452">
        <v>1.6</v>
      </c>
      <c r="L452">
        <v>2154</v>
      </c>
      <c r="M452">
        <v>1993</v>
      </c>
      <c r="N452">
        <v>16</v>
      </c>
      <c r="O452">
        <v>0.92525533890436396</v>
      </c>
    </row>
    <row r="453" spans="1:15" x14ac:dyDescent="0.3">
      <c r="A453" s="13" t="s">
        <v>40</v>
      </c>
      <c r="B453" s="12" t="s">
        <v>29</v>
      </c>
      <c r="C453" s="12" t="s">
        <v>31</v>
      </c>
      <c r="D453">
        <v>51</v>
      </c>
      <c r="E453">
        <v>10</v>
      </c>
      <c r="F453">
        <v>3</v>
      </c>
      <c r="G453" t="b">
        <v>0</v>
      </c>
      <c r="H453">
        <v>19.350000000000001</v>
      </c>
      <c r="I453">
        <v>172223</v>
      </c>
      <c r="J453">
        <v>3.15</v>
      </c>
      <c r="K453">
        <v>1.9</v>
      </c>
      <c r="L453">
        <v>2052</v>
      </c>
      <c r="M453">
        <v>2087</v>
      </c>
      <c r="N453">
        <v>11</v>
      </c>
      <c r="O453">
        <v>1.017056530214425</v>
      </c>
    </row>
    <row r="454" spans="1:15" x14ac:dyDescent="0.3">
      <c r="A454" s="13" t="s">
        <v>40</v>
      </c>
      <c r="B454" s="12" t="s">
        <v>29</v>
      </c>
      <c r="C454" s="12" t="s">
        <v>31</v>
      </c>
      <c r="D454">
        <v>51</v>
      </c>
      <c r="E454">
        <v>11</v>
      </c>
      <c r="F454">
        <v>3</v>
      </c>
      <c r="G454" t="b">
        <v>0</v>
      </c>
      <c r="H454">
        <v>19.350000000000001</v>
      </c>
      <c r="I454">
        <v>172223</v>
      </c>
      <c r="J454">
        <v>2.9</v>
      </c>
      <c r="K454">
        <v>1.9</v>
      </c>
      <c r="L454">
        <v>2025</v>
      </c>
      <c r="M454">
        <v>2127</v>
      </c>
      <c r="N454">
        <v>12</v>
      </c>
      <c r="O454">
        <v>1.0503703703703704</v>
      </c>
    </row>
    <row r="455" spans="1:15" x14ac:dyDescent="0.3">
      <c r="A455" s="13" t="s">
        <v>40</v>
      </c>
      <c r="B455" s="12" t="s">
        <v>29</v>
      </c>
      <c r="C455" s="12" t="s">
        <v>31</v>
      </c>
      <c r="D455">
        <v>51</v>
      </c>
      <c r="E455">
        <v>12</v>
      </c>
      <c r="F455">
        <v>3</v>
      </c>
      <c r="G455" t="b">
        <v>0</v>
      </c>
      <c r="H455">
        <v>19.350000000000001</v>
      </c>
      <c r="I455">
        <v>172223</v>
      </c>
      <c r="J455">
        <v>2.9</v>
      </c>
      <c r="K455">
        <v>1.9</v>
      </c>
      <c r="L455">
        <v>1893</v>
      </c>
      <c r="M455">
        <v>2014</v>
      </c>
      <c r="N455">
        <v>13</v>
      </c>
      <c r="O455">
        <v>1.06391970417327</v>
      </c>
    </row>
    <row r="456" spans="1:15" x14ac:dyDescent="0.3">
      <c r="A456" s="13" t="s">
        <v>40</v>
      </c>
      <c r="B456" s="12" t="s">
        <v>29</v>
      </c>
      <c r="C456" s="12" t="s">
        <v>31</v>
      </c>
      <c r="D456">
        <v>51</v>
      </c>
      <c r="E456">
        <v>13</v>
      </c>
      <c r="F456">
        <v>3</v>
      </c>
      <c r="G456" t="b">
        <v>0</v>
      </c>
      <c r="H456">
        <v>19.350000000000001</v>
      </c>
      <c r="I456">
        <v>172223</v>
      </c>
      <c r="J456">
        <v>2.9</v>
      </c>
      <c r="K456">
        <v>1.9</v>
      </c>
      <c r="L456">
        <v>2047</v>
      </c>
      <c r="M456">
        <v>2114</v>
      </c>
      <c r="N456">
        <v>14</v>
      </c>
      <c r="O456">
        <v>1.0327308255984367</v>
      </c>
    </row>
    <row r="457" spans="1:15" x14ac:dyDescent="0.3">
      <c r="A457" s="13" t="s">
        <v>40</v>
      </c>
      <c r="B457" s="12" t="s">
        <v>29</v>
      </c>
      <c r="C457" s="12" t="s">
        <v>31</v>
      </c>
      <c r="D457">
        <v>3</v>
      </c>
      <c r="E457">
        <v>14</v>
      </c>
      <c r="F457">
        <v>3</v>
      </c>
      <c r="G457" t="b">
        <v>0</v>
      </c>
      <c r="H457">
        <v>19.350000000000001</v>
      </c>
      <c r="I457">
        <v>172223</v>
      </c>
      <c r="J457">
        <v>2.9</v>
      </c>
      <c r="K457">
        <v>1.9</v>
      </c>
      <c r="L457">
        <v>2050</v>
      </c>
      <c r="M457">
        <v>2106</v>
      </c>
      <c r="N457">
        <v>11</v>
      </c>
      <c r="O457">
        <v>1.0273170731707317</v>
      </c>
    </row>
    <row r="458" spans="1:15" x14ac:dyDescent="0.3">
      <c r="A458" s="13" t="s">
        <v>40</v>
      </c>
      <c r="B458" s="12" t="s">
        <v>29</v>
      </c>
      <c r="C458" s="12" t="s">
        <v>31</v>
      </c>
      <c r="D458">
        <v>3</v>
      </c>
      <c r="E458">
        <v>15</v>
      </c>
      <c r="F458">
        <v>4</v>
      </c>
      <c r="G458" t="b">
        <v>0</v>
      </c>
      <c r="H458">
        <v>19.350000000000001</v>
      </c>
      <c r="I458">
        <v>139084</v>
      </c>
      <c r="J458">
        <v>2.9</v>
      </c>
      <c r="K458">
        <v>1.9</v>
      </c>
      <c r="L458">
        <v>1868</v>
      </c>
      <c r="M458">
        <v>1951</v>
      </c>
      <c r="N458">
        <v>12</v>
      </c>
      <c r="O458">
        <v>1.0444325481798715</v>
      </c>
    </row>
    <row r="459" spans="1:15" x14ac:dyDescent="0.3">
      <c r="A459" s="13" t="s">
        <v>40</v>
      </c>
      <c r="B459" s="12" t="s">
        <v>29</v>
      </c>
      <c r="C459" s="12" t="s">
        <v>31</v>
      </c>
      <c r="D459">
        <v>3</v>
      </c>
      <c r="E459">
        <v>16</v>
      </c>
      <c r="F459">
        <v>4</v>
      </c>
      <c r="G459" t="b">
        <v>0</v>
      </c>
      <c r="H459">
        <v>19.350000000000001</v>
      </c>
      <c r="I459">
        <v>139084</v>
      </c>
      <c r="J459">
        <v>2.9</v>
      </c>
      <c r="K459">
        <v>1.9</v>
      </c>
      <c r="L459">
        <v>1388</v>
      </c>
      <c r="M459">
        <v>1465</v>
      </c>
      <c r="N459">
        <v>13</v>
      </c>
      <c r="O459">
        <v>1.0554755043227666</v>
      </c>
    </row>
    <row r="460" spans="1:15" x14ac:dyDescent="0.3">
      <c r="A460" s="13" t="s">
        <v>40</v>
      </c>
      <c r="B460" s="12" t="s">
        <v>29</v>
      </c>
      <c r="C460" s="12" t="s">
        <v>31</v>
      </c>
      <c r="D460">
        <v>3</v>
      </c>
      <c r="E460">
        <v>17</v>
      </c>
      <c r="F460">
        <v>4</v>
      </c>
      <c r="G460" t="b">
        <v>1</v>
      </c>
      <c r="H460">
        <v>19.350000000000001</v>
      </c>
      <c r="I460">
        <v>139084</v>
      </c>
      <c r="J460">
        <v>2.65</v>
      </c>
      <c r="K460">
        <v>1.9</v>
      </c>
      <c r="L460">
        <v>1698</v>
      </c>
      <c r="M460">
        <v>1793</v>
      </c>
      <c r="N460">
        <v>14</v>
      </c>
      <c r="O460">
        <v>1.0559481743227326</v>
      </c>
    </row>
    <row r="461" spans="1:15" x14ac:dyDescent="0.3">
      <c r="A461" s="13" t="s">
        <v>40</v>
      </c>
      <c r="B461" s="12" t="s">
        <v>29</v>
      </c>
      <c r="C461" s="12" t="s">
        <v>31</v>
      </c>
      <c r="D461">
        <v>3</v>
      </c>
      <c r="E461">
        <v>18</v>
      </c>
      <c r="F461">
        <v>4</v>
      </c>
      <c r="G461" t="b">
        <v>1</v>
      </c>
      <c r="H461">
        <v>19.350000000000001</v>
      </c>
      <c r="I461">
        <v>139084</v>
      </c>
      <c r="J461">
        <v>2.65</v>
      </c>
      <c r="K461">
        <v>1.9</v>
      </c>
      <c r="L461">
        <v>1546</v>
      </c>
      <c r="M461">
        <v>1667</v>
      </c>
      <c r="N461">
        <v>15</v>
      </c>
      <c r="O461">
        <v>1.0782664941785252</v>
      </c>
    </row>
    <row r="462" spans="1:15" x14ac:dyDescent="0.3">
      <c r="A462" s="13" t="s">
        <v>40</v>
      </c>
      <c r="B462" s="12" t="s">
        <v>29</v>
      </c>
      <c r="C462" s="12" t="s">
        <v>31</v>
      </c>
      <c r="D462">
        <v>6</v>
      </c>
      <c r="E462">
        <v>19</v>
      </c>
      <c r="F462">
        <v>5</v>
      </c>
      <c r="G462" t="b">
        <v>0</v>
      </c>
      <c r="H462">
        <v>19.350000000000001</v>
      </c>
      <c r="I462">
        <v>139390</v>
      </c>
      <c r="J462">
        <v>2.65</v>
      </c>
      <c r="K462">
        <v>1.6</v>
      </c>
      <c r="L462">
        <v>2049</v>
      </c>
      <c r="M462">
        <v>2248</v>
      </c>
      <c r="N462">
        <v>13</v>
      </c>
      <c r="O462">
        <v>1.0971205466081015</v>
      </c>
    </row>
    <row r="463" spans="1:15" x14ac:dyDescent="0.3">
      <c r="A463" s="13" t="s">
        <v>40</v>
      </c>
      <c r="B463" s="12" t="s">
        <v>29</v>
      </c>
      <c r="C463" s="12" t="s">
        <v>31</v>
      </c>
      <c r="D463">
        <v>6</v>
      </c>
      <c r="E463">
        <v>20</v>
      </c>
      <c r="F463">
        <v>5</v>
      </c>
      <c r="G463" t="b">
        <v>0</v>
      </c>
      <c r="H463">
        <v>19.350000000000001</v>
      </c>
      <c r="I463">
        <v>139390</v>
      </c>
      <c r="J463">
        <v>2.65</v>
      </c>
      <c r="K463">
        <v>1.6</v>
      </c>
      <c r="L463">
        <v>2024</v>
      </c>
      <c r="M463">
        <v>2252</v>
      </c>
      <c r="N463">
        <v>14</v>
      </c>
      <c r="O463">
        <v>1.1126482213438735</v>
      </c>
    </row>
    <row r="464" spans="1:15" x14ac:dyDescent="0.3">
      <c r="A464" s="13" t="s">
        <v>40</v>
      </c>
      <c r="B464" s="12" t="s">
        <v>29</v>
      </c>
      <c r="C464" s="12" t="s">
        <v>31</v>
      </c>
      <c r="D464">
        <v>6</v>
      </c>
      <c r="E464">
        <v>21</v>
      </c>
      <c r="F464">
        <v>5</v>
      </c>
      <c r="G464" t="b">
        <v>0</v>
      </c>
      <c r="H464">
        <v>19.350000000000001</v>
      </c>
      <c r="I464">
        <v>139390</v>
      </c>
      <c r="J464">
        <v>2.65</v>
      </c>
      <c r="K464">
        <v>1.6</v>
      </c>
      <c r="L464">
        <v>1895</v>
      </c>
      <c r="M464">
        <v>2136</v>
      </c>
      <c r="N464">
        <v>15</v>
      </c>
      <c r="O464">
        <v>1.1271767810026385</v>
      </c>
    </row>
    <row r="465" spans="1:15" x14ac:dyDescent="0.3">
      <c r="A465" s="13" t="s">
        <v>40</v>
      </c>
      <c r="B465" s="12" t="s">
        <v>29</v>
      </c>
      <c r="C465" s="12" t="s">
        <v>31</v>
      </c>
      <c r="D465">
        <v>6</v>
      </c>
      <c r="E465">
        <v>22</v>
      </c>
      <c r="F465">
        <v>5</v>
      </c>
      <c r="G465" t="b">
        <v>0</v>
      </c>
      <c r="H465">
        <v>19.350000000000001</v>
      </c>
      <c r="I465">
        <v>139390</v>
      </c>
      <c r="J465">
        <v>2.65</v>
      </c>
      <c r="K465">
        <v>1.6</v>
      </c>
      <c r="L465">
        <v>2047</v>
      </c>
      <c r="M465">
        <v>2311</v>
      </c>
      <c r="N465">
        <v>16</v>
      </c>
      <c r="O465">
        <v>1.1289692232535418</v>
      </c>
    </row>
    <row r="466" spans="1:15" x14ac:dyDescent="0.3">
      <c r="A466" s="13" t="s">
        <v>40</v>
      </c>
      <c r="B466" s="12" t="s">
        <v>29</v>
      </c>
      <c r="C466" s="12" t="s">
        <v>31</v>
      </c>
      <c r="D466">
        <v>10</v>
      </c>
      <c r="E466">
        <v>23</v>
      </c>
      <c r="F466">
        <v>5</v>
      </c>
      <c r="G466" t="b">
        <v>1</v>
      </c>
      <c r="H466">
        <v>19.350000000000001</v>
      </c>
      <c r="I466">
        <v>139390</v>
      </c>
      <c r="J466">
        <v>2.4</v>
      </c>
      <c r="K466">
        <v>1.6</v>
      </c>
      <c r="L466">
        <v>2049</v>
      </c>
      <c r="M466">
        <v>2401</v>
      </c>
      <c r="N466">
        <v>13</v>
      </c>
      <c r="O466">
        <v>1.1717911176183504</v>
      </c>
    </row>
    <row r="467" spans="1:15" x14ac:dyDescent="0.3">
      <c r="A467" s="13" t="s">
        <v>40</v>
      </c>
      <c r="B467" s="12" t="s">
        <v>29</v>
      </c>
      <c r="C467" s="12" t="s">
        <v>31</v>
      </c>
      <c r="D467">
        <v>10</v>
      </c>
      <c r="E467">
        <v>24</v>
      </c>
      <c r="F467">
        <v>6</v>
      </c>
      <c r="G467" t="b">
        <v>0</v>
      </c>
      <c r="H467">
        <v>19.350000000000001</v>
      </c>
      <c r="I467">
        <v>132191</v>
      </c>
      <c r="J467">
        <v>2.4</v>
      </c>
      <c r="K467">
        <v>1.7</v>
      </c>
      <c r="L467">
        <v>1870</v>
      </c>
      <c r="M467">
        <v>2289</v>
      </c>
      <c r="N467">
        <v>14</v>
      </c>
      <c r="O467">
        <v>1.2240641711229947</v>
      </c>
    </row>
    <row r="468" spans="1:15" x14ac:dyDescent="0.3">
      <c r="A468" s="13" t="s">
        <v>40</v>
      </c>
      <c r="B468" s="12" t="s">
        <v>29</v>
      </c>
      <c r="C468" s="12" t="s">
        <v>31</v>
      </c>
      <c r="D468">
        <v>10</v>
      </c>
      <c r="E468">
        <v>25</v>
      </c>
      <c r="F468">
        <v>6</v>
      </c>
      <c r="G468" t="b">
        <v>0</v>
      </c>
      <c r="H468">
        <v>19.350000000000001</v>
      </c>
      <c r="I468">
        <v>132191</v>
      </c>
      <c r="J468">
        <v>2.4</v>
      </c>
      <c r="K468">
        <v>1.7</v>
      </c>
      <c r="L468">
        <v>1893</v>
      </c>
      <c r="M468">
        <v>2141</v>
      </c>
      <c r="N468">
        <v>15</v>
      </c>
      <c r="O468">
        <v>1.1310089804543053</v>
      </c>
    </row>
    <row r="469" spans="1:15" x14ac:dyDescent="0.3">
      <c r="A469" s="13" t="s">
        <v>40</v>
      </c>
      <c r="B469" s="12" t="s">
        <v>29</v>
      </c>
      <c r="C469" s="12" t="s">
        <v>31</v>
      </c>
      <c r="D469">
        <v>10</v>
      </c>
      <c r="E469">
        <v>26</v>
      </c>
      <c r="F469">
        <v>6</v>
      </c>
      <c r="G469" t="b">
        <v>0</v>
      </c>
      <c r="H469">
        <v>19.350000000000001</v>
      </c>
      <c r="I469">
        <v>132191</v>
      </c>
      <c r="J469">
        <v>2.4</v>
      </c>
      <c r="K469">
        <v>1.7</v>
      </c>
      <c r="L469">
        <v>1341</v>
      </c>
      <c r="M469">
        <v>1621</v>
      </c>
      <c r="N469">
        <v>16</v>
      </c>
      <c r="O469">
        <v>1.2087994034302758</v>
      </c>
    </row>
    <row r="470" spans="1:15" x14ac:dyDescent="0.3">
      <c r="A470" s="13" t="s">
        <v>49</v>
      </c>
      <c r="B470" s="12" t="s">
        <v>29</v>
      </c>
      <c r="C470" s="12" t="s">
        <v>31</v>
      </c>
      <c r="D470">
        <v>11</v>
      </c>
      <c r="E470">
        <v>27</v>
      </c>
      <c r="F470">
        <v>7</v>
      </c>
      <c r="G470" t="b">
        <v>0</v>
      </c>
      <c r="H470">
        <v>19.350000000000001</v>
      </c>
      <c r="I470">
        <v>124806</v>
      </c>
      <c r="J470">
        <v>4.5</v>
      </c>
      <c r="K470">
        <v>1.3</v>
      </c>
      <c r="L470">
        <v>3000</v>
      </c>
      <c r="M470">
        <v>3265</v>
      </c>
      <c r="N470">
        <v>16</v>
      </c>
      <c r="O470">
        <v>1.0883333333333334</v>
      </c>
    </row>
    <row r="471" spans="1:15" x14ac:dyDescent="0.3">
      <c r="A471" s="13" t="s">
        <v>49</v>
      </c>
      <c r="B471" s="12" t="s">
        <v>29</v>
      </c>
      <c r="C471" s="12" t="s">
        <v>31</v>
      </c>
      <c r="D471">
        <v>11</v>
      </c>
      <c r="E471">
        <v>28</v>
      </c>
      <c r="F471">
        <v>7</v>
      </c>
      <c r="G471" t="b">
        <v>0</v>
      </c>
      <c r="H471">
        <v>19.350000000000001</v>
      </c>
      <c r="I471">
        <v>124806</v>
      </c>
      <c r="J471">
        <v>4.5</v>
      </c>
      <c r="K471">
        <v>1.3</v>
      </c>
      <c r="L471">
        <v>2967</v>
      </c>
      <c r="M471">
        <v>2416</v>
      </c>
      <c r="N471">
        <v>17</v>
      </c>
      <c r="O471">
        <v>0.81429052915402766</v>
      </c>
    </row>
    <row r="472" spans="1:15" x14ac:dyDescent="0.3">
      <c r="A472" s="13" t="s">
        <v>49</v>
      </c>
      <c r="B472" s="12" t="s">
        <v>29</v>
      </c>
      <c r="C472" s="12" t="s">
        <v>31</v>
      </c>
      <c r="D472">
        <v>11</v>
      </c>
      <c r="E472">
        <v>29</v>
      </c>
      <c r="F472">
        <v>7</v>
      </c>
      <c r="G472" t="b">
        <v>0</v>
      </c>
      <c r="H472">
        <v>19.350000000000001</v>
      </c>
      <c r="I472">
        <v>124806</v>
      </c>
      <c r="J472">
        <v>4.5</v>
      </c>
      <c r="K472">
        <v>1.3</v>
      </c>
      <c r="L472">
        <v>3000</v>
      </c>
      <c r="M472">
        <v>2280</v>
      </c>
      <c r="N472">
        <v>18</v>
      </c>
      <c r="O472">
        <v>0.76</v>
      </c>
    </row>
    <row r="473" spans="1:15" x14ac:dyDescent="0.3">
      <c r="A473" s="13" t="s">
        <v>49</v>
      </c>
      <c r="B473" s="12" t="s">
        <v>29</v>
      </c>
      <c r="C473" s="12" t="s">
        <v>31</v>
      </c>
      <c r="D473">
        <v>11</v>
      </c>
      <c r="E473">
        <v>30</v>
      </c>
      <c r="F473">
        <v>7</v>
      </c>
      <c r="G473" t="b">
        <v>0</v>
      </c>
      <c r="H473">
        <v>19.350000000000001</v>
      </c>
      <c r="I473">
        <v>124806</v>
      </c>
      <c r="J473">
        <v>4.5</v>
      </c>
      <c r="K473">
        <v>1.3</v>
      </c>
      <c r="L473">
        <v>3000</v>
      </c>
      <c r="M473">
        <v>2435</v>
      </c>
      <c r="N473">
        <v>19</v>
      </c>
      <c r="O473">
        <v>0.81166666666666665</v>
      </c>
    </row>
    <row r="474" spans="1:15" x14ac:dyDescent="0.3">
      <c r="A474" s="13" t="s">
        <v>49</v>
      </c>
      <c r="B474" s="12" t="s">
        <v>29</v>
      </c>
      <c r="C474" s="12" t="s">
        <v>31</v>
      </c>
      <c r="D474">
        <v>10</v>
      </c>
      <c r="E474">
        <v>31</v>
      </c>
      <c r="F474">
        <v>7</v>
      </c>
      <c r="G474" t="b">
        <v>0</v>
      </c>
      <c r="H474">
        <v>19.350000000000001</v>
      </c>
      <c r="I474">
        <v>124806</v>
      </c>
      <c r="J474">
        <v>4.5</v>
      </c>
      <c r="K474">
        <v>1.3</v>
      </c>
      <c r="L474">
        <v>2615</v>
      </c>
      <c r="M474">
        <v>1864</v>
      </c>
      <c r="N474">
        <v>21</v>
      </c>
      <c r="O474">
        <v>0.71281070745697894</v>
      </c>
    </row>
    <row r="475" spans="1:15" x14ac:dyDescent="0.3">
      <c r="A475" s="13" t="s">
        <v>49</v>
      </c>
      <c r="B475" s="12" t="s">
        <v>29</v>
      </c>
      <c r="C475" s="12" t="s">
        <v>31</v>
      </c>
      <c r="D475">
        <v>11</v>
      </c>
      <c r="E475">
        <v>32</v>
      </c>
      <c r="F475">
        <v>8</v>
      </c>
      <c r="G475" t="b">
        <v>1</v>
      </c>
      <c r="H475">
        <v>19.350000000000001</v>
      </c>
      <c r="I475">
        <v>69121</v>
      </c>
      <c r="J475">
        <v>4.5</v>
      </c>
      <c r="K475">
        <v>1.1000000000000001</v>
      </c>
      <c r="L475">
        <v>0</v>
      </c>
      <c r="M475">
        <v>0</v>
      </c>
      <c r="N475">
        <v>21</v>
      </c>
      <c r="O475" t="e">
        <v>#DIV/0!</v>
      </c>
    </row>
    <row r="476" spans="1:15" x14ac:dyDescent="0.3">
      <c r="A476" s="13" t="s">
        <v>49</v>
      </c>
      <c r="B476" s="12" t="s">
        <v>29</v>
      </c>
      <c r="C476" s="12" t="s">
        <v>31</v>
      </c>
      <c r="D476">
        <v>12</v>
      </c>
      <c r="E476">
        <v>33</v>
      </c>
      <c r="F476">
        <v>8</v>
      </c>
      <c r="G476" t="b">
        <v>1</v>
      </c>
      <c r="H476">
        <v>19.350000000000001</v>
      </c>
      <c r="I476">
        <v>69121</v>
      </c>
      <c r="J476">
        <v>4.5</v>
      </c>
      <c r="K476">
        <v>1.1000000000000001</v>
      </c>
      <c r="L476">
        <v>0</v>
      </c>
      <c r="M476">
        <v>0</v>
      </c>
      <c r="N476">
        <v>21</v>
      </c>
      <c r="O476" t="e">
        <v>#DIV/0!</v>
      </c>
    </row>
    <row r="477" spans="1:15" x14ac:dyDescent="0.3">
      <c r="A477" s="13" t="s">
        <v>49</v>
      </c>
      <c r="B477" s="12" t="s">
        <v>29</v>
      </c>
      <c r="C477" s="12" t="s">
        <v>31</v>
      </c>
      <c r="D477">
        <v>13</v>
      </c>
      <c r="E477">
        <v>34</v>
      </c>
      <c r="F477">
        <v>8</v>
      </c>
      <c r="G477" t="b">
        <v>0</v>
      </c>
      <c r="H477">
        <v>19.350000000000001</v>
      </c>
      <c r="I477">
        <v>69121</v>
      </c>
      <c r="J477">
        <v>4.5</v>
      </c>
      <c r="K477">
        <v>1.1000000000000001</v>
      </c>
      <c r="L477">
        <v>0</v>
      </c>
      <c r="M477">
        <v>0</v>
      </c>
      <c r="N477">
        <v>21</v>
      </c>
      <c r="O477" t="e">
        <v>#DIV/0!</v>
      </c>
    </row>
    <row r="478" spans="1:15" x14ac:dyDescent="0.3">
      <c r="A478" s="13" t="s">
        <v>49</v>
      </c>
      <c r="B478" s="12" t="s">
        <v>29</v>
      </c>
      <c r="C478" s="12" t="s">
        <v>31</v>
      </c>
      <c r="D478">
        <v>12</v>
      </c>
      <c r="E478">
        <v>35</v>
      </c>
      <c r="F478">
        <v>8</v>
      </c>
      <c r="G478" t="b">
        <v>0</v>
      </c>
      <c r="H478">
        <v>19.350000000000001</v>
      </c>
      <c r="I478">
        <v>69121</v>
      </c>
      <c r="J478">
        <v>4.5</v>
      </c>
      <c r="K478">
        <v>1.1000000000000001</v>
      </c>
      <c r="L478">
        <v>0</v>
      </c>
      <c r="M478">
        <v>56</v>
      </c>
      <c r="N478">
        <v>23</v>
      </c>
      <c r="O478" t="e">
        <v>#DIV/0!</v>
      </c>
    </row>
    <row r="479" spans="1:15" x14ac:dyDescent="0.3">
      <c r="A479" s="13" t="s">
        <v>49</v>
      </c>
      <c r="B479" s="12" t="s">
        <v>29</v>
      </c>
      <c r="C479" s="12" t="s">
        <v>31</v>
      </c>
      <c r="D479">
        <v>19</v>
      </c>
      <c r="E479">
        <v>36</v>
      </c>
      <c r="F479">
        <v>9</v>
      </c>
      <c r="G479" t="b">
        <v>0</v>
      </c>
      <c r="H479">
        <v>19.350000000000001</v>
      </c>
      <c r="I479">
        <v>121666</v>
      </c>
      <c r="J479">
        <v>4.5</v>
      </c>
      <c r="K479">
        <v>0.7</v>
      </c>
      <c r="L479">
        <v>452</v>
      </c>
      <c r="M479">
        <v>508</v>
      </c>
      <c r="N479">
        <v>17</v>
      </c>
      <c r="O479">
        <v>1.1238938053097345</v>
      </c>
    </row>
    <row r="480" spans="1:15" x14ac:dyDescent="0.3">
      <c r="A480" s="13" t="s">
        <v>49</v>
      </c>
      <c r="B480" s="12" t="s">
        <v>29</v>
      </c>
      <c r="C480" s="12" t="s">
        <v>31</v>
      </c>
      <c r="D480">
        <v>19</v>
      </c>
      <c r="E480">
        <v>37</v>
      </c>
      <c r="F480">
        <v>9</v>
      </c>
      <c r="G480" t="b">
        <v>0</v>
      </c>
      <c r="H480">
        <v>19.350000000000001</v>
      </c>
      <c r="I480">
        <v>121666</v>
      </c>
      <c r="J480">
        <v>4.5</v>
      </c>
      <c r="K480">
        <v>0.7</v>
      </c>
      <c r="L480">
        <v>562</v>
      </c>
      <c r="M480">
        <v>662</v>
      </c>
      <c r="N480">
        <v>18</v>
      </c>
      <c r="O480">
        <v>1.1779359430604983</v>
      </c>
    </row>
    <row r="481" spans="1:15" x14ac:dyDescent="0.3">
      <c r="A481" s="13" t="s">
        <v>49</v>
      </c>
      <c r="B481" s="12" t="s">
        <v>29</v>
      </c>
      <c r="C481" s="12" t="s">
        <v>31</v>
      </c>
      <c r="D481">
        <v>19</v>
      </c>
      <c r="E481">
        <v>38</v>
      </c>
      <c r="F481">
        <v>9</v>
      </c>
      <c r="G481" t="b">
        <v>0</v>
      </c>
      <c r="H481">
        <v>19.350000000000001</v>
      </c>
      <c r="I481">
        <v>121666</v>
      </c>
      <c r="J481">
        <v>3.9</v>
      </c>
      <c r="K481">
        <v>0.7</v>
      </c>
      <c r="L481">
        <v>1176</v>
      </c>
      <c r="M481">
        <v>1814</v>
      </c>
      <c r="N481">
        <v>19</v>
      </c>
      <c r="O481">
        <v>1.5425170068027212</v>
      </c>
    </row>
    <row r="482" spans="1:15" x14ac:dyDescent="0.3">
      <c r="A482" s="13" t="s">
        <v>49</v>
      </c>
      <c r="B482" s="12" t="s">
        <v>29</v>
      </c>
      <c r="C482" s="12" t="s">
        <v>31</v>
      </c>
      <c r="D482">
        <v>19</v>
      </c>
      <c r="E482">
        <v>39</v>
      </c>
      <c r="F482">
        <v>9</v>
      </c>
      <c r="G482" t="b">
        <v>0</v>
      </c>
      <c r="H482">
        <v>19.350000000000001</v>
      </c>
      <c r="I482">
        <v>121666</v>
      </c>
      <c r="J482">
        <v>3.9</v>
      </c>
      <c r="K482">
        <v>0.7</v>
      </c>
      <c r="L482">
        <v>1612</v>
      </c>
      <c r="M482">
        <v>2597</v>
      </c>
      <c r="N482">
        <v>20</v>
      </c>
      <c r="O482">
        <v>1.6110421836228288</v>
      </c>
    </row>
    <row r="483" spans="1:15" x14ac:dyDescent="0.3">
      <c r="A483" s="13" t="s">
        <v>49</v>
      </c>
      <c r="B483" s="12" t="s">
        <v>29</v>
      </c>
      <c r="C483" s="12" t="s">
        <v>31</v>
      </c>
      <c r="D483">
        <v>24</v>
      </c>
      <c r="E483">
        <v>40</v>
      </c>
      <c r="F483">
        <v>9</v>
      </c>
      <c r="G483" t="b">
        <v>0</v>
      </c>
      <c r="H483">
        <v>19.350000000000001</v>
      </c>
      <c r="I483">
        <v>121666</v>
      </c>
      <c r="J483">
        <v>3.9</v>
      </c>
      <c r="K483">
        <v>0.7</v>
      </c>
      <c r="L483">
        <v>2523</v>
      </c>
      <c r="M483">
        <v>2255</v>
      </c>
      <c r="N483">
        <v>16</v>
      </c>
      <c r="O483">
        <v>0.89377724930638125</v>
      </c>
    </row>
    <row r="484" spans="1:15" x14ac:dyDescent="0.3">
      <c r="A484" s="13" t="s">
        <v>49</v>
      </c>
      <c r="B484" s="12" t="s">
        <v>29</v>
      </c>
      <c r="C484" s="12" t="s">
        <v>31</v>
      </c>
      <c r="D484">
        <v>24</v>
      </c>
      <c r="E484">
        <v>41</v>
      </c>
      <c r="F484">
        <v>10</v>
      </c>
      <c r="G484" t="b">
        <v>0</v>
      </c>
      <c r="H484">
        <v>19.350000000000001</v>
      </c>
      <c r="I484">
        <v>126488</v>
      </c>
      <c r="J484">
        <v>3.9</v>
      </c>
      <c r="K484">
        <v>0.9</v>
      </c>
      <c r="L484">
        <v>2225</v>
      </c>
      <c r="M484">
        <v>2235</v>
      </c>
      <c r="N484">
        <v>17</v>
      </c>
      <c r="O484">
        <v>1.0044943820224719</v>
      </c>
    </row>
    <row r="485" spans="1:15" x14ac:dyDescent="0.3">
      <c r="A485" s="13" t="s">
        <v>49</v>
      </c>
      <c r="B485" s="12" t="s">
        <v>29</v>
      </c>
      <c r="C485" s="12" t="s">
        <v>31</v>
      </c>
      <c r="D485">
        <v>24</v>
      </c>
      <c r="E485">
        <v>42</v>
      </c>
      <c r="F485">
        <v>10</v>
      </c>
      <c r="G485" t="b">
        <v>0</v>
      </c>
      <c r="H485">
        <v>19.350000000000001</v>
      </c>
      <c r="I485">
        <v>126488</v>
      </c>
      <c r="J485">
        <v>3.9</v>
      </c>
      <c r="K485">
        <v>0.9</v>
      </c>
      <c r="L485">
        <v>2639</v>
      </c>
      <c r="M485">
        <v>2563</v>
      </c>
      <c r="N485">
        <v>18</v>
      </c>
      <c r="O485">
        <v>0.97120121258052294</v>
      </c>
    </row>
    <row r="486" spans="1:15" x14ac:dyDescent="0.3">
      <c r="A486" s="13" t="s">
        <v>49</v>
      </c>
      <c r="B486" s="12" t="s">
        <v>29</v>
      </c>
      <c r="C486" s="12" t="s">
        <v>31</v>
      </c>
      <c r="D486">
        <v>22</v>
      </c>
      <c r="E486">
        <v>43</v>
      </c>
      <c r="F486">
        <v>10</v>
      </c>
      <c r="G486" t="b">
        <v>0</v>
      </c>
      <c r="H486">
        <v>19.350000000000001</v>
      </c>
      <c r="I486">
        <v>126488</v>
      </c>
      <c r="J486">
        <v>3.65</v>
      </c>
      <c r="K486">
        <v>0.9</v>
      </c>
      <c r="L486">
        <v>2523</v>
      </c>
      <c r="M486">
        <v>1436</v>
      </c>
      <c r="N486">
        <v>21</v>
      </c>
      <c r="O486">
        <v>0.56916369401506139</v>
      </c>
    </row>
    <row r="487" spans="1:15" x14ac:dyDescent="0.3">
      <c r="A487" s="13" t="s">
        <v>49</v>
      </c>
      <c r="B487" s="12" t="s">
        <v>29</v>
      </c>
      <c r="C487" s="12" t="s">
        <v>31</v>
      </c>
      <c r="D487">
        <v>23</v>
      </c>
      <c r="E487">
        <v>44</v>
      </c>
      <c r="F487">
        <v>10</v>
      </c>
      <c r="G487" t="b">
        <v>1</v>
      </c>
      <c r="H487">
        <v>19.350000000000001</v>
      </c>
      <c r="I487">
        <v>126488</v>
      </c>
      <c r="J487">
        <v>3.65</v>
      </c>
      <c r="K487">
        <v>0.9</v>
      </c>
      <c r="L487">
        <v>1780</v>
      </c>
      <c r="M487">
        <v>1436</v>
      </c>
      <c r="N487">
        <v>21</v>
      </c>
      <c r="O487">
        <v>0.80674157303370786</v>
      </c>
    </row>
    <row r="488" spans="1:15" x14ac:dyDescent="0.3">
      <c r="A488" s="13" t="s">
        <v>49</v>
      </c>
      <c r="B488" s="12" t="s">
        <v>29</v>
      </c>
      <c r="C488" s="12" t="s">
        <v>31</v>
      </c>
      <c r="D488">
        <v>31</v>
      </c>
      <c r="E488">
        <v>45</v>
      </c>
      <c r="F488">
        <v>11</v>
      </c>
      <c r="G488" t="b">
        <v>0</v>
      </c>
      <c r="H488">
        <v>19.350000000000001</v>
      </c>
      <c r="I488">
        <v>124251</v>
      </c>
      <c r="J488">
        <v>3.65</v>
      </c>
      <c r="K488">
        <v>1.3</v>
      </c>
      <c r="L488">
        <v>2604</v>
      </c>
      <c r="M488">
        <v>2211</v>
      </c>
      <c r="N488">
        <v>14</v>
      </c>
      <c r="O488">
        <v>0.84907834101382484</v>
      </c>
    </row>
    <row r="489" spans="1:15" x14ac:dyDescent="0.3">
      <c r="A489" s="13" t="s">
        <v>49</v>
      </c>
      <c r="B489" s="12" t="s">
        <v>29</v>
      </c>
      <c r="C489" s="12" t="s">
        <v>31</v>
      </c>
      <c r="D489">
        <v>30</v>
      </c>
      <c r="E489">
        <v>46</v>
      </c>
      <c r="F489">
        <v>11</v>
      </c>
      <c r="G489" t="b">
        <v>0</v>
      </c>
      <c r="H489">
        <v>19.350000000000001</v>
      </c>
      <c r="I489">
        <v>124251</v>
      </c>
      <c r="J489">
        <v>3.65</v>
      </c>
      <c r="K489">
        <v>1.3</v>
      </c>
      <c r="L489">
        <v>2430</v>
      </c>
      <c r="M489">
        <v>1874</v>
      </c>
      <c r="N489">
        <v>16</v>
      </c>
      <c r="O489">
        <v>0.77119341563786004</v>
      </c>
    </row>
    <row r="490" spans="1:15" x14ac:dyDescent="0.3">
      <c r="A490" s="13" t="s">
        <v>49</v>
      </c>
      <c r="B490" s="12" t="s">
        <v>29</v>
      </c>
      <c r="C490" s="12" t="s">
        <v>31</v>
      </c>
      <c r="D490">
        <v>29</v>
      </c>
      <c r="E490">
        <v>47</v>
      </c>
      <c r="F490">
        <v>11</v>
      </c>
      <c r="G490" t="b">
        <v>0</v>
      </c>
      <c r="H490">
        <v>19.350000000000001</v>
      </c>
      <c r="I490">
        <v>124251</v>
      </c>
      <c r="J490">
        <v>3.65</v>
      </c>
      <c r="K490">
        <v>1.3</v>
      </c>
      <c r="L490">
        <v>2605</v>
      </c>
      <c r="M490">
        <v>2143</v>
      </c>
      <c r="N490">
        <v>18</v>
      </c>
      <c r="O490">
        <v>0.8226487523992323</v>
      </c>
    </row>
    <row r="491" spans="1:15" x14ac:dyDescent="0.3">
      <c r="A491" s="13" t="s">
        <v>49</v>
      </c>
      <c r="B491" s="12" t="s">
        <v>29</v>
      </c>
      <c r="C491" s="12" t="s">
        <v>31</v>
      </c>
      <c r="D491">
        <v>29</v>
      </c>
      <c r="E491">
        <v>48</v>
      </c>
      <c r="F491">
        <v>11</v>
      </c>
      <c r="G491" t="b">
        <v>0</v>
      </c>
      <c r="H491">
        <v>19.350000000000001</v>
      </c>
      <c r="I491">
        <v>124251</v>
      </c>
      <c r="J491">
        <v>3.65</v>
      </c>
      <c r="K491">
        <v>1.3</v>
      </c>
      <c r="L491">
        <v>2604</v>
      </c>
      <c r="M491">
        <v>2135</v>
      </c>
      <c r="N491">
        <v>19</v>
      </c>
      <c r="O491">
        <v>0.81989247311827962</v>
      </c>
    </row>
    <row r="492" spans="1:15" x14ac:dyDescent="0.3">
      <c r="A492" s="13" t="s">
        <v>49</v>
      </c>
      <c r="B492" s="12" t="s">
        <v>29</v>
      </c>
      <c r="C492" s="12" t="s">
        <v>31</v>
      </c>
      <c r="D492">
        <v>33</v>
      </c>
      <c r="E492">
        <v>49</v>
      </c>
      <c r="F492">
        <v>12</v>
      </c>
      <c r="G492" t="b">
        <v>1</v>
      </c>
      <c r="H492">
        <v>19.350000000000001</v>
      </c>
      <c r="I492">
        <v>105715</v>
      </c>
      <c r="J492">
        <v>3.65</v>
      </c>
      <c r="K492">
        <v>1.3</v>
      </c>
      <c r="L492">
        <v>1676</v>
      </c>
      <c r="M492">
        <v>1512</v>
      </c>
      <c r="N492">
        <v>16</v>
      </c>
      <c r="O492">
        <v>0.90214797136038183</v>
      </c>
    </row>
    <row r="493" spans="1:15" x14ac:dyDescent="0.3">
      <c r="A493" s="13" t="s">
        <v>49</v>
      </c>
      <c r="B493" s="12" t="s">
        <v>29</v>
      </c>
      <c r="C493" s="12" t="s">
        <v>31</v>
      </c>
      <c r="D493">
        <v>33</v>
      </c>
      <c r="E493">
        <v>50</v>
      </c>
      <c r="F493">
        <v>12</v>
      </c>
      <c r="G493" t="b">
        <v>0</v>
      </c>
      <c r="H493">
        <v>19.350000000000001</v>
      </c>
      <c r="I493">
        <v>105715</v>
      </c>
      <c r="J493">
        <v>3.4</v>
      </c>
      <c r="K493">
        <v>1.3</v>
      </c>
      <c r="L493">
        <v>2386</v>
      </c>
      <c r="M493">
        <v>2407</v>
      </c>
      <c r="N493">
        <v>17</v>
      </c>
      <c r="O493">
        <v>1.0088013411567478</v>
      </c>
    </row>
    <row r="494" spans="1:15" x14ac:dyDescent="0.3">
      <c r="A494" s="13" t="s">
        <v>49</v>
      </c>
      <c r="B494" s="12" t="s">
        <v>29</v>
      </c>
      <c r="C494" s="12" t="s">
        <v>31</v>
      </c>
      <c r="D494">
        <v>33</v>
      </c>
      <c r="E494">
        <v>51</v>
      </c>
      <c r="F494">
        <v>12</v>
      </c>
      <c r="G494" t="b">
        <v>0</v>
      </c>
      <c r="H494">
        <v>19.350000000000001</v>
      </c>
      <c r="I494">
        <v>105715</v>
      </c>
      <c r="J494">
        <v>3.4</v>
      </c>
      <c r="K494">
        <v>1.3</v>
      </c>
      <c r="L494">
        <v>1604</v>
      </c>
      <c r="M494">
        <v>1840</v>
      </c>
      <c r="N494">
        <v>18</v>
      </c>
      <c r="O494">
        <v>1.1471321695760599</v>
      </c>
    </row>
    <row r="495" spans="1:15" x14ac:dyDescent="0.3">
      <c r="A495" s="13" t="s">
        <v>49</v>
      </c>
      <c r="B495" s="12" t="s">
        <v>29</v>
      </c>
      <c r="C495" s="12" t="s">
        <v>31</v>
      </c>
      <c r="D495">
        <v>34</v>
      </c>
      <c r="E495">
        <v>52</v>
      </c>
      <c r="F495">
        <v>12</v>
      </c>
      <c r="G495" t="b">
        <v>1</v>
      </c>
      <c r="H495">
        <v>19.350000000000001</v>
      </c>
      <c r="I495">
        <v>105715</v>
      </c>
      <c r="J495">
        <v>3.4</v>
      </c>
      <c r="K495">
        <v>1.3</v>
      </c>
      <c r="L495">
        <v>0</v>
      </c>
      <c r="M495">
        <v>0</v>
      </c>
      <c r="N495">
        <v>18</v>
      </c>
      <c r="O495" t="e">
        <v>#DIV/0!</v>
      </c>
    </row>
    <row r="496" spans="1:15" x14ac:dyDescent="0.3">
      <c r="A496" s="13" t="s">
        <v>49</v>
      </c>
      <c r="B496" s="12" t="s">
        <v>29</v>
      </c>
      <c r="C496" s="12" t="s">
        <v>31</v>
      </c>
      <c r="D496">
        <v>37</v>
      </c>
      <c r="E496">
        <v>1</v>
      </c>
      <c r="F496">
        <v>12</v>
      </c>
      <c r="G496" t="b">
        <v>1</v>
      </c>
      <c r="H496">
        <v>19.350000000000001</v>
      </c>
      <c r="I496">
        <v>105715</v>
      </c>
      <c r="J496">
        <v>3.4</v>
      </c>
      <c r="K496">
        <v>1.3</v>
      </c>
      <c r="L496">
        <v>0</v>
      </c>
      <c r="M496">
        <v>0</v>
      </c>
      <c r="N496">
        <v>16</v>
      </c>
      <c r="O496" t="e">
        <v>#DIV/0!</v>
      </c>
    </row>
    <row r="497" spans="1:15" x14ac:dyDescent="0.3">
      <c r="A497" s="13" t="s">
        <v>49</v>
      </c>
      <c r="B497" s="12" t="s">
        <v>29</v>
      </c>
      <c r="C497" s="12" t="s">
        <v>31</v>
      </c>
      <c r="D497">
        <v>37</v>
      </c>
      <c r="E497">
        <v>2</v>
      </c>
      <c r="F497">
        <v>1</v>
      </c>
      <c r="G497" t="b">
        <v>1</v>
      </c>
      <c r="H497">
        <v>19.350000000000001</v>
      </c>
      <c r="I497">
        <v>133692</v>
      </c>
      <c r="J497">
        <v>3.4</v>
      </c>
      <c r="K497">
        <v>1.5</v>
      </c>
      <c r="L497">
        <v>1685</v>
      </c>
      <c r="M497">
        <v>1510</v>
      </c>
      <c r="N497">
        <v>17</v>
      </c>
      <c r="O497">
        <v>0.89614243323442133</v>
      </c>
    </row>
    <row r="498" spans="1:15" x14ac:dyDescent="0.3">
      <c r="A498" s="13" t="s">
        <v>49</v>
      </c>
      <c r="B498" s="12" t="s">
        <v>29</v>
      </c>
      <c r="C498" s="12" t="s">
        <v>31</v>
      </c>
      <c r="D498">
        <v>37</v>
      </c>
      <c r="E498">
        <v>3</v>
      </c>
      <c r="F498">
        <v>1</v>
      </c>
      <c r="G498" t="b">
        <v>0</v>
      </c>
      <c r="H498">
        <v>19.350000000000001</v>
      </c>
      <c r="I498">
        <v>133692</v>
      </c>
      <c r="J498">
        <v>3.4</v>
      </c>
      <c r="K498">
        <v>1.5</v>
      </c>
      <c r="L498">
        <v>1919</v>
      </c>
      <c r="M498">
        <v>1927</v>
      </c>
      <c r="N498">
        <v>18</v>
      </c>
      <c r="O498">
        <v>1.0041688379364253</v>
      </c>
    </row>
    <row r="499" spans="1:15" x14ac:dyDescent="0.3">
      <c r="A499" s="13" t="s">
        <v>49</v>
      </c>
      <c r="B499" s="12" t="s">
        <v>29</v>
      </c>
      <c r="C499" s="12" t="s">
        <v>31</v>
      </c>
      <c r="D499">
        <v>37</v>
      </c>
      <c r="E499">
        <v>4</v>
      </c>
      <c r="F499">
        <v>1</v>
      </c>
      <c r="G499" t="b">
        <v>0</v>
      </c>
      <c r="H499">
        <v>19.350000000000001</v>
      </c>
      <c r="I499">
        <v>133692</v>
      </c>
      <c r="J499">
        <v>3.4</v>
      </c>
      <c r="K499">
        <v>1.5</v>
      </c>
      <c r="L499">
        <v>2126</v>
      </c>
      <c r="M499">
        <v>2107</v>
      </c>
      <c r="N499">
        <v>19</v>
      </c>
      <c r="O499">
        <v>0.99106302916274691</v>
      </c>
    </row>
    <row r="500" spans="1:15" x14ac:dyDescent="0.3">
      <c r="A500" s="13" t="s">
        <v>49</v>
      </c>
      <c r="B500" s="12" t="s">
        <v>29</v>
      </c>
      <c r="C500" s="12" t="s">
        <v>31</v>
      </c>
      <c r="D500">
        <v>37</v>
      </c>
      <c r="E500">
        <v>5</v>
      </c>
      <c r="F500">
        <v>1</v>
      </c>
      <c r="G500" t="b">
        <v>0</v>
      </c>
      <c r="H500">
        <v>19.350000000000001</v>
      </c>
      <c r="I500">
        <v>133692</v>
      </c>
      <c r="J500">
        <v>3.4</v>
      </c>
      <c r="K500">
        <v>1.5</v>
      </c>
      <c r="L500">
        <v>2153</v>
      </c>
      <c r="M500">
        <v>2104</v>
      </c>
      <c r="N500">
        <v>20</v>
      </c>
      <c r="O500">
        <v>0.97724105898745939</v>
      </c>
    </row>
    <row r="501" spans="1:15" x14ac:dyDescent="0.3">
      <c r="A501" s="13" t="s">
        <v>49</v>
      </c>
      <c r="B501" s="12" t="s">
        <v>29</v>
      </c>
      <c r="C501" s="12" t="s">
        <v>31</v>
      </c>
      <c r="D501">
        <v>45</v>
      </c>
      <c r="E501">
        <v>6</v>
      </c>
      <c r="F501">
        <v>2</v>
      </c>
      <c r="G501" t="b">
        <v>0</v>
      </c>
      <c r="H501">
        <v>19.350000000000001</v>
      </c>
      <c r="I501">
        <v>137922</v>
      </c>
      <c r="J501">
        <v>3.15</v>
      </c>
      <c r="K501">
        <v>1.6</v>
      </c>
      <c r="L501">
        <v>2153</v>
      </c>
      <c r="M501">
        <v>1981</v>
      </c>
      <c r="N501">
        <v>13</v>
      </c>
      <c r="O501">
        <v>0.92011147236414303</v>
      </c>
    </row>
    <row r="502" spans="1:15" x14ac:dyDescent="0.3">
      <c r="A502" s="13" t="s">
        <v>49</v>
      </c>
      <c r="B502" s="12" t="s">
        <v>29</v>
      </c>
      <c r="C502" s="12" t="s">
        <v>31</v>
      </c>
      <c r="D502">
        <v>45</v>
      </c>
      <c r="E502">
        <v>7</v>
      </c>
      <c r="F502">
        <v>2</v>
      </c>
      <c r="G502" t="b">
        <v>0</v>
      </c>
      <c r="H502">
        <v>19.350000000000001</v>
      </c>
      <c r="I502">
        <v>137922</v>
      </c>
      <c r="J502">
        <v>3.15</v>
      </c>
      <c r="K502">
        <v>1.6</v>
      </c>
      <c r="L502">
        <v>2020</v>
      </c>
      <c r="M502">
        <v>2100</v>
      </c>
      <c r="N502">
        <v>14</v>
      </c>
      <c r="O502">
        <v>1.0396039603960396</v>
      </c>
    </row>
    <row r="503" spans="1:15" x14ac:dyDescent="0.3">
      <c r="A503" s="13" t="s">
        <v>49</v>
      </c>
      <c r="B503" s="12" t="s">
        <v>29</v>
      </c>
      <c r="C503" s="12" t="s">
        <v>31</v>
      </c>
      <c r="D503">
        <v>45</v>
      </c>
      <c r="E503">
        <v>8</v>
      </c>
      <c r="F503">
        <v>2</v>
      </c>
      <c r="G503" t="b">
        <v>0</v>
      </c>
      <c r="H503">
        <v>19.350000000000001</v>
      </c>
      <c r="I503">
        <v>137922</v>
      </c>
      <c r="J503">
        <v>3.15</v>
      </c>
      <c r="K503">
        <v>1.6</v>
      </c>
      <c r="L503">
        <v>2125</v>
      </c>
      <c r="M503">
        <v>2137</v>
      </c>
      <c r="N503">
        <v>15</v>
      </c>
      <c r="O503">
        <v>1.0056470588235293</v>
      </c>
    </row>
    <row r="504" spans="1:15" x14ac:dyDescent="0.3">
      <c r="A504" s="13" t="s">
        <v>49</v>
      </c>
      <c r="B504" s="12" t="s">
        <v>29</v>
      </c>
      <c r="C504" s="12" t="s">
        <v>31</v>
      </c>
      <c r="D504">
        <v>45</v>
      </c>
      <c r="E504">
        <v>9</v>
      </c>
      <c r="F504">
        <v>2</v>
      </c>
      <c r="G504" t="b">
        <v>0</v>
      </c>
      <c r="H504">
        <v>19.350000000000001</v>
      </c>
      <c r="I504">
        <v>137922</v>
      </c>
      <c r="J504">
        <v>3.15</v>
      </c>
      <c r="K504">
        <v>1.6</v>
      </c>
      <c r="L504">
        <v>2154</v>
      </c>
      <c r="M504">
        <v>1993</v>
      </c>
      <c r="N504">
        <v>16</v>
      </c>
      <c r="O504">
        <v>0.92525533890436396</v>
      </c>
    </row>
    <row r="505" spans="1:15" x14ac:dyDescent="0.3">
      <c r="A505" s="13" t="s">
        <v>49</v>
      </c>
      <c r="B505" s="12" t="s">
        <v>29</v>
      </c>
      <c r="C505" s="12" t="s">
        <v>31</v>
      </c>
      <c r="D505">
        <v>51</v>
      </c>
      <c r="E505">
        <v>10</v>
      </c>
      <c r="F505">
        <v>3</v>
      </c>
      <c r="G505" t="b">
        <v>0</v>
      </c>
      <c r="H505">
        <v>19.350000000000001</v>
      </c>
      <c r="I505">
        <v>172223</v>
      </c>
      <c r="J505">
        <v>3.15</v>
      </c>
      <c r="K505">
        <v>1.9</v>
      </c>
      <c r="L505">
        <v>2052</v>
      </c>
      <c r="M505">
        <v>2087</v>
      </c>
      <c r="N505">
        <v>11</v>
      </c>
      <c r="O505">
        <v>1.017056530214425</v>
      </c>
    </row>
    <row r="506" spans="1:15" x14ac:dyDescent="0.3">
      <c r="A506" s="13" t="s">
        <v>49</v>
      </c>
      <c r="B506" s="12" t="s">
        <v>29</v>
      </c>
      <c r="C506" s="12" t="s">
        <v>31</v>
      </c>
      <c r="D506">
        <v>51</v>
      </c>
      <c r="E506">
        <v>11</v>
      </c>
      <c r="F506">
        <v>3</v>
      </c>
      <c r="G506" t="b">
        <v>0</v>
      </c>
      <c r="H506">
        <v>19.350000000000001</v>
      </c>
      <c r="I506">
        <v>172223</v>
      </c>
      <c r="J506">
        <v>2.9</v>
      </c>
      <c r="K506">
        <v>1.9</v>
      </c>
      <c r="L506">
        <v>2025</v>
      </c>
      <c r="M506">
        <v>2127</v>
      </c>
      <c r="N506">
        <v>12</v>
      </c>
      <c r="O506">
        <v>1.0503703703703704</v>
      </c>
    </row>
    <row r="507" spans="1:15" x14ac:dyDescent="0.3">
      <c r="A507" s="13" t="s">
        <v>49</v>
      </c>
      <c r="B507" s="12" t="s">
        <v>29</v>
      </c>
      <c r="C507" s="12" t="s">
        <v>31</v>
      </c>
      <c r="D507">
        <v>51</v>
      </c>
      <c r="E507">
        <v>12</v>
      </c>
      <c r="F507">
        <v>3</v>
      </c>
      <c r="G507" t="b">
        <v>0</v>
      </c>
      <c r="H507">
        <v>19.350000000000001</v>
      </c>
      <c r="I507">
        <v>172223</v>
      </c>
      <c r="J507">
        <v>2.9</v>
      </c>
      <c r="K507">
        <v>1.9</v>
      </c>
      <c r="L507">
        <v>1893</v>
      </c>
      <c r="M507">
        <v>2014</v>
      </c>
      <c r="N507">
        <v>13</v>
      </c>
      <c r="O507">
        <v>1.06391970417327</v>
      </c>
    </row>
    <row r="508" spans="1:15" x14ac:dyDescent="0.3">
      <c r="A508" s="13" t="s">
        <v>49</v>
      </c>
      <c r="B508" s="12" t="s">
        <v>29</v>
      </c>
      <c r="C508" s="12" t="s">
        <v>31</v>
      </c>
      <c r="D508">
        <v>51</v>
      </c>
      <c r="E508">
        <v>13</v>
      </c>
      <c r="F508">
        <v>3</v>
      </c>
      <c r="G508" t="b">
        <v>0</v>
      </c>
      <c r="H508">
        <v>19.350000000000001</v>
      </c>
      <c r="I508">
        <v>172223</v>
      </c>
      <c r="J508">
        <v>2.9</v>
      </c>
      <c r="K508">
        <v>1.9</v>
      </c>
      <c r="L508">
        <v>2047</v>
      </c>
      <c r="M508">
        <v>2114</v>
      </c>
      <c r="N508">
        <v>14</v>
      </c>
      <c r="O508">
        <v>1.0327308255984367</v>
      </c>
    </row>
    <row r="509" spans="1:15" x14ac:dyDescent="0.3">
      <c r="A509" s="13" t="s">
        <v>49</v>
      </c>
      <c r="B509" s="12" t="s">
        <v>29</v>
      </c>
      <c r="C509" s="12" t="s">
        <v>31</v>
      </c>
      <c r="D509">
        <v>3</v>
      </c>
      <c r="E509">
        <v>14</v>
      </c>
      <c r="F509">
        <v>3</v>
      </c>
      <c r="G509" t="b">
        <v>0</v>
      </c>
      <c r="H509">
        <v>19.350000000000001</v>
      </c>
      <c r="I509">
        <v>172223</v>
      </c>
      <c r="J509">
        <v>2.9</v>
      </c>
      <c r="K509">
        <v>1.9</v>
      </c>
      <c r="L509">
        <v>2050</v>
      </c>
      <c r="M509">
        <v>2106</v>
      </c>
      <c r="N509">
        <v>11</v>
      </c>
      <c r="O509">
        <v>1.0273170731707317</v>
      </c>
    </row>
    <row r="510" spans="1:15" x14ac:dyDescent="0.3">
      <c r="A510" s="13" t="s">
        <v>49</v>
      </c>
      <c r="B510" s="12" t="s">
        <v>29</v>
      </c>
      <c r="C510" s="12" t="s">
        <v>31</v>
      </c>
      <c r="D510">
        <v>3</v>
      </c>
      <c r="E510">
        <v>15</v>
      </c>
      <c r="F510">
        <v>4</v>
      </c>
      <c r="G510" t="b">
        <v>0</v>
      </c>
      <c r="H510">
        <v>19.350000000000001</v>
      </c>
      <c r="I510">
        <v>139084</v>
      </c>
      <c r="J510">
        <v>2.9</v>
      </c>
      <c r="K510">
        <v>1.9</v>
      </c>
      <c r="L510">
        <v>1868</v>
      </c>
      <c r="M510">
        <v>1951</v>
      </c>
      <c r="N510">
        <v>12</v>
      </c>
      <c r="O510">
        <v>1.0444325481798715</v>
      </c>
    </row>
    <row r="511" spans="1:15" x14ac:dyDescent="0.3">
      <c r="A511" s="13" t="s">
        <v>49</v>
      </c>
      <c r="B511" s="12" t="s">
        <v>29</v>
      </c>
      <c r="C511" s="12" t="s">
        <v>31</v>
      </c>
      <c r="D511">
        <v>3</v>
      </c>
      <c r="E511">
        <v>16</v>
      </c>
      <c r="F511">
        <v>4</v>
      </c>
      <c r="G511" t="b">
        <v>0</v>
      </c>
      <c r="H511">
        <v>19.350000000000001</v>
      </c>
      <c r="I511">
        <v>139084</v>
      </c>
      <c r="J511">
        <v>2.9</v>
      </c>
      <c r="K511">
        <v>1.9</v>
      </c>
      <c r="L511">
        <v>1388</v>
      </c>
      <c r="M511">
        <v>1465</v>
      </c>
      <c r="N511">
        <v>13</v>
      </c>
      <c r="O511">
        <v>1.0554755043227666</v>
      </c>
    </row>
    <row r="512" spans="1:15" x14ac:dyDescent="0.3">
      <c r="A512" s="13" t="s">
        <v>49</v>
      </c>
      <c r="B512" s="12" t="s">
        <v>29</v>
      </c>
      <c r="C512" s="12" t="s">
        <v>31</v>
      </c>
      <c r="D512">
        <v>3</v>
      </c>
      <c r="E512">
        <v>17</v>
      </c>
      <c r="F512">
        <v>4</v>
      </c>
      <c r="G512" t="b">
        <v>1</v>
      </c>
      <c r="H512">
        <v>19.350000000000001</v>
      </c>
      <c r="I512">
        <v>139084</v>
      </c>
      <c r="J512">
        <v>2.65</v>
      </c>
      <c r="K512">
        <v>1.9</v>
      </c>
      <c r="L512">
        <v>1698</v>
      </c>
      <c r="M512">
        <v>1793</v>
      </c>
      <c r="N512">
        <v>14</v>
      </c>
      <c r="O512">
        <v>1.0559481743227326</v>
      </c>
    </row>
    <row r="513" spans="1:15" x14ac:dyDescent="0.3">
      <c r="A513" s="13" t="s">
        <v>49</v>
      </c>
      <c r="B513" s="12" t="s">
        <v>29</v>
      </c>
      <c r="C513" s="12" t="s">
        <v>31</v>
      </c>
      <c r="D513">
        <v>3</v>
      </c>
      <c r="E513">
        <v>18</v>
      </c>
      <c r="F513">
        <v>4</v>
      </c>
      <c r="G513" t="b">
        <v>1</v>
      </c>
      <c r="H513">
        <v>19.350000000000001</v>
      </c>
      <c r="I513">
        <v>139084</v>
      </c>
      <c r="J513">
        <v>2.65</v>
      </c>
      <c r="K513">
        <v>1.9</v>
      </c>
      <c r="L513">
        <v>1546</v>
      </c>
      <c r="M513">
        <v>1667</v>
      </c>
      <c r="N513">
        <v>15</v>
      </c>
      <c r="O513">
        <v>1.0782664941785252</v>
      </c>
    </row>
    <row r="514" spans="1:15" x14ac:dyDescent="0.3">
      <c r="A514" s="13" t="s">
        <v>49</v>
      </c>
      <c r="B514" s="12" t="s">
        <v>29</v>
      </c>
      <c r="C514" s="12" t="s">
        <v>31</v>
      </c>
      <c r="D514">
        <v>6</v>
      </c>
      <c r="E514">
        <v>19</v>
      </c>
      <c r="F514">
        <v>5</v>
      </c>
      <c r="G514" t="b">
        <v>0</v>
      </c>
      <c r="H514">
        <v>19.350000000000001</v>
      </c>
      <c r="I514">
        <v>139390</v>
      </c>
      <c r="J514">
        <v>2.65</v>
      </c>
      <c r="K514">
        <v>1.6</v>
      </c>
      <c r="L514">
        <v>2049</v>
      </c>
      <c r="M514">
        <v>2248</v>
      </c>
      <c r="N514">
        <v>13</v>
      </c>
      <c r="O514">
        <v>1.0971205466081015</v>
      </c>
    </row>
    <row r="515" spans="1:15" x14ac:dyDescent="0.3">
      <c r="A515" s="13" t="s">
        <v>49</v>
      </c>
      <c r="B515" s="12" t="s">
        <v>29</v>
      </c>
      <c r="C515" s="12" t="s">
        <v>31</v>
      </c>
      <c r="D515">
        <v>6</v>
      </c>
      <c r="E515">
        <v>20</v>
      </c>
      <c r="F515">
        <v>5</v>
      </c>
      <c r="G515" t="b">
        <v>0</v>
      </c>
      <c r="H515">
        <v>19.350000000000001</v>
      </c>
      <c r="I515">
        <v>139390</v>
      </c>
      <c r="J515">
        <v>2.65</v>
      </c>
      <c r="K515">
        <v>1.6</v>
      </c>
      <c r="L515">
        <v>2024</v>
      </c>
      <c r="M515">
        <v>2252</v>
      </c>
      <c r="N515">
        <v>14</v>
      </c>
      <c r="O515">
        <v>1.1126482213438735</v>
      </c>
    </row>
    <row r="516" spans="1:15" x14ac:dyDescent="0.3">
      <c r="A516" s="13" t="s">
        <v>49</v>
      </c>
      <c r="B516" s="12" t="s">
        <v>29</v>
      </c>
      <c r="C516" s="12" t="s">
        <v>31</v>
      </c>
      <c r="D516">
        <v>6</v>
      </c>
      <c r="E516">
        <v>21</v>
      </c>
      <c r="F516">
        <v>5</v>
      </c>
      <c r="G516" t="b">
        <v>0</v>
      </c>
      <c r="H516">
        <v>19.350000000000001</v>
      </c>
      <c r="I516">
        <v>139390</v>
      </c>
      <c r="J516">
        <v>2.65</v>
      </c>
      <c r="K516">
        <v>1.6</v>
      </c>
      <c r="L516">
        <v>1895</v>
      </c>
      <c r="M516">
        <v>2136</v>
      </c>
      <c r="N516">
        <v>15</v>
      </c>
      <c r="O516">
        <v>1.1271767810026385</v>
      </c>
    </row>
    <row r="517" spans="1:15" x14ac:dyDescent="0.3">
      <c r="A517" s="13" t="s">
        <v>49</v>
      </c>
      <c r="B517" s="12" t="s">
        <v>29</v>
      </c>
      <c r="C517" s="12" t="s">
        <v>31</v>
      </c>
      <c r="D517">
        <v>6</v>
      </c>
      <c r="E517">
        <v>22</v>
      </c>
      <c r="F517">
        <v>5</v>
      </c>
      <c r="G517" t="b">
        <v>0</v>
      </c>
      <c r="H517">
        <v>19.350000000000001</v>
      </c>
      <c r="I517">
        <v>139390</v>
      </c>
      <c r="J517">
        <v>2.65</v>
      </c>
      <c r="K517">
        <v>1.6</v>
      </c>
      <c r="L517">
        <v>2047</v>
      </c>
      <c r="M517">
        <v>2311</v>
      </c>
      <c r="N517">
        <v>16</v>
      </c>
      <c r="O517">
        <v>1.1289692232535418</v>
      </c>
    </row>
    <row r="518" spans="1:15" x14ac:dyDescent="0.3">
      <c r="A518" s="13" t="s">
        <v>49</v>
      </c>
      <c r="B518" s="12" t="s">
        <v>29</v>
      </c>
      <c r="C518" s="12" t="s">
        <v>31</v>
      </c>
      <c r="D518">
        <v>10</v>
      </c>
      <c r="E518">
        <v>23</v>
      </c>
      <c r="F518">
        <v>5</v>
      </c>
      <c r="G518" t="b">
        <v>1</v>
      </c>
      <c r="H518">
        <v>19.350000000000001</v>
      </c>
      <c r="I518">
        <v>139390</v>
      </c>
      <c r="J518">
        <v>2.4</v>
      </c>
      <c r="K518">
        <v>1.6</v>
      </c>
      <c r="L518">
        <v>2049</v>
      </c>
      <c r="M518">
        <v>2401</v>
      </c>
      <c r="N518">
        <v>13</v>
      </c>
      <c r="O518">
        <v>1.1717911176183504</v>
      </c>
    </row>
    <row r="519" spans="1:15" x14ac:dyDescent="0.3">
      <c r="A519" s="13" t="s">
        <v>49</v>
      </c>
      <c r="B519" s="12" t="s">
        <v>29</v>
      </c>
      <c r="C519" s="12" t="s">
        <v>31</v>
      </c>
      <c r="D519">
        <v>10</v>
      </c>
      <c r="E519">
        <v>24</v>
      </c>
      <c r="F519">
        <v>6</v>
      </c>
      <c r="G519" t="b">
        <v>0</v>
      </c>
      <c r="H519">
        <v>19.350000000000001</v>
      </c>
      <c r="I519">
        <v>132191</v>
      </c>
      <c r="J519">
        <v>2.4</v>
      </c>
      <c r="K519">
        <v>1.7</v>
      </c>
      <c r="L519">
        <v>1870</v>
      </c>
      <c r="M519">
        <v>2289</v>
      </c>
      <c r="N519">
        <v>14</v>
      </c>
      <c r="O519">
        <v>1.2240641711229947</v>
      </c>
    </row>
    <row r="520" spans="1:15" x14ac:dyDescent="0.3">
      <c r="A520" s="13" t="s">
        <v>49</v>
      </c>
      <c r="B520" s="12" t="s">
        <v>29</v>
      </c>
      <c r="C520" s="12" t="s">
        <v>31</v>
      </c>
      <c r="D520">
        <v>10</v>
      </c>
      <c r="E520">
        <v>25</v>
      </c>
      <c r="F520">
        <v>6</v>
      </c>
      <c r="G520" t="b">
        <v>0</v>
      </c>
      <c r="H520">
        <v>19.350000000000001</v>
      </c>
      <c r="I520">
        <v>132191</v>
      </c>
      <c r="J520">
        <v>2.4</v>
      </c>
      <c r="K520">
        <v>1.7</v>
      </c>
      <c r="L520">
        <v>1893</v>
      </c>
      <c r="M520">
        <v>2141</v>
      </c>
      <c r="N520">
        <v>15</v>
      </c>
      <c r="O520">
        <v>1.1310089804543053</v>
      </c>
    </row>
    <row r="521" spans="1:15" x14ac:dyDescent="0.3">
      <c r="A521" s="13" t="s">
        <v>49</v>
      </c>
      <c r="B521" s="12" t="s">
        <v>29</v>
      </c>
      <c r="C521" s="12" t="s">
        <v>31</v>
      </c>
      <c r="D521">
        <v>10</v>
      </c>
      <c r="E521">
        <v>26</v>
      </c>
      <c r="F521">
        <v>6</v>
      </c>
      <c r="G521" t="b">
        <v>0</v>
      </c>
      <c r="H521">
        <v>19.350000000000001</v>
      </c>
      <c r="I521">
        <v>132191</v>
      </c>
      <c r="J521">
        <v>2.4</v>
      </c>
      <c r="K521">
        <v>1.7</v>
      </c>
      <c r="L521">
        <v>1341</v>
      </c>
      <c r="M521">
        <v>1621</v>
      </c>
      <c r="N521">
        <v>16</v>
      </c>
      <c r="O521">
        <v>1.2087994034302758</v>
      </c>
    </row>
    <row r="522" spans="1:15" x14ac:dyDescent="0.3">
      <c r="A522" s="13" t="s">
        <v>46</v>
      </c>
      <c r="B522" s="12" t="s">
        <v>30</v>
      </c>
      <c r="C522" s="12" t="s">
        <v>32</v>
      </c>
      <c r="D522">
        <v>13</v>
      </c>
      <c r="E522">
        <v>27</v>
      </c>
      <c r="F522">
        <v>7</v>
      </c>
      <c r="G522" t="b">
        <v>0</v>
      </c>
      <c r="H522">
        <v>28.77</v>
      </c>
      <c r="I522">
        <v>124806</v>
      </c>
      <c r="J522">
        <v>4.5</v>
      </c>
      <c r="K522">
        <v>1.3</v>
      </c>
      <c r="L522">
        <v>1600</v>
      </c>
      <c r="M522">
        <v>1200</v>
      </c>
      <c r="N522">
        <v>14</v>
      </c>
      <c r="O522">
        <v>0.75</v>
      </c>
    </row>
    <row r="523" spans="1:15" x14ac:dyDescent="0.3">
      <c r="A523" s="13" t="s">
        <v>46</v>
      </c>
      <c r="B523" s="12" t="s">
        <v>30</v>
      </c>
      <c r="C523" s="12" t="s">
        <v>32</v>
      </c>
      <c r="D523">
        <v>13</v>
      </c>
      <c r="E523">
        <v>28</v>
      </c>
      <c r="F523">
        <v>7</v>
      </c>
      <c r="G523" t="b">
        <v>0</v>
      </c>
      <c r="H523">
        <v>28.77</v>
      </c>
      <c r="I523">
        <v>124806</v>
      </c>
      <c r="J523">
        <v>4.5</v>
      </c>
      <c r="K523">
        <v>1.3</v>
      </c>
      <c r="L523">
        <v>1600</v>
      </c>
      <c r="M523">
        <v>1320</v>
      </c>
      <c r="N523">
        <v>15</v>
      </c>
      <c r="O523">
        <v>0.82499999999999996</v>
      </c>
    </row>
    <row r="524" spans="1:15" x14ac:dyDescent="0.3">
      <c r="A524" s="13" t="s">
        <v>46</v>
      </c>
      <c r="B524" s="12" t="s">
        <v>30</v>
      </c>
      <c r="C524" s="12" t="s">
        <v>32</v>
      </c>
      <c r="D524">
        <v>13</v>
      </c>
      <c r="E524">
        <v>29</v>
      </c>
      <c r="F524">
        <v>7</v>
      </c>
      <c r="G524" t="b">
        <v>0</v>
      </c>
      <c r="H524">
        <v>28.77</v>
      </c>
      <c r="I524">
        <v>124806</v>
      </c>
      <c r="J524">
        <v>4.5</v>
      </c>
      <c r="K524">
        <v>1.3</v>
      </c>
      <c r="L524">
        <v>1600</v>
      </c>
      <c r="M524">
        <v>1536</v>
      </c>
      <c r="N524">
        <v>16</v>
      </c>
      <c r="O524">
        <v>0.96</v>
      </c>
    </row>
    <row r="525" spans="1:15" x14ac:dyDescent="0.3">
      <c r="A525" s="13" t="s">
        <v>46</v>
      </c>
      <c r="B525" s="12" t="s">
        <v>30</v>
      </c>
      <c r="C525" s="12" t="s">
        <v>32</v>
      </c>
      <c r="D525">
        <v>13</v>
      </c>
      <c r="E525">
        <v>30</v>
      </c>
      <c r="F525">
        <v>7</v>
      </c>
      <c r="G525" t="b">
        <v>0</v>
      </c>
      <c r="H525">
        <v>28.77</v>
      </c>
      <c r="I525">
        <v>124806</v>
      </c>
      <c r="J525">
        <v>4.5</v>
      </c>
      <c r="K525">
        <v>1.3</v>
      </c>
      <c r="L525">
        <v>1600</v>
      </c>
      <c r="M525">
        <v>456</v>
      </c>
      <c r="N525">
        <v>17</v>
      </c>
      <c r="O525">
        <v>0.28499999999999998</v>
      </c>
    </row>
    <row r="526" spans="1:15" x14ac:dyDescent="0.3">
      <c r="A526" s="13" t="s">
        <v>46</v>
      </c>
      <c r="B526" s="12" t="s">
        <v>30</v>
      </c>
      <c r="C526" s="12" t="s">
        <v>32</v>
      </c>
      <c r="D526">
        <v>13</v>
      </c>
      <c r="E526">
        <v>31</v>
      </c>
      <c r="F526">
        <v>7</v>
      </c>
      <c r="G526" t="b">
        <v>0</v>
      </c>
      <c r="H526">
        <v>28.77</v>
      </c>
      <c r="I526">
        <v>124806</v>
      </c>
      <c r="J526">
        <v>4.5</v>
      </c>
      <c r="K526">
        <v>1.3</v>
      </c>
      <c r="L526">
        <v>100</v>
      </c>
      <c r="M526">
        <v>0</v>
      </c>
      <c r="N526">
        <v>18</v>
      </c>
      <c r="O526">
        <v>0</v>
      </c>
    </row>
    <row r="527" spans="1:15" x14ac:dyDescent="0.3">
      <c r="A527" s="13" t="s">
        <v>46</v>
      </c>
      <c r="B527" s="12" t="s">
        <v>30</v>
      </c>
      <c r="C527" s="12" t="s">
        <v>32</v>
      </c>
      <c r="D527">
        <v>14</v>
      </c>
      <c r="E527">
        <v>32</v>
      </c>
      <c r="F527">
        <v>8</v>
      </c>
      <c r="G527" t="b">
        <v>1</v>
      </c>
      <c r="H527">
        <v>28.77</v>
      </c>
      <c r="I527">
        <v>69121</v>
      </c>
      <c r="J527">
        <v>4.5</v>
      </c>
      <c r="K527">
        <v>1.1000000000000001</v>
      </c>
      <c r="L527">
        <v>0</v>
      </c>
      <c r="M527">
        <v>0</v>
      </c>
      <c r="N527">
        <v>18</v>
      </c>
      <c r="O527" t="e">
        <v>#DIV/0!</v>
      </c>
    </row>
    <row r="528" spans="1:15" x14ac:dyDescent="0.3">
      <c r="A528" s="13" t="s">
        <v>46</v>
      </c>
      <c r="B528" s="12" t="s">
        <v>30</v>
      </c>
      <c r="C528" s="12" t="s">
        <v>32</v>
      </c>
      <c r="D528">
        <v>15</v>
      </c>
      <c r="E528">
        <v>33</v>
      </c>
      <c r="F528">
        <v>8</v>
      </c>
      <c r="G528" t="b">
        <v>1</v>
      </c>
      <c r="H528">
        <v>28.77</v>
      </c>
      <c r="I528">
        <v>69121</v>
      </c>
      <c r="J528">
        <v>4.5</v>
      </c>
      <c r="K528">
        <v>1.1000000000000001</v>
      </c>
      <c r="L528">
        <v>1150</v>
      </c>
      <c r="M528">
        <v>696</v>
      </c>
      <c r="N528">
        <v>18</v>
      </c>
      <c r="O528">
        <v>0.60521739130434782</v>
      </c>
    </row>
    <row r="529" spans="1:15" x14ac:dyDescent="0.3">
      <c r="A529" s="13" t="s">
        <v>46</v>
      </c>
      <c r="B529" s="12" t="s">
        <v>30</v>
      </c>
      <c r="C529" s="12" t="s">
        <v>32</v>
      </c>
      <c r="D529">
        <v>16</v>
      </c>
      <c r="E529">
        <v>34</v>
      </c>
      <c r="F529">
        <v>8</v>
      </c>
      <c r="G529" t="b">
        <v>0</v>
      </c>
      <c r="H529">
        <v>28.77</v>
      </c>
      <c r="I529">
        <v>69121</v>
      </c>
      <c r="J529">
        <v>4.5</v>
      </c>
      <c r="K529">
        <v>1.1000000000000001</v>
      </c>
      <c r="L529">
        <v>1500</v>
      </c>
      <c r="M529">
        <v>1848</v>
      </c>
      <c r="N529">
        <v>18</v>
      </c>
      <c r="O529">
        <v>1.232</v>
      </c>
    </row>
    <row r="530" spans="1:15" x14ac:dyDescent="0.3">
      <c r="A530" s="13" t="s">
        <v>46</v>
      </c>
      <c r="B530" s="12" t="s">
        <v>30</v>
      </c>
      <c r="C530" s="12" t="s">
        <v>32</v>
      </c>
      <c r="D530">
        <v>14</v>
      </c>
      <c r="E530">
        <v>35</v>
      </c>
      <c r="F530">
        <v>8</v>
      </c>
      <c r="G530" t="b">
        <v>0</v>
      </c>
      <c r="H530">
        <v>28.77</v>
      </c>
      <c r="I530">
        <v>69121</v>
      </c>
      <c r="J530">
        <v>4.5</v>
      </c>
      <c r="K530">
        <v>1.1000000000000001</v>
      </c>
      <c r="L530">
        <v>1650</v>
      </c>
      <c r="M530">
        <v>1872</v>
      </c>
      <c r="N530">
        <v>21</v>
      </c>
      <c r="O530">
        <v>1.1345454545454545</v>
      </c>
    </row>
    <row r="531" spans="1:15" x14ac:dyDescent="0.3">
      <c r="A531" s="13" t="s">
        <v>46</v>
      </c>
      <c r="B531" s="12" t="s">
        <v>30</v>
      </c>
      <c r="C531" s="12" t="s">
        <v>32</v>
      </c>
      <c r="D531">
        <v>22</v>
      </c>
      <c r="E531">
        <v>36</v>
      </c>
      <c r="F531">
        <v>9</v>
      </c>
      <c r="G531" t="b">
        <v>0</v>
      </c>
      <c r="H531">
        <v>28.77</v>
      </c>
      <c r="I531">
        <v>121666</v>
      </c>
      <c r="J531">
        <v>4.5</v>
      </c>
      <c r="K531">
        <v>0.7</v>
      </c>
      <c r="L531">
        <v>1416</v>
      </c>
      <c r="M531">
        <v>1872</v>
      </c>
      <c r="N531">
        <v>14</v>
      </c>
      <c r="O531">
        <v>1.3220338983050848</v>
      </c>
    </row>
    <row r="532" spans="1:15" x14ac:dyDescent="0.3">
      <c r="A532" s="13" t="s">
        <v>46</v>
      </c>
      <c r="B532" s="12" t="s">
        <v>30</v>
      </c>
      <c r="C532" s="12" t="s">
        <v>32</v>
      </c>
      <c r="D532">
        <v>22</v>
      </c>
      <c r="E532">
        <v>37</v>
      </c>
      <c r="F532">
        <v>9</v>
      </c>
      <c r="G532" t="b">
        <v>0</v>
      </c>
      <c r="H532">
        <v>28.77</v>
      </c>
      <c r="I532">
        <v>121666</v>
      </c>
      <c r="J532">
        <v>4.5</v>
      </c>
      <c r="K532">
        <v>0.7</v>
      </c>
      <c r="L532">
        <v>1440</v>
      </c>
      <c r="M532">
        <v>1848</v>
      </c>
      <c r="N532">
        <v>15</v>
      </c>
      <c r="O532">
        <v>1.2833333333333334</v>
      </c>
    </row>
    <row r="533" spans="1:15" x14ac:dyDescent="0.3">
      <c r="A533" s="13" t="s">
        <v>46</v>
      </c>
      <c r="B533" s="12" t="s">
        <v>30</v>
      </c>
      <c r="C533" s="12" t="s">
        <v>32</v>
      </c>
      <c r="D533">
        <v>22</v>
      </c>
      <c r="E533">
        <v>38</v>
      </c>
      <c r="F533">
        <v>9</v>
      </c>
      <c r="G533" t="b">
        <v>0</v>
      </c>
      <c r="H533">
        <v>28.77</v>
      </c>
      <c r="I533">
        <v>121666</v>
      </c>
      <c r="J533">
        <v>3.9</v>
      </c>
      <c r="K533">
        <v>0.7</v>
      </c>
      <c r="L533">
        <v>1440</v>
      </c>
      <c r="M533">
        <v>2784</v>
      </c>
      <c r="N533">
        <v>16</v>
      </c>
      <c r="O533">
        <v>1.9333333333333333</v>
      </c>
    </row>
    <row r="534" spans="1:15" x14ac:dyDescent="0.3">
      <c r="A534" s="13" t="s">
        <v>46</v>
      </c>
      <c r="B534" s="12" t="s">
        <v>30</v>
      </c>
      <c r="C534" s="12" t="s">
        <v>32</v>
      </c>
      <c r="D534">
        <v>22</v>
      </c>
      <c r="E534">
        <v>39</v>
      </c>
      <c r="F534">
        <v>9</v>
      </c>
      <c r="G534" t="b">
        <v>0</v>
      </c>
      <c r="H534">
        <v>28.77</v>
      </c>
      <c r="I534">
        <v>121666</v>
      </c>
      <c r="J534">
        <v>3.9</v>
      </c>
      <c r="K534">
        <v>0.7</v>
      </c>
      <c r="L534">
        <v>1728</v>
      </c>
      <c r="M534">
        <v>1224</v>
      </c>
      <c r="N534">
        <v>17</v>
      </c>
      <c r="O534">
        <v>0.70833333333333337</v>
      </c>
    </row>
    <row r="535" spans="1:15" x14ac:dyDescent="0.3">
      <c r="A535" s="13" t="s">
        <v>46</v>
      </c>
      <c r="B535" s="12" t="s">
        <v>30</v>
      </c>
      <c r="C535" s="12" t="s">
        <v>32</v>
      </c>
      <c r="D535">
        <v>26</v>
      </c>
      <c r="E535">
        <v>40</v>
      </c>
      <c r="F535">
        <v>9</v>
      </c>
      <c r="G535" t="b">
        <v>0</v>
      </c>
      <c r="H535">
        <v>28.77</v>
      </c>
      <c r="I535">
        <v>121666</v>
      </c>
      <c r="J535">
        <v>3.9</v>
      </c>
      <c r="K535">
        <v>0.7</v>
      </c>
      <c r="L535">
        <v>1632</v>
      </c>
      <c r="M535">
        <v>792</v>
      </c>
      <c r="N535">
        <v>14</v>
      </c>
      <c r="O535">
        <v>0.48529411764705882</v>
      </c>
    </row>
    <row r="536" spans="1:15" x14ac:dyDescent="0.3">
      <c r="A536" s="13" t="s">
        <v>46</v>
      </c>
      <c r="B536" s="12" t="s">
        <v>30</v>
      </c>
      <c r="C536" s="12" t="s">
        <v>32</v>
      </c>
      <c r="D536">
        <v>26</v>
      </c>
      <c r="E536">
        <v>41</v>
      </c>
      <c r="F536">
        <v>10</v>
      </c>
      <c r="G536" t="b">
        <v>0</v>
      </c>
      <c r="H536">
        <v>28.77</v>
      </c>
      <c r="I536">
        <v>126488</v>
      </c>
      <c r="J536">
        <v>3.9</v>
      </c>
      <c r="K536">
        <v>0.9</v>
      </c>
      <c r="L536">
        <v>1776</v>
      </c>
      <c r="M536">
        <v>864</v>
      </c>
      <c r="N536">
        <v>15</v>
      </c>
      <c r="O536">
        <v>0.48648648648648651</v>
      </c>
    </row>
    <row r="537" spans="1:15" x14ac:dyDescent="0.3">
      <c r="A537" s="13" t="s">
        <v>46</v>
      </c>
      <c r="B537" s="12" t="s">
        <v>30</v>
      </c>
      <c r="C537" s="12" t="s">
        <v>32</v>
      </c>
      <c r="D537">
        <v>26</v>
      </c>
      <c r="E537">
        <v>42</v>
      </c>
      <c r="F537">
        <v>10</v>
      </c>
      <c r="G537" t="b">
        <v>0</v>
      </c>
      <c r="H537">
        <v>28.77</v>
      </c>
      <c r="I537">
        <v>126488</v>
      </c>
      <c r="J537">
        <v>3.9</v>
      </c>
      <c r="K537">
        <v>0.9</v>
      </c>
      <c r="L537">
        <v>1800</v>
      </c>
      <c r="M537">
        <v>984</v>
      </c>
      <c r="N537">
        <v>16</v>
      </c>
      <c r="O537">
        <v>0.54666666666666663</v>
      </c>
    </row>
    <row r="538" spans="1:15" x14ac:dyDescent="0.3">
      <c r="A538" s="13" t="s">
        <v>46</v>
      </c>
      <c r="B538" s="12" t="s">
        <v>30</v>
      </c>
      <c r="C538" s="12" t="s">
        <v>32</v>
      </c>
      <c r="D538">
        <v>26</v>
      </c>
      <c r="E538">
        <v>43</v>
      </c>
      <c r="F538">
        <v>10</v>
      </c>
      <c r="G538" t="b">
        <v>0</v>
      </c>
      <c r="H538">
        <v>28.77</v>
      </c>
      <c r="I538">
        <v>126488</v>
      </c>
      <c r="J538">
        <v>3.65</v>
      </c>
      <c r="K538">
        <v>0.9</v>
      </c>
      <c r="L538">
        <v>1368</v>
      </c>
      <c r="M538">
        <v>1512</v>
      </c>
      <c r="N538">
        <v>17</v>
      </c>
      <c r="O538">
        <v>1.1052631578947369</v>
      </c>
    </row>
    <row r="539" spans="1:15" x14ac:dyDescent="0.3">
      <c r="A539" s="13" t="s">
        <v>46</v>
      </c>
      <c r="B539" s="12" t="s">
        <v>30</v>
      </c>
      <c r="C539" s="12" t="s">
        <v>32</v>
      </c>
      <c r="D539">
        <v>26</v>
      </c>
      <c r="E539">
        <v>44</v>
      </c>
      <c r="F539">
        <v>10</v>
      </c>
      <c r="G539" t="b">
        <v>1</v>
      </c>
      <c r="H539">
        <v>28.77</v>
      </c>
      <c r="I539">
        <v>126488</v>
      </c>
      <c r="J539">
        <v>3.65</v>
      </c>
      <c r="K539">
        <v>0.9</v>
      </c>
      <c r="L539">
        <v>1008</v>
      </c>
      <c r="M539">
        <v>696</v>
      </c>
      <c r="N539">
        <v>18</v>
      </c>
      <c r="O539">
        <v>0.69047619047619047</v>
      </c>
    </row>
    <row r="540" spans="1:15" x14ac:dyDescent="0.3">
      <c r="A540" s="13" t="s">
        <v>46</v>
      </c>
      <c r="B540" s="12" t="s">
        <v>30</v>
      </c>
      <c r="C540" s="12" t="s">
        <v>32</v>
      </c>
      <c r="D540">
        <v>32</v>
      </c>
      <c r="E540">
        <v>45</v>
      </c>
      <c r="F540">
        <v>11</v>
      </c>
      <c r="G540" t="b">
        <v>0</v>
      </c>
      <c r="H540">
        <v>28.77</v>
      </c>
      <c r="I540">
        <v>124251</v>
      </c>
      <c r="J540">
        <v>3.65</v>
      </c>
      <c r="K540">
        <v>1.3</v>
      </c>
      <c r="L540">
        <v>1056</v>
      </c>
      <c r="M540">
        <v>840</v>
      </c>
      <c r="N540">
        <v>13</v>
      </c>
      <c r="O540">
        <v>0.79545454545454541</v>
      </c>
    </row>
    <row r="541" spans="1:15" x14ac:dyDescent="0.3">
      <c r="A541" s="13" t="s">
        <v>46</v>
      </c>
      <c r="B541" s="12" t="s">
        <v>30</v>
      </c>
      <c r="C541" s="12" t="s">
        <v>32</v>
      </c>
      <c r="D541">
        <v>32</v>
      </c>
      <c r="E541">
        <v>46</v>
      </c>
      <c r="F541">
        <v>11</v>
      </c>
      <c r="G541" t="b">
        <v>0</v>
      </c>
      <c r="H541">
        <v>28.77</v>
      </c>
      <c r="I541">
        <v>124251</v>
      </c>
      <c r="J541">
        <v>3.65</v>
      </c>
      <c r="K541">
        <v>1.3</v>
      </c>
      <c r="L541">
        <v>1488</v>
      </c>
      <c r="M541">
        <v>1344</v>
      </c>
      <c r="N541">
        <v>14</v>
      </c>
      <c r="O541">
        <v>0.90322580645161288</v>
      </c>
    </row>
    <row r="542" spans="1:15" x14ac:dyDescent="0.3">
      <c r="A542" s="13" t="s">
        <v>46</v>
      </c>
      <c r="B542" s="12" t="s">
        <v>30</v>
      </c>
      <c r="C542" s="12" t="s">
        <v>32</v>
      </c>
      <c r="D542">
        <v>32</v>
      </c>
      <c r="E542">
        <v>47</v>
      </c>
      <c r="F542">
        <v>11</v>
      </c>
      <c r="G542" t="b">
        <v>0</v>
      </c>
      <c r="H542">
        <v>28.77</v>
      </c>
      <c r="I542">
        <v>124251</v>
      </c>
      <c r="J542">
        <v>3.65</v>
      </c>
      <c r="K542">
        <v>1.3</v>
      </c>
      <c r="L542">
        <v>1512</v>
      </c>
      <c r="M542">
        <v>864</v>
      </c>
      <c r="N542">
        <v>15</v>
      </c>
      <c r="O542">
        <v>0.5714285714285714</v>
      </c>
    </row>
    <row r="543" spans="1:15" x14ac:dyDescent="0.3">
      <c r="A543" s="13" t="s">
        <v>46</v>
      </c>
      <c r="B543" s="12" t="s">
        <v>30</v>
      </c>
      <c r="C543" s="12" t="s">
        <v>32</v>
      </c>
      <c r="D543">
        <v>33</v>
      </c>
      <c r="E543">
        <v>48</v>
      </c>
      <c r="F543">
        <v>11</v>
      </c>
      <c r="G543" t="b">
        <v>0</v>
      </c>
      <c r="H543">
        <v>28.77</v>
      </c>
      <c r="I543">
        <v>124251</v>
      </c>
      <c r="J543">
        <v>3.65</v>
      </c>
      <c r="K543">
        <v>1.3</v>
      </c>
      <c r="L543">
        <v>1464</v>
      </c>
      <c r="M543">
        <v>1128</v>
      </c>
      <c r="N543">
        <v>15</v>
      </c>
      <c r="O543">
        <v>0.77049180327868849</v>
      </c>
    </row>
    <row r="544" spans="1:15" x14ac:dyDescent="0.3">
      <c r="A544" s="13" t="s">
        <v>46</v>
      </c>
      <c r="B544" s="12" t="s">
        <v>30</v>
      </c>
      <c r="C544" s="12" t="s">
        <v>32</v>
      </c>
      <c r="D544">
        <v>36</v>
      </c>
      <c r="E544">
        <v>49</v>
      </c>
      <c r="F544">
        <v>12</v>
      </c>
      <c r="G544" t="b">
        <v>1</v>
      </c>
      <c r="H544">
        <v>28.77</v>
      </c>
      <c r="I544">
        <v>105715</v>
      </c>
      <c r="J544">
        <v>3.65</v>
      </c>
      <c r="K544">
        <v>1.3</v>
      </c>
      <c r="L544">
        <v>1344</v>
      </c>
      <c r="M544">
        <v>1320</v>
      </c>
      <c r="N544">
        <v>13</v>
      </c>
      <c r="O544">
        <v>0.9821428571428571</v>
      </c>
    </row>
    <row r="545" spans="1:15" x14ac:dyDescent="0.3">
      <c r="A545" s="13" t="s">
        <v>46</v>
      </c>
      <c r="B545" s="12" t="s">
        <v>30</v>
      </c>
      <c r="C545" s="12" t="s">
        <v>32</v>
      </c>
      <c r="D545">
        <v>36</v>
      </c>
      <c r="E545">
        <v>50</v>
      </c>
      <c r="F545">
        <v>12</v>
      </c>
      <c r="G545" t="b">
        <v>0</v>
      </c>
      <c r="H545">
        <v>28.77</v>
      </c>
      <c r="I545">
        <v>105715</v>
      </c>
      <c r="J545">
        <v>3.4</v>
      </c>
      <c r="K545">
        <v>1.3</v>
      </c>
      <c r="L545">
        <v>1488</v>
      </c>
      <c r="M545">
        <v>1752</v>
      </c>
      <c r="N545">
        <v>14</v>
      </c>
      <c r="O545">
        <v>1.1774193548387097</v>
      </c>
    </row>
    <row r="546" spans="1:15" x14ac:dyDescent="0.3">
      <c r="A546" s="13" t="s">
        <v>46</v>
      </c>
      <c r="B546" s="12" t="s">
        <v>30</v>
      </c>
      <c r="C546" s="12" t="s">
        <v>32</v>
      </c>
      <c r="D546">
        <v>36</v>
      </c>
      <c r="E546">
        <v>51</v>
      </c>
      <c r="F546">
        <v>12</v>
      </c>
      <c r="G546" t="b">
        <v>0</v>
      </c>
      <c r="H546">
        <v>28.77</v>
      </c>
      <c r="I546">
        <v>105715</v>
      </c>
      <c r="J546">
        <v>3.4</v>
      </c>
      <c r="K546">
        <v>1.3</v>
      </c>
      <c r="L546">
        <v>1440</v>
      </c>
      <c r="M546">
        <v>216</v>
      </c>
      <c r="N546">
        <v>15</v>
      </c>
      <c r="O546">
        <v>0.15</v>
      </c>
    </row>
    <row r="547" spans="1:15" x14ac:dyDescent="0.3">
      <c r="A547" s="13" t="s">
        <v>46</v>
      </c>
      <c r="B547" s="12" t="s">
        <v>30</v>
      </c>
      <c r="C547" s="12" t="s">
        <v>32</v>
      </c>
      <c r="D547">
        <v>37</v>
      </c>
      <c r="E547">
        <v>52</v>
      </c>
      <c r="F547">
        <v>12</v>
      </c>
      <c r="G547" t="b">
        <v>1</v>
      </c>
      <c r="H547">
        <v>28.77</v>
      </c>
      <c r="I547">
        <v>105715</v>
      </c>
      <c r="J547">
        <v>3.4</v>
      </c>
      <c r="K547">
        <v>1.3</v>
      </c>
      <c r="L547">
        <v>0</v>
      </c>
      <c r="M547">
        <v>0</v>
      </c>
      <c r="N547">
        <v>15</v>
      </c>
      <c r="O547" t="e">
        <v>#DIV/0!</v>
      </c>
    </row>
    <row r="548" spans="1:15" x14ac:dyDescent="0.3">
      <c r="A548" s="13" t="s">
        <v>46</v>
      </c>
      <c r="B548" s="12" t="s">
        <v>30</v>
      </c>
      <c r="C548" s="12" t="s">
        <v>32</v>
      </c>
      <c r="D548">
        <v>41</v>
      </c>
      <c r="E548">
        <v>1</v>
      </c>
      <c r="F548">
        <v>12</v>
      </c>
      <c r="G548" t="b">
        <v>1</v>
      </c>
      <c r="H548">
        <v>28.77</v>
      </c>
      <c r="I548">
        <v>105715</v>
      </c>
      <c r="J548">
        <v>3.4</v>
      </c>
      <c r="K548">
        <v>1.3</v>
      </c>
      <c r="L548">
        <v>288</v>
      </c>
      <c r="M548">
        <v>0</v>
      </c>
      <c r="N548">
        <v>12</v>
      </c>
      <c r="O548">
        <v>0</v>
      </c>
    </row>
    <row r="549" spans="1:15" x14ac:dyDescent="0.3">
      <c r="A549" s="13" t="s">
        <v>46</v>
      </c>
      <c r="B549" s="12" t="s">
        <v>30</v>
      </c>
      <c r="C549" s="12" t="s">
        <v>32</v>
      </c>
      <c r="D549">
        <v>41</v>
      </c>
      <c r="E549">
        <v>2</v>
      </c>
      <c r="F549">
        <v>1</v>
      </c>
      <c r="G549" t="b">
        <v>1</v>
      </c>
      <c r="H549">
        <v>28.77</v>
      </c>
      <c r="I549">
        <v>133692</v>
      </c>
      <c r="J549">
        <v>3.4</v>
      </c>
      <c r="K549">
        <v>1.5</v>
      </c>
      <c r="L549">
        <v>672</v>
      </c>
      <c r="M549">
        <v>456</v>
      </c>
      <c r="N549">
        <v>13</v>
      </c>
      <c r="O549">
        <v>0.6785714285714286</v>
      </c>
    </row>
    <row r="550" spans="1:15" x14ac:dyDescent="0.3">
      <c r="A550" s="13" t="s">
        <v>46</v>
      </c>
      <c r="B550" s="12" t="s">
        <v>30</v>
      </c>
      <c r="C550" s="12" t="s">
        <v>32</v>
      </c>
      <c r="D550">
        <v>41</v>
      </c>
      <c r="E550">
        <v>3</v>
      </c>
      <c r="F550">
        <v>1</v>
      </c>
      <c r="G550" t="b">
        <v>0</v>
      </c>
      <c r="H550">
        <v>28.77</v>
      </c>
      <c r="I550">
        <v>133692</v>
      </c>
      <c r="J550">
        <v>3.4</v>
      </c>
      <c r="K550">
        <v>1.5</v>
      </c>
      <c r="L550">
        <v>696</v>
      </c>
      <c r="M550">
        <v>1224</v>
      </c>
      <c r="N550">
        <v>14</v>
      </c>
      <c r="O550">
        <v>1.7586206896551724</v>
      </c>
    </row>
    <row r="551" spans="1:15" x14ac:dyDescent="0.3">
      <c r="A551" s="13" t="s">
        <v>46</v>
      </c>
      <c r="B551" s="12" t="s">
        <v>30</v>
      </c>
      <c r="C551" s="12" t="s">
        <v>32</v>
      </c>
      <c r="D551">
        <v>41</v>
      </c>
      <c r="E551">
        <v>4</v>
      </c>
      <c r="F551">
        <v>1</v>
      </c>
      <c r="G551" t="b">
        <v>0</v>
      </c>
      <c r="H551">
        <v>28.77</v>
      </c>
      <c r="I551">
        <v>133692</v>
      </c>
      <c r="J551">
        <v>3.4</v>
      </c>
      <c r="K551">
        <v>1.5</v>
      </c>
      <c r="L551">
        <v>744</v>
      </c>
      <c r="M551">
        <v>1344</v>
      </c>
      <c r="N551">
        <v>15</v>
      </c>
      <c r="O551">
        <v>1.8064516129032258</v>
      </c>
    </row>
    <row r="552" spans="1:15" x14ac:dyDescent="0.3">
      <c r="A552" s="13" t="s">
        <v>46</v>
      </c>
      <c r="B552" s="12" t="s">
        <v>30</v>
      </c>
      <c r="C552" s="12" t="s">
        <v>32</v>
      </c>
      <c r="D552">
        <v>41</v>
      </c>
      <c r="E552">
        <v>5</v>
      </c>
      <c r="F552">
        <v>1</v>
      </c>
      <c r="G552" t="b">
        <v>0</v>
      </c>
      <c r="H552">
        <v>28.77</v>
      </c>
      <c r="I552">
        <v>133692</v>
      </c>
      <c r="J552">
        <v>3.4</v>
      </c>
      <c r="K552">
        <v>1.5</v>
      </c>
      <c r="L552">
        <v>816</v>
      </c>
      <c r="M552">
        <v>1392</v>
      </c>
      <c r="N552">
        <v>16</v>
      </c>
      <c r="O552">
        <v>1.7058823529411764</v>
      </c>
    </row>
    <row r="553" spans="1:15" x14ac:dyDescent="0.3">
      <c r="A553" s="13" t="s">
        <v>46</v>
      </c>
      <c r="B553" s="12" t="s">
        <v>30</v>
      </c>
      <c r="C553" s="12" t="s">
        <v>32</v>
      </c>
      <c r="D553">
        <v>45</v>
      </c>
      <c r="E553">
        <v>6</v>
      </c>
      <c r="F553">
        <v>2</v>
      </c>
      <c r="G553" t="b">
        <v>0</v>
      </c>
      <c r="H553">
        <v>28.77</v>
      </c>
      <c r="I553">
        <v>137922</v>
      </c>
      <c r="J553">
        <v>3.15</v>
      </c>
      <c r="K553">
        <v>1.6</v>
      </c>
      <c r="L553">
        <v>1080</v>
      </c>
      <c r="M553">
        <v>1464</v>
      </c>
      <c r="N553">
        <v>13</v>
      </c>
      <c r="O553">
        <v>1.3555555555555556</v>
      </c>
    </row>
    <row r="554" spans="1:15" x14ac:dyDescent="0.3">
      <c r="A554" s="13" t="s">
        <v>46</v>
      </c>
      <c r="B554" s="12" t="s">
        <v>30</v>
      </c>
      <c r="C554" s="12" t="s">
        <v>32</v>
      </c>
      <c r="D554">
        <v>45</v>
      </c>
      <c r="E554">
        <v>7</v>
      </c>
      <c r="F554">
        <v>2</v>
      </c>
      <c r="G554" t="b">
        <v>0</v>
      </c>
      <c r="H554">
        <v>28.77</v>
      </c>
      <c r="I554">
        <v>137922</v>
      </c>
      <c r="J554">
        <v>3.15</v>
      </c>
      <c r="K554">
        <v>1.6</v>
      </c>
      <c r="L554">
        <v>960</v>
      </c>
      <c r="M554">
        <v>1416</v>
      </c>
      <c r="N554">
        <v>14</v>
      </c>
      <c r="O554">
        <v>1.4750000000000001</v>
      </c>
    </row>
    <row r="555" spans="1:15" x14ac:dyDescent="0.3">
      <c r="A555" s="13" t="s">
        <v>46</v>
      </c>
      <c r="B555" s="12" t="s">
        <v>30</v>
      </c>
      <c r="C555" s="12" t="s">
        <v>32</v>
      </c>
      <c r="D555">
        <v>45</v>
      </c>
      <c r="E555">
        <v>8</v>
      </c>
      <c r="F555">
        <v>2</v>
      </c>
      <c r="G555" t="b">
        <v>0</v>
      </c>
      <c r="H555">
        <v>28.77</v>
      </c>
      <c r="I555">
        <v>137922</v>
      </c>
      <c r="J555">
        <v>3.15</v>
      </c>
      <c r="K555">
        <v>1.6</v>
      </c>
      <c r="L555">
        <v>1008</v>
      </c>
      <c r="M555">
        <v>1080</v>
      </c>
      <c r="N555">
        <v>15</v>
      </c>
      <c r="O555">
        <v>1.0714285714285714</v>
      </c>
    </row>
    <row r="556" spans="1:15" x14ac:dyDescent="0.3">
      <c r="A556" s="13" t="s">
        <v>46</v>
      </c>
      <c r="B556" s="12" t="s">
        <v>30</v>
      </c>
      <c r="C556" s="12" t="s">
        <v>32</v>
      </c>
      <c r="D556">
        <v>45</v>
      </c>
      <c r="E556">
        <v>9</v>
      </c>
      <c r="F556">
        <v>2</v>
      </c>
      <c r="G556" t="b">
        <v>0</v>
      </c>
      <c r="H556">
        <v>28.77</v>
      </c>
      <c r="I556">
        <v>137922</v>
      </c>
      <c r="J556">
        <v>3.15</v>
      </c>
      <c r="K556">
        <v>1.6</v>
      </c>
      <c r="L556">
        <v>1104</v>
      </c>
      <c r="M556">
        <v>1392</v>
      </c>
      <c r="N556">
        <v>16</v>
      </c>
      <c r="O556">
        <v>1.2608695652173914</v>
      </c>
    </row>
    <row r="557" spans="1:15" x14ac:dyDescent="0.3">
      <c r="A557" s="13" t="s">
        <v>46</v>
      </c>
      <c r="B557" s="12" t="s">
        <v>30</v>
      </c>
      <c r="C557" s="12" t="s">
        <v>32</v>
      </c>
      <c r="D557">
        <v>50</v>
      </c>
      <c r="E557">
        <v>10</v>
      </c>
      <c r="F557">
        <v>3</v>
      </c>
      <c r="G557" t="b">
        <v>0</v>
      </c>
      <c r="H557">
        <v>28.77</v>
      </c>
      <c r="I557">
        <v>172223</v>
      </c>
      <c r="J557">
        <v>3.15</v>
      </c>
      <c r="K557">
        <v>1.9</v>
      </c>
      <c r="L557">
        <v>888</v>
      </c>
      <c r="M557">
        <v>744</v>
      </c>
      <c r="N557">
        <v>12</v>
      </c>
      <c r="O557">
        <v>0.83783783783783783</v>
      </c>
    </row>
    <row r="558" spans="1:15" x14ac:dyDescent="0.3">
      <c r="A558" s="13" t="s">
        <v>46</v>
      </c>
      <c r="B558" s="12" t="s">
        <v>30</v>
      </c>
      <c r="C558" s="12" t="s">
        <v>32</v>
      </c>
      <c r="D558">
        <v>50</v>
      </c>
      <c r="E558">
        <v>11</v>
      </c>
      <c r="F558">
        <v>3</v>
      </c>
      <c r="G558" t="b">
        <v>0</v>
      </c>
      <c r="H558">
        <v>28.77</v>
      </c>
      <c r="I558">
        <v>172223</v>
      </c>
      <c r="J558">
        <v>2.9</v>
      </c>
      <c r="K558">
        <v>1.9</v>
      </c>
      <c r="L558">
        <v>888</v>
      </c>
      <c r="M558">
        <v>1464</v>
      </c>
      <c r="N558">
        <v>13</v>
      </c>
      <c r="O558">
        <v>1.6486486486486487</v>
      </c>
    </row>
    <row r="559" spans="1:15" x14ac:dyDescent="0.3">
      <c r="A559" s="13" t="s">
        <v>46</v>
      </c>
      <c r="B559" s="12" t="s">
        <v>30</v>
      </c>
      <c r="C559" s="12" t="s">
        <v>32</v>
      </c>
      <c r="D559">
        <v>50</v>
      </c>
      <c r="E559">
        <v>12</v>
      </c>
      <c r="F559">
        <v>3</v>
      </c>
      <c r="G559" t="b">
        <v>0</v>
      </c>
      <c r="H559">
        <v>28.77</v>
      </c>
      <c r="I559">
        <v>172223</v>
      </c>
      <c r="J559">
        <v>2.9</v>
      </c>
      <c r="K559">
        <v>1.9</v>
      </c>
      <c r="L559">
        <v>1032</v>
      </c>
      <c r="M559">
        <v>1008</v>
      </c>
      <c r="N559">
        <v>14</v>
      </c>
      <c r="O559">
        <v>0.97674418604651159</v>
      </c>
    </row>
    <row r="560" spans="1:15" x14ac:dyDescent="0.3">
      <c r="A560" s="13" t="s">
        <v>46</v>
      </c>
      <c r="B560" s="12" t="s">
        <v>30</v>
      </c>
      <c r="C560" s="12" t="s">
        <v>32</v>
      </c>
      <c r="D560">
        <v>50</v>
      </c>
      <c r="E560">
        <v>13</v>
      </c>
      <c r="F560">
        <v>3</v>
      </c>
      <c r="G560" t="b">
        <v>0</v>
      </c>
      <c r="H560">
        <v>28.77</v>
      </c>
      <c r="I560">
        <v>172223</v>
      </c>
      <c r="J560">
        <v>2.9</v>
      </c>
      <c r="K560">
        <v>1.9</v>
      </c>
      <c r="L560">
        <v>936</v>
      </c>
      <c r="M560">
        <v>888</v>
      </c>
      <c r="N560">
        <v>15</v>
      </c>
      <c r="O560">
        <v>0.94871794871794868</v>
      </c>
    </row>
    <row r="561" spans="1:15" x14ac:dyDescent="0.3">
      <c r="A561" s="13" t="s">
        <v>46</v>
      </c>
      <c r="B561" s="12" t="s">
        <v>30</v>
      </c>
      <c r="C561" s="12" t="s">
        <v>32</v>
      </c>
      <c r="D561">
        <v>50</v>
      </c>
      <c r="E561">
        <v>14</v>
      </c>
      <c r="F561">
        <v>3</v>
      </c>
      <c r="G561" t="b">
        <v>0</v>
      </c>
      <c r="H561">
        <v>28.77</v>
      </c>
      <c r="I561">
        <v>172223</v>
      </c>
      <c r="J561">
        <v>2.9</v>
      </c>
      <c r="K561">
        <v>1.9</v>
      </c>
      <c r="L561">
        <v>912</v>
      </c>
      <c r="M561">
        <v>816</v>
      </c>
      <c r="N561">
        <v>16</v>
      </c>
      <c r="O561">
        <v>0.89473684210526316</v>
      </c>
    </row>
    <row r="562" spans="1:15" x14ac:dyDescent="0.3">
      <c r="A562" s="13" t="s">
        <v>46</v>
      </c>
      <c r="B562" s="12" t="s">
        <v>30</v>
      </c>
      <c r="C562" s="12" t="s">
        <v>32</v>
      </c>
      <c r="D562">
        <v>3</v>
      </c>
      <c r="E562">
        <v>15</v>
      </c>
      <c r="F562">
        <v>4</v>
      </c>
      <c r="G562" t="b">
        <v>0</v>
      </c>
      <c r="H562">
        <v>28.77</v>
      </c>
      <c r="I562">
        <v>139084</v>
      </c>
      <c r="J562">
        <v>2.9</v>
      </c>
      <c r="K562">
        <v>1.9</v>
      </c>
      <c r="L562">
        <v>1248</v>
      </c>
      <c r="M562">
        <v>1080</v>
      </c>
      <c r="N562">
        <v>12</v>
      </c>
      <c r="O562">
        <v>0.86538461538461542</v>
      </c>
    </row>
    <row r="563" spans="1:15" x14ac:dyDescent="0.3">
      <c r="A563" s="13" t="s">
        <v>46</v>
      </c>
      <c r="B563" s="12" t="s">
        <v>30</v>
      </c>
      <c r="C563" s="12" t="s">
        <v>32</v>
      </c>
      <c r="D563">
        <v>3</v>
      </c>
      <c r="E563">
        <v>16</v>
      </c>
      <c r="F563">
        <v>4</v>
      </c>
      <c r="G563" t="b">
        <v>0</v>
      </c>
      <c r="H563">
        <v>28.77</v>
      </c>
      <c r="I563">
        <v>139084</v>
      </c>
      <c r="J563">
        <v>2.9</v>
      </c>
      <c r="K563">
        <v>1.9</v>
      </c>
      <c r="L563">
        <v>648</v>
      </c>
      <c r="M563">
        <v>1104</v>
      </c>
      <c r="N563">
        <v>13</v>
      </c>
      <c r="O563">
        <v>1.7037037037037037</v>
      </c>
    </row>
    <row r="564" spans="1:15" x14ac:dyDescent="0.3">
      <c r="A564" s="13" t="s">
        <v>46</v>
      </c>
      <c r="B564" s="12" t="s">
        <v>30</v>
      </c>
      <c r="C564" s="12" t="s">
        <v>32</v>
      </c>
      <c r="D564">
        <v>3</v>
      </c>
      <c r="E564">
        <v>17</v>
      </c>
      <c r="F564">
        <v>4</v>
      </c>
      <c r="G564" t="b">
        <v>1</v>
      </c>
      <c r="H564">
        <v>28.77</v>
      </c>
      <c r="I564">
        <v>139084</v>
      </c>
      <c r="J564">
        <v>2.65</v>
      </c>
      <c r="K564">
        <v>1.9</v>
      </c>
      <c r="L564">
        <v>1104</v>
      </c>
      <c r="M564">
        <v>504</v>
      </c>
      <c r="N564">
        <v>14</v>
      </c>
      <c r="O564">
        <v>0.45652173913043476</v>
      </c>
    </row>
    <row r="565" spans="1:15" x14ac:dyDescent="0.3">
      <c r="A565" s="13" t="s">
        <v>46</v>
      </c>
      <c r="B565" s="12" t="s">
        <v>30</v>
      </c>
      <c r="C565" s="12" t="s">
        <v>32</v>
      </c>
      <c r="D565">
        <v>3</v>
      </c>
      <c r="E565">
        <v>18</v>
      </c>
      <c r="F565">
        <v>4</v>
      </c>
      <c r="G565" t="b">
        <v>1</v>
      </c>
      <c r="H565">
        <v>28.77</v>
      </c>
      <c r="I565">
        <v>139084</v>
      </c>
      <c r="J565">
        <v>2.65</v>
      </c>
      <c r="K565">
        <v>1.9</v>
      </c>
      <c r="L565">
        <v>672</v>
      </c>
      <c r="M565">
        <v>1032</v>
      </c>
      <c r="N565">
        <v>15</v>
      </c>
      <c r="O565">
        <v>1.5357142857142858</v>
      </c>
    </row>
    <row r="566" spans="1:15" x14ac:dyDescent="0.3">
      <c r="A566" s="13" t="s">
        <v>46</v>
      </c>
      <c r="B566" s="12" t="s">
        <v>30</v>
      </c>
      <c r="C566" s="12" t="s">
        <v>32</v>
      </c>
      <c r="D566">
        <v>6</v>
      </c>
      <c r="E566">
        <v>19</v>
      </c>
      <c r="F566">
        <v>5</v>
      </c>
      <c r="G566" t="b">
        <v>0</v>
      </c>
      <c r="H566">
        <v>28.77</v>
      </c>
      <c r="I566">
        <v>139390</v>
      </c>
      <c r="J566">
        <v>2.65</v>
      </c>
      <c r="K566">
        <v>1.6</v>
      </c>
      <c r="L566">
        <v>1464</v>
      </c>
      <c r="M566">
        <v>1056</v>
      </c>
      <c r="N566">
        <v>13</v>
      </c>
      <c r="O566">
        <v>0.72131147540983609</v>
      </c>
    </row>
    <row r="567" spans="1:15" x14ac:dyDescent="0.3">
      <c r="A567" s="13" t="s">
        <v>46</v>
      </c>
      <c r="B567" s="12" t="s">
        <v>30</v>
      </c>
      <c r="C567" s="12" t="s">
        <v>32</v>
      </c>
      <c r="D567">
        <v>6</v>
      </c>
      <c r="E567">
        <v>20</v>
      </c>
      <c r="F567">
        <v>5</v>
      </c>
      <c r="G567" t="b">
        <v>0</v>
      </c>
      <c r="H567">
        <v>28.77</v>
      </c>
      <c r="I567">
        <v>139390</v>
      </c>
      <c r="J567">
        <v>2.65</v>
      </c>
      <c r="K567">
        <v>1.6</v>
      </c>
      <c r="L567">
        <v>1392</v>
      </c>
      <c r="M567">
        <v>936</v>
      </c>
      <c r="N567">
        <v>14</v>
      </c>
      <c r="O567">
        <v>0.67241379310344829</v>
      </c>
    </row>
    <row r="568" spans="1:15" x14ac:dyDescent="0.3">
      <c r="A568" s="13" t="s">
        <v>46</v>
      </c>
      <c r="B568" s="12" t="s">
        <v>30</v>
      </c>
      <c r="C568" s="12" t="s">
        <v>32</v>
      </c>
      <c r="D568">
        <v>6</v>
      </c>
      <c r="E568">
        <v>21</v>
      </c>
      <c r="F568">
        <v>5</v>
      </c>
      <c r="G568" t="b">
        <v>0</v>
      </c>
      <c r="H568">
        <v>28.77</v>
      </c>
      <c r="I568">
        <v>139390</v>
      </c>
      <c r="J568">
        <v>2.65</v>
      </c>
      <c r="K568">
        <v>1.6</v>
      </c>
      <c r="L568">
        <v>1224</v>
      </c>
      <c r="M568">
        <v>1200</v>
      </c>
      <c r="N568">
        <v>15</v>
      </c>
      <c r="O568">
        <v>0.98039215686274506</v>
      </c>
    </row>
    <row r="569" spans="1:15" x14ac:dyDescent="0.3">
      <c r="A569" s="13" t="s">
        <v>46</v>
      </c>
      <c r="B569" s="12" t="s">
        <v>30</v>
      </c>
      <c r="C569" s="12" t="s">
        <v>32</v>
      </c>
      <c r="D569">
        <v>6</v>
      </c>
      <c r="E569">
        <v>22</v>
      </c>
      <c r="F569">
        <v>5</v>
      </c>
      <c r="G569" t="b">
        <v>0</v>
      </c>
      <c r="H569">
        <v>28.77</v>
      </c>
      <c r="I569">
        <v>139390</v>
      </c>
      <c r="J569">
        <v>2.65</v>
      </c>
      <c r="K569">
        <v>1.6</v>
      </c>
      <c r="L569">
        <v>1704</v>
      </c>
      <c r="M569">
        <v>1560</v>
      </c>
      <c r="N569">
        <v>16</v>
      </c>
      <c r="O569">
        <v>0.91549295774647887</v>
      </c>
    </row>
    <row r="570" spans="1:15" x14ac:dyDescent="0.3">
      <c r="A570" s="13" t="s">
        <v>46</v>
      </c>
      <c r="B570" s="12" t="s">
        <v>30</v>
      </c>
      <c r="C570" s="12" t="s">
        <v>32</v>
      </c>
      <c r="D570">
        <v>10</v>
      </c>
      <c r="E570">
        <v>23</v>
      </c>
      <c r="F570">
        <v>5</v>
      </c>
      <c r="G570" t="b">
        <v>1</v>
      </c>
      <c r="H570">
        <v>28.77</v>
      </c>
      <c r="I570">
        <v>139390</v>
      </c>
      <c r="J570">
        <v>2.4</v>
      </c>
      <c r="K570">
        <v>1.6</v>
      </c>
      <c r="L570">
        <v>1440</v>
      </c>
      <c r="M570">
        <v>1152</v>
      </c>
      <c r="N570">
        <v>13</v>
      </c>
      <c r="O570">
        <v>0.8</v>
      </c>
    </row>
    <row r="571" spans="1:15" x14ac:dyDescent="0.3">
      <c r="A571" s="13" t="s">
        <v>46</v>
      </c>
      <c r="B571" s="12" t="s">
        <v>30</v>
      </c>
      <c r="C571" s="12" t="s">
        <v>32</v>
      </c>
      <c r="D571">
        <v>10</v>
      </c>
      <c r="E571">
        <v>24</v>
      </c>
      <c r="F571">
        <v>6</v>
      </c>
      <c r="G571" t="b">
        <v>0</v>
      </c>
      <c r="H571">
        <v>28.77</v>
      </c>
      <c r="I571">
        <v>132191</v>
      </c>
      <c r="J571">
        <v>2.4</v>
      </c>
      <c r="K571">
        <v>1.7</v>
      </c>
      <c r="L571">
        <v>1848</v>
      </c>
      <c r="M571">
        <v>1344</v>
      </c>
      <c r="N571">
        <v>14</v>
      </c>
      <c r="O571">
        <v>0.72727272727272729</v>
      </c>
    </row>
    <row r="572" spans="1:15" x14ac:dyDescent="0.3">
      <c r="A572" s="13" t="s">
        <v>46</v>
      </c>
      <c r="B572" s="12" t="s">
        <v>30</v>
      </c>
      <c r="C572" s="12" t="s">
        <v>32</v>
      </c>
      <c r="D572">
        <v>10</v>
      </c>
      <c r="E572">
        <v>25</v>
      </c>
      <c r="F572">
        <v>6</v>
      </c>
      <c r="G572" t="b">
        <v>0</v>
      </c>
      <c r="H572">
        <v>28.77</v>
      </c>
      <c r="I572">
        <v>132191</v>
      </c>
      <c r="J572">
        <v>2.4</v>
      </c>
      <c r="K572">
        <v>1.7</v>
      </c>
      <c r="L572">
        <v>1080</v>
      </c>
      <c r="M572">
        <v>480</v>
      </c>
      <c r="N572">
        <v>15</v>
      </c>
      <c r="O572">
        <v>0.44444444444444442</v>
      </c>
    </row>
    <row r="573" spans="1:15" x14ac:dyDescent="0.3">
      <c r="A573" s="13" t="s">
        <v>46</v>
      </c>
      <c r="B573" s="12" t="s">
        <v>30</v>
      </c>
      <c r="C573" s="12" t="s">
        <v>32</v>
      </c>
      <c r="D573">
        <v>10</v>
      </c>
      <c r="E573">
        <v>26</v>
      </c>
      <c r="F573">
        <v>6</v>
      </c>
      <c r="G573" t="b">
        <v>0</v>
      </c>
      <c r="H573">
        <v>28.77</v>
      </c>
      <c r="I573">
        <v>132191</v>
      </c>
      <c r="J573">
        <v>2.4</v>
      </c>
      <c r="K573">
        <v>1.7</v>
      </c>
      <c r="L573">
        <v>1872</v>
      </c>
      <c r="M573">
        <v>1416</v>
      </c>
      <c r="N573">
        <v>16</v>
      </c>
      <c r="O573">
        <v>0.75641025641025639</v>
      </c>
    </row>
    <row r="574" spans="1:15" x14ac:dyDescent="0.3">
      <c r="A574" s="13" t="s">
        <v>45</v>
      </c>
      <c r="B574" s="12" t="s">
        <v>30</v>
      </c>
      <c r="C574" s="12" t="s">
        <v>32</v>
      </c>
      <c r="D574">
        <v>12</v>
      </c>
      <c r="E574">
        <v>27</v>
      </c>
      <c r="F574">
        <v>7</v>
      </c>
      <c r="G574" t="b">
        <v>0</v>
      </c>
      <c r="H574">
        <v>29.86</v>
      </c>
      <c r="I574">
        <v>124806</v>
      </c>
      <c r="J574">
        <v>4.5</v>
      </c>
      <c r="K574">
        <v>1.3</v>
      </c>
      <c r="L574">
        <v>350</v>
      </c>
      <c r="M574">
        <v>288</v>
      </c>
      <c r="N574">
        <v>15</v>
      </c>
      <c r="O574">
        <v>0.82285714285714284</v>
      </c>
    </row>
    <row r="575" spans="1:15" x14ac:dyDescent="0.3">
      <c r="A575" s="13" t="s">
        <v>45</v>
      </c>
      <c r="B575" s="12" t="s">
        <v>30</v>
      </c>
      <c r="C575" s="12" t="s">
        <v>32</v>
      </c>
      <c r="D575">
        <v>12</v>
      </c>
      <c r="E575">
        <v>28</v>
      </c>
      <c r="F575">
        <v>7</v>
      </c>
      <c r="G575" t="b">
        <v>0</v>
      </c>
      <c r="H575">
        <v>29.86</v>
      </c>
      <c r="I575">
        <v>124806</v>
      </c>
      <c r="J575">
        <v>4.5</v>
      </c>
      <c r="K575">
        <v>1.3</v>
      </c>
      <c r="L575">
        <v>400</v>
      </c>
      <c r="M575">
        <v>288</v>
      </c>
      <c r="N575">
        <v>16</v>
      </c>
      <c r="O575">
        <v>0.72</v>
      </c>
    </row>
    <row r="576" spans="1:15" x14ac:dyDescent="0.3">
      <c r="A576" s="13" t="s">
        <v>45</v>
      </c>
      <c r="B576" s="12" t="s">
        <v>30</v>
      </c>
      <c r="C576" s="12" t="s">
        <v>32</v>
      </c>
      <c r="D576">
        <v>12</v>
      </c>
      <c r="E576">
        <v>29</v>
      </c>
      <c r="F576">
        <v>7</v>
      </c>
      <c r="G576" t="b">
        <v>0</v>
      </c>
      <c r="H576">
        <v>29.86</v>
      </c>
      <c r="I576">
        <v>124806</v>
      </c>
      <c r="J576">
        <v>4.5</v>
      </c>
      <c r="K576">
        <v>1.3</v>
      </c>
      <c r="L576">
        <v>350</v>
      </c>
      <c r="M576">
        <v>120</v>
      </c>
      <c r="N576">
        <v>17</v>
      </c>
      <c r="O576">
        <v>0.34285714285714286</v>
      </c>
    </row>
    <row r="577" spans="1:15" x14ac:dyDescent="0.3">
      <c r="A577" s="13" t="s">
        <v>45</v>
      </c>
      <c r="B577" s="12" t="s">
        <v>30</v>
      </c>
      <c r="C577" s="12" t="s">
        <v>32</v>
      </c>
      <c r="D577">
        <v>13</v>
      </c>
      <c r="E577">
        <v>30</v>
      </c>
      <c r="F577">
        <v>7</v>
      </c>
      <c r="G577" t="b">
        <v>0</v>
      </c>
      <c r="H577">
        <v>29.86</v>
      </c>
      <c r="I577">
        <v>124806</v>
      </c>
      <c r="J577">
        <v>4.5</v>
      </c>
      <c r="K577">
        <v>1.3</v>
      </c>
      <c r="L577">
        <v>0</v>
      </c>
      <c r="M577">
        <v>0</v>
      </c>
      <c r="N577">
        <v>17</v>
      </c>
      <c r="O577" t="e">
        <v>#DIV/0!</v>
      </c>
    </row>
    <row r="578" spans="1:15" x14ac:dyDescent="0.3">
      <c r="A578" s="13" t="s">
        <v>45</v>
      </c>
      <c r="B578" s="12" t="s">
        <v>30</v>
      </c>
      <c r="C578" s="12" t="s">
        <v>32</v>
      </c>
      <c r="D578">
        <v>14</v>
      </c>
      <c r="E578">
        <v>31</v>
      </c>
      <c r="F578">
        <v>7</v>
      </c>
      <c r="G578" t="b">
        <v>0</v>
      </c>
      <c r="H578">
        <v>29.86</v>
      </c>
      <c r="I578">
        <v>124806</v>
      </c>
      <c r="J578">
        <v>4.5</v>
      </c>
      <c r="K578">
        <v>1.3</v>
      </c>
      <c r="L578">
        <v>0</v>
      </c>
      <c r="M578">
        <v>0</v>
      </c>
      <c r="N578">
        <v>17</v>
      </c>
      <c r="O578" t="e">
        <v>#DIV/0!</v>
      </c>
    </row>
    <row r="579" spans="1:15" x14ac:dyDescent="0.3">
      <c r="A579" s="13" t="s">
        <v>45</v>
      </c>
      <c r="B579" s="12" t="s">
        <v>30</v>
      </c>
      <c r="C579" s="12" t="s">
        <v>32</v>
      </c>
      <c r="D579">
        <v>15</v>
      </c>
      <c r="E579">
        <v>32</v>
      </c>
      <c r="F579">
        <v>8</v>
      </c>
      <c r="G579" t="b">
        <v>1</v>
      </c>
      <c r="H579">
        <v>29.86</v>
      </c>
      <c r="I579">
        <v>69121</v>
      </c>
      <c r="J579">
        <v>4.5</v>
      </c>
      <c r="K579">
        <v>1.1000000000000001</v>
      </c>
      <c r="L579">
        <v>300</v>
      </c>
      <c r="M579">
        <v>0</v>
      </c>
      <c r="N579">
        <v>17</v>
      </c>
      <c r="O579">
        <v>0</v>
      </c>
    </row>
    <row r="580" spans="1:15" x14ac:dyDescent="0.3">
      <c r="A580" s="13" t="s">
        <v>45</v>
      </c>
      <c r="B580" s="12" t="s">
        <v>30</v>
      </c>
      <c r="C580" s="12" t="s">
        <v>32</v>
      </c>
      <c r="D580">
        <v>15</v>
      </c>
      <c r="E580">
        <v>33</v>
      </c>
      <c r="F580">
        <v>8</v>
      </c>
      <c r="G580" t="b">
        <v>1</v>
      </c>
      <c r="H580">
        <v>29.86</v>
      </c>
      <c r="I580">
        <v>69121</v>
      </c>
      <c r="J580">
        <v>4.5</v>
      </c>
      <c r="K580">
        <v>1.1000000000000001</v>
      </c>
      <c r="L580">
        <v>350</v>
      </c>
      <c r="M580">
        <v>264</v>
      </c>
      <c r="N580">
        <v>18</v>
      </c>
      <c r="O580">
        <v>0.75428571428571434</v>
      </c>
    </row>
    <row r="581" spans="1:15" x14ac:dyDescent="0.3">
      <c r="A581" s="13" t="s">
        <v>45</v>
      </c>
      <c r="B581" s="12" t="s">
        <v>30</v>
      </c>
      <c r="C581" s="12" t="s">
        <v>32</v>
      </c>
      <c r="D581">
        <v>14</v>
      </c>
      <c r="E581">
        <v>34</v>
      </c>
      <c r="F581">
        <v>8</v>
      </c>
      <c r="G581" t="b">
        <v>0</v>
      </c>
      <c r="H581">
        <v>29.86</v>
      </c>
      <c r="I581">
        <v>69121</v>
      </c>
      <c r="J581">
        <v>4.5</v>
      </c>
      <c r="K581">
        <v>1.1000000000000001</v>
      </c>
      <c r="L581">
        <v>250</v>
      </c>
      <c r="M581">
        <v>504</v>
      </c>
      <c r="N581">
        <v>20</v>
      </c>
      <c r="O581">
        <v>2.016</v>
      </c>
    </row>
    <row r="582" spans="1:15" x14ac:dyDescent="0.3">
      <c r="A582" s="13" t="s">
        <v>45</v>
      </c>
      <c r="B582" s="12" t="s">
        <v>30</v>
      </c>
      <c r="C582" s="12" t="s">
        <v>32</v>
      </c>
      <c r="D582">
        <v>21</v>
      </c>
      <c r="E582">
        <v>35</v>
      </c>
      <c r="F582">
        <v>8</v>
      </c>
      <c r="G582" t="b">
        <v>0</v>
      </c>
      <c r="H582">
        <v>29.86</v>
      </c>
      <c r="I582">
        <v>69121</v>
      </c>
      <c r="J582">
        <v>4.5</v>
      </c>
      <c r="K582">
        <v>1.1000000000000001</v>
      </c>
      <c r="L582">
        <v>168</v>
      </c>
      <c r="M582">
        <v>144</v>
      </c>
      <c r="N582">
        <v>14</v>
      </c>
      <c r="O582">
        <v>0.8571428571428571</v>
      </c>
    </row>
    <row r="583" spans="1:15" x14ac:dyDescent="0.3">
      <c r="A583" s="13" t="s">
        <v>45</v>
      </c>
      <c r="B583" s="12" t="s">
        <v>30</v>
      </c>
      <c r="C583" s="12" t="s">
        <v>32</v>
      </c>
      <c r="D583">
        <v>21</v>
      </c>
      <c r="E583">
        <v>36</v>
      </c>
      <c r="F583">
        <v>9</v>
      </c>
      <c r="G583" t="b">
        <v>0</v>
      </c>
      <c r="H583">
        <v>29.86</v>
      </c>
      <c r="I583">
        <v>121666</v>
      </c>
      <c r="J583">
        <v>4.5</v>
      </c>
      <c r="K583">
        <v>0.7</v>
      </c>
      <c r="L583">
        <v>168</v>
      </c>
      <c r="M583">
        <v>168</v>
      </c>
      <c r="N583">
        <v>15</v>
      </c>
      <c r="O583">
        <v>1</v>
      </c>
    </row>
    <row r="584" spans="1:15" x14ac:dyDescent="0.3">
      <c r="A584" s="13" t="s">
        <v>45</v>
      </c>
      <c r="B584" s="12" t="s">
        <v>30</v>
      </c>
      <c r="C584" s="12" t="s">
        <v>32</v>
      </c>
      <c r="D584">
        <v>21</v>
      </c>
      <c r="E584">
        <v>37</v>
      </c>
      <c r="F584">
        <v>9</v>
      </c>
      <c r="G584" t="b">
        <v>0</v>
      </c>
      <c r="H584">
        <v>29.86</v>
      </c>
      <c r="I584">
        <v>121666</v>
      </c>
      <c r="J584">
        <v>4.5</v>
      </c>
      <c r="K584">
        <v>0.7</v>
      </c>
      <c r="L584">
        <v>96</v>
      </c>
      <c r="M584">
        <v>96</v>
      </c>
      <c r="N584">
        <v>16</v>
      </c>
      <c r="O584">
        <v>1</v>
      </c>
    </row>
    <row r="585" spans="1:15" x14ac:dyDescent="0.3">
      <c r="A585" s="13" t="s">
        <v>45</v>
      </c>
      <c r="B585" s="12" t="s">
        <v>30</v>
      </c>
      <c r="C585" s="12" t="s">
        <v>32</v>
      </c>
      <c r="D585">
        <v>21</v>
      </c>
      <c r="E585">
        <v>38</v>
      </c>
      <c r="F585">
        <v>9</v>
      </c>
      <c r="G585" t="b">
        <v>0</v>
      </c>
      <c r="H585">
        <v>29.86</v>
      </c>
      <c r="I585">
        <v>121666</v>
      </c>
      <c r="J585">
        <v>3.9</v>
      </c>
      <c r="K585">
        <v>0.7</v>
      </c>
      <c r="L585">
        <v>216</v>
      </c>
      <c r="M585">
        <v>264</v>
      </c>
      <c r="N585">
        <v>17</v>
      </c>
      <c r="O585">
        <v>1.2222222222222223</v>
      </c>
    </row>
    <row r="586" spans="1:15" x14ac:dyDescent="0.3">
      <c r="A586" s="13" t="s">
        <v>45</v>
      </c>
      <c r="B586" s="12" t="s">
        <v>30</v>
      </c>
      <c r="C586" s="12" t="s">
        <v>32</v>
      </c>
      <c r="D586">
        <v>25</v>
      </c>
      <c r="E586">
        <v>39</v>
      </c>
      <c r="F586">
        <v>9</v>
      </c>
      <c r="G586" t="b">
        <v>0</v>
      </c>
      <c r="H586">
        <v>29.86</v>
      </c>
      <c r="I586">
        <v>121666</v>
      </c>
      <c r="J586">
        <v>3.9</v>
      </c>
      <c r="K586">
        <v>0.7</v>
      </c>
      <c r="L586">
        <v>552</v>
      </c>
      <c r="M586">
        <v>264</v>
      </c>
      <c r="N586">
        <v>14</v>
      </c>
      <c r="O586">
        <v>0.47826086956521741</v>
      </c>
    </row>
    <row r="587" spans="1:15" x14ac:dyDescent="0.3">
      <c r="A587" s="13" t="s">
        <v>45</v>
      </c>
      <c r="B587" s="12" t="s">
        <v>30</v>
      </c>
      <c r="C587" s="12" t="s">
        <v>32</v>
      </c>
      <c r="D587">
        <v>25</v>
      </c>
      <c r="E587">
        <v>40</v>
      </c>
      <c r="F587">
        <v>9</v>
      </c>
      <c r="G587" t="b">
        <v>0</v>
      </c>
      <c r="H587">
        <v>29.86</v>
      </c>
      <c r="I587">
        <v>121666</v>
      </c>
      <c r="J587">
        <v>3.9</v>
      </c>
      <c r="K587">
        <v>0.7</v>
      </c>
      <c r="L587">
        <v>360</v>
      </c>
      <c r="M587">
        <v>240</v>
      </c>
      <c r="N587">
        <v>15</v>
      </c>
      <c r="O587">
        <v>0.66666666666666663</v>
      </c>
    </row>
    <row r="588" spans="1:15" x14ac:dyDescent="0.3">
      <c r="A588" s="13" t="s">
        <v>45</v>
      </c>
      <c r="B588" s="12" t="s">
        <v>30</v>
      </c>
      <c r="C588" s="12" t="s">
        <v>32</v>
      </c>
      <c r="D588">
        <v>25</v>
      </c>
      <c r="E588">
        <v>41</v>
      </c>
      <c r="F588">
        <v>10</v>
      </c>
      <c r="G588" t="b">
        <v>0</v>
      </c>
      <c r="H588">
        <v>29.86</v>
      </c>
      <c r="I588">
        <v>126488</v>
      </c>
      <c r="J588">
        <v>3.9</v>
      </c>
      <c r="K588">
        <v>0.9</v>
      </c>
      <c r="L588">
        <v>408</v>
      </c>
      <c r="M588">
        <v>168</v>
      </c>
      <c r="N588">
        <v>16</v>
      </c>
      <c r="O588">
        <v>0.41176470588235292</v>
      </c>
    </row>
    <row r="589" spans="1:15" x14ac:dyDescent="0.3">
      <c r="A589" s="13" t="s">
        <v>45</v>
      </c>
      <c r="B589" s="12" t="s">
        <v>30</v>
      </c>
      <c r="C589" s="12" t="s">
        <v>32</v>
      </c>
      <c r="D589">
        <v>25</v>
      </c>
      <c r="E589">
        <v>42</v>
      </c>
      <c r="F589">
        <v>10</v>
      </c>
      <c r="G589" t="b">
        <v>0</v>
      </c>
      <c r="H589">
        <v>29.86</v>
      </c>
      <c r="I589">
        <v>126488</v>
      </c>
      <c r="J589">
        <v>3.9</v>
      </c>
      <c r="K589">
        <v>0.9</v>
      </c>
      <c r="L589">
        <v>456</v>
      </c>
      <c r="M589">
        <v>240</v>
      </c>
      <c r="N589">
        <v>17</v>
      </c>
      <c r="O589">
        <v>0.52631578947368418</v>
      </c>
    </row>
    <row r="590" spans="1:15" x14ac:dyDescent="0.3">
      <c r="A590" s="13" t="s">
        <v>45</v>
      </c>
      <c r="B590" s="12" t="s">
        <v>30</v>
      </c>
      <c r="C590" s="12" t="s">
        <v>32</v>
      </c>
      <c r="D590">
        <v>25</v>
      </c>
      <c r="E590">
        <v>43</v>
      </c>
      <c r="F590">
        <v>10</v>
      </c>
      <c r="G590" t="b">
        <v>0</v>
      </c>
      <c r="H590">
        <v>29.86</v>
      </c>
      <c r="I590">
        <v>126488</v>
      </c>
      <c r="J590">
        <v>3.65</v>
      </c>
      <c r="K590">
        <v>0.9</v>
      </c>
      <c r="L590">
        <v>168</v>
      </c>
      <c r="M590">
        <v>48</v>
      </c>
      <c r="N590">
        <v>18</v>
      </c>
      <c r="O590">
        <v>0.2857142857142857</v>
      </c>
    </row>
    <row r="591" spans="1:15" x14ac:dyDescent="0.3">
      <c r="A591" s="13" t="s">
        <v>45</v>
      </c>
      <c r="B591" s="12" t="s">
        <v>30</v>
      </c>
      <c r="C591" s="12" t="s">
        <v>32</v>
      </c>
      <c r="D591">
        <v>31</v>
      </c>
      <c r="E591">
        <v>44</v>
      </c>
      <c r="F591">
        <v>10</v>
      </c>
      <c r="G591" t="b">
        <v>1</v>
      </c>
      <c r="H591">
        <v>29.86</v>
      </c>
      <c r="I591">
        <v>126488</v>
      </c>
      <c r="J591">
        <v>3.65</v>
      </c>
      <c r="K591">
        <v>0.9</v>
      </c>
      <c r="L591">
        <v>216</v>
      </c>
      <c r="M591">
        <v>144</v>
      </c>
      <c r="N591">
        <v>13</v>
      </c>
      <c r="O591">
        <v>0.66666666666666663</v>
      </c>
    </row>
    <row r="592" spans="1:15" x14ac:dyDescent="0.3">
      <c r="A592" s="13" t="s">
        <v>45</v>
      </c>
      <c r="B592" s="12" t="s">
        <v>30</v>
      </c>
      <c r="C592" s="12" t="s">
        <v>32</v>
      </c>
      <c r="D592">
        <v>31</v>
      </c>
      <c r="E592">
        <v>45</v>
      </c>
      <c r="F592">
        <v>11</v>
      </c>
      <c r="G592" t="b">
        <v>0</v>
      </c>
      <c r="H592">
        <v>29.86</v>
      </c>
      <c r="I592">
        <v>124251</v>
      </c>
      <c r="J592">
        <v>3.65</v>
      </c>
      <c r="K592">
        <v>1.3</v>
      </c>
      <c r="L592">
        <v>360</v>
      </c>
      <c r="M592">
        <v>0</v>
      </c>
      <c r="N592">
        <v>14</v>
      </c>
      <c r="O592">
        <v>0</v>
      </c>
    </row>
    <row r="593" spans="1:15" x14ac:dyDescent="0.3">
      <c r="A593" s="13" t="s">
        <v>45</v>
      </c>
      <c r="B593" s="12" t="s">
        <v>30</v>
      </c>
      <c r="C593" s="12" t="s">
        <v>32</v>
      </c>
      <c r="D593">
        <v>31</v>
      </c>
      <c r="E593">
        <v>46</v>
      </c>
      <c r="F593">
        <v>11</v>
      </c>
      <c r="G593" t="b">
        <v>0</v>
      </c>
      <c r="H593">
        <v>29.86</v>
      </c>
      <c r="I593">
        <v>124251</v>
      </c>
      <c r="J593">
        <v>3.65</v>
      </c>
      <c r="K593">
        <v>1.3</v>
      </c>
      <c r="L593">
        <v>360</v>
      </c>
      <c r="M593">
        <v>264</v>
      </c>
      <c r="N593">
        <v>15</v>
      </c>
      <c r="O593">
        <v>0.73333333333333328</v>
      </c>
    </row>
    <row r="594" spans="1:15" x14ac:dyDescent="0.3">
      <c r="A594" s="13" t="s">
        <v>45</v>
      </c>
      <c r="B594" s="12" t="s">
        <v>30</v>
      </c>
      <c r="C594" s="12" t="s">
        <v>32</v>
      </c>
      <c r="D594">
        <v>31</v>
      </c>
      <c r="E594">
        <v>47</v>
      </c>
      <c r="F594">
        <v>11</v>
      </c>
      <c r="G594" t="b">
        <v>0</v>
      </c>
      <c r="H594">
        <v>29.86</v>
      </c>
      <c r="I594">
        <v>124251</v>
      </c>
      <c r="J594">
        <v>3.65</v>
      </c>
      <c r="K594">
        <v>1.3</v>
      </c>
      <c r="L594">
        <v>264</v>
      </c>
      <c r="M594">
        <v>216</v>
      </c>
      <c r="N594">
        <v>16</v>
      </c>
      <c r="O594">
        <v>0.81818181818181823</v>
      </c>
    </row>
    <row r="595" spans="1:15" x14ac:dyDescent="0.3">
      <c r="A595" s="13" t="s">
        <v>45</v>
      </c>
      <c r="B595" s="12" t="s">
        <v>30</v>
      </c>
      <c r="C595" s="12" t="s">
        <v>32</v>
      </c>
      <c r="D595">
        <v>35</v>
      </c>
      <c r="E595">
        <v>48</v>
      </c>
      <c r="F595">
        <v>11</v>
      </c>
      <c r="G595" t="b">
        <v>0</v>
      </c>
      <c r="H595">
        <v>29.86</v>
      </c>
      <c r="I595">
        <v>124251</v>
      </c>
      <c r="J595">
        <v>3.65</v>
      </c>
      <c r="K595">
        <v>1.3</v>
      </c>
      <c r="L595">
        <v>384</v>
      </c>
      <c r="M595">
        <v>120</v>
      </c>
      <c r="N595">
        <v>13</v>
      </c>
      <c r="O595">
        <v>0.3125</v>
      </c>
    </row>
    <row r="596" spans="1:15" x14ac:dyDescent="0.3">
      <c r="A596" s="13" t="s">
        <v>45</v>
      </c>
      <c r="B596" s="12" t="s">
        <v>30</v>
      </c>
      <c r="C596" s="12" t="s">
        <v>32</v>
      </c>
      <c r="D596">
        <v>35</v>
      </c>
      <c r="E596">
        <v>49</v>
      </c>
      <c r="F596">
        <v>12</v>
      </c>
      <c r="G596" t="b">
        <v>1</v>
      </c>
      <c r="H596">
        <v>29.86</v>
      </c>
      <c r="I596">
        <v>105715</v>
      </c>
      <c r="J596">
        <v>3.65</v>
      </c>
      <c r="K596">
        <v>1.3</v>
      </c>
      <c r="L596">
        <v>360</v>
      </c>
      <c r="M596">
        <v>120</v>
      </c>
      <c r="N596">
        <v>14</v>
      </c>
      <c r="O596">
        <v>0.33333333333333331</v>
      </c>
    </row>
    <row r="597" spans="1:15" x14ac:dyDescent="0.3">
      <c r="A597" s="13" t="s">
        <v>45</v>
      </c>
      <c r="B597" s="12" t="s">
        <v>30</v>
      </c>
      <c r="C597" s="12" t="s">
        <v>32</v>
      </c>
      <c r="D597">
        <v>35</v>
      </c>
      <c r="E597">
        <v>50</v>
      </c>
      <c r="F597">
        <v>12</v>
      </c>
      <c r="G597" t="b">
        <v>0</v>
      </c>
      <c r="H597">
        <v>29.86</v>
      </c>
      <c r="I597">
        <v>105715</v>
      </c>
      <c r="J597">
        <v>3.4</v>
      </c>
      <c r="K597">
        <v>1.3</v>
      </c>
      <c r="L597">
        <v>288</v>
      </c>
      <c r="M597">
        <v>288</v>
      </c>
      <c r="N597">
        <v>15</v>
      </c>
      <c r="O597">
        <v>1</v>
      </c>
    </row>
    <row r="598" spans="1:15" x14ac:dyDescent="0.3">
      <c r="A598" s="13" t="s">
        <v>45</v>
      </c>
      <c r="B598" s="12" t="s">
        <v>30</v>
      </c>
      <c r="C598" s="12" t="s">
        <v>32</v>
      </c>
      <c r="D598">
        <v>36</v>
      </c>
      <c r="E598">
        <v>51</v>
      </c>
      <c r="F598">
        <v>12</v>
      </c>
      <c r="G598" t="b">
        <v>0</v>
      </c>
      <c r="H598">
        <v>29.86</v>
      </c>
      <c r="I598">
        <v>105715</v>
      </c>
      <c r="J598">
        <v>3.4</v>
      </c>
      <c r="K598">
        <v>1.3</v>
      </c>
      <c r="L598">
        <v>0</v>
      </c>
      <c r="M598">
        <v>0</v>
      </c>
      <c r="N598">
        <v>15</v>
      </c>
      <c r="O598" t="e">
        <v>#DIV/0!</v>
      </c>
    </row>
    <row r="599" spans="1:15" x14ac:dyDescent="0.3">
      <c r="A599" s="13" t="s">
        <v>45</v>
      </c>
      <c r="B599" s="12" t="s">
        <v>30</v>
      </c>
      <c r="C599" s="12" t="s">
        <v>32</v>
      </c>
      <c r="D599">
        <v>40</v>
      </c>
      <c r="E599">
        <v>52</v>
      </c>
      <c r="F599">
        <v>12</v>
      </c>
      <c r="G599" t="b">
        <v>1</v>
      </c>
      <c r="H599">
        <v>29.86</v>
      </c>
      <c r="I599">
        <v>105715</v>
      </c>
      <c r="J599">
        <v>3.4</v>
      </c>
      <c r="K599">
        <v>1.3</v>
      </c>
      <c r="L599">
        <v>168</v>
      </c>
      <c r="M599">
        <v>0</v>
      </c>
      <c r="N599">
        <v>12</v>
      </c>
      <c r="O599">
        <v>0</v>
      </c>
    </row>
    <row r="600" spans="1:15" x14ac:dyDescent="0.3">
      <c r="A600" s="13" t="s">
        <v>45</v>
      </c>
      <c r="B600" s="12" t="s">
        <v>30</v>
      </c>
      <c r="C600" s="12" t="s">
        <v>32</v>
      </c>
      <c r="D600">
        <v>40</v>
      </c>
      <c r="E600">
        <v>1</v>
      </c>
      <c r="F600">
        <v>12</v>
      </c>
      <c r="G600" t="b">
        <v>1</v>
      </c>
      <c r="H600">
        <v>29.86</v>
      </c>
      <c r="I600">
        <v>105715</v>
      </c>
      <c r="J600">
        <v>3.4</v>
      </c>
      <c r="K600">
        <v>1.3</v>
      </c>
      <c r="L600">
        <v>456</v>
      </c>
      <c r="M600">
        <v>24</v>
      </c>
      <c r="N600">
        <v>13</v>
      </c>
      <c r="O600">
        <v>5.2631578947368418E-2</v>
      </c>
    </row>
    <row r="601" spans="1:15" x14ac:dyDescent="0.3">
      <c r="A601" s="13" t="s">
        <v>45</v>
      </c>
      <c r="B601" s="12" t="s">
        <v>30</v>
      </c>
      <c r="C601" s="12" t="s">
        <v>32</v>
      </c>
      <c r="D601">
        <v>40</v>
      </c>
      <c r="E601">
        <v>2</v>
      </c>
      <c r="F601">
        <v>1</v>
      </c>
      <c r="G601" t="b">
        <v>1</v>
      </c>
      <c r="H601">
        <v>29.86</v>
      </c>
      <c r="I601">
        <v>133692</v>
      </c>
      <c r="J601">
        <v>3.4</v>
      </c>
      <c r="K601">
        <v>1.5</v>
      </c>
      <c r="L601">
        <v>456</v>
      </c>
      <c r="M601">
        <v>48</v>
      </c>
      <c r="N601">
        <v>14</v>
      </c>
      <c r="O601">
        <v>0.10526315789473684</v>
      </c>
    </row>
    <row r="602" spans="1:15" x14ac:dyDescent="0.3">
      <c r="A602" s="13" t="s">
        <v>45</v>
      </c>
      <c r="B602" s="12" t="s">
        <v>30</v>
      </c>
      <c r="C602" s="12" t="s">
        <v>32</v>
      </c>
      <c r="D602">
        <v>40</v>
      </c>
      <c r="E602">
        <v>3</v>
      </c>
      <c r="F602">
        <v>1</v>
      </c>
      <c r="G602" t="b">
        <v>0</v>
      </c>
      <c r="H602">
        <v>29.86</v>
      </c>
      <c r="I602">
        <v>133692</v>
      </c>
      <c r="J602">
        <v>3.4</v>
      </c>
      <c r="K602">
        <v>1.5</v>
      </c>
      <c r="L602">
        <v>552</v>
      </c>
      <c r="M602">
        <v>72</v>
      </c>
      <c r="N602">
        <v>15</v>
      </c>
      <c r="O602">
        <v>0.13043478260869565</v>
      </c>
    </row>
    <row r="603" spans="1:15" x14ac:dyDescent="0.3">
      <c r="A603" s="13" t="s">
        <v>45</v>
      </c>
      <c r="B603" s="12" t="s">
        <v>30</v>
      </c>
      <c r="C603" s="12" t="s">
        <v>32</v>
      </c>
      <c r="D603">
        <v>40</v>
      </c>
      <c r="E603">
        <v>4</v>
      </c>
      <c r="F603">
        <v>1</v>
      </c>
      <c r="G603" t="b">
        <v>0</v>
      </c>
      <c r="H603">
        <v>29.86</v>
      </c>
      <c r="I603">
        <v>133692</v>
      </c>
      <c r="J603">
        <v>3.4</v>
      </c>
      <c r="K603">
        <v>1.5</v>
      </c>
      <c r="L603">
        <v>528</v>
      </c>
      <c r="M603">
        <v>96</v>
      </c>
      <c r="N603">
        <v>16</v>
      </c>
      <c r="O603">
        <v>0.18181818181818182</v>
      </c>
    </row>
    <row r="604" spans="1:15" x14ac:dyDescent="0.3">
      <c r="A604" s="13" t="s">
        <v>45</v>
      </c>
      <c r="B604" s="12" t="s">
        <v>30</v>
      </c>
      <c r="C604" s="12" t="s">
        <v>32</v>
      </c>
      <c r="D604">
        <v>44</v>
      </c>
      <c r="E604">
        <v>5</v>
      </c>
      <c r="F604">
        <v>1</v>
      </c>
      <c r="G604" t="b">
        <v>0</v>
      </c>
      <c r="H604">
        <v>29.86</v>
      </c>
      <c r="I604">
        <v>133692</v>
      </c>
      <c r="J604">
        <v>3.4</v>
      </c>
      <c r="K604">
        <v>1.5</v>
      </c>
      <c r="L604">
        <v>264</v>
      </c>
      <c r="M604">
        <v>144</v>
      </c>
      <c r="N604">
        <v>13</v>
      </c>
      <c r="O604">
        <v>0.54545454545454541</v>
      </c>
    </row>
    <row r="605" spans="1:15" x14ac:dyDescent="0.3">
      <c r="A605" s="13" t="s">
        <v>45</v>
      </c>
      <c r="B605" s="12" t="s">
        <v>30</v>
      </c>
      <c r="C605" s="12" t="s">
        <v>32</v>
      </c>
      <c r="D605">
        <v>44</v>
      </c>
      <c r="E605">
        <v>6</v>
      </c>
      <c r="F605">
        <v>2</v>
      </c>
      <c r="G605" t="b">
        <v>0</v>
      </c>
      <c r="H605">
        <v>29.86</v>
      </c>
      <c r="I605">
        <v>137922</v>
      </c>
      <c r="J605">
        <v>3.15</v>
      </c>
      <c r="K605">
        <v>1.6</v>
      </c>
      <c r="L605">
        <v>288</v>
      </c>
      <c r="M605">
        <v>96</v>
      </c>
      <c r="N605">
        <v>14</v>
      </c>
      <c r="O605">
        <v>0.33333333333333331</v>
      </c>
    </row>
    <row r="606" spans="1:15" x14ac:dyDescent="0.3">
      <c r="A606" s="13" t="s">
        <v>45</v>
      </c>
      <c r="B606" s="12" t="s">
        <v>30</v>
      </c>
      <c r="C606" s="12" t="s">
        <v>32</v>
      </c>
      <c r="D606">
        <v>44</v>
      </c>
      <c r="E606">
        <v>7</v>
      </c>
      <c r="F606">
        <v>2</v>
      </c>
      <c r="G606" t="b">
        <v>0</v>
      </c>
      <c r="H606">
        <v>29.86</v>
      </c>
      <c r="I606">
        <v>137922</v>
      </c>
      <c r="J606">
        <v>3.15</v>
      </c>
      <c r="K606">
        <v>1.6</v>
      </c>
      <c r="L606">
        <v>336</v>
      </c>
      <c r="M606">
        <v>240</v>
      </c>
      <c r="N606">
        <v>15</v>
      </c>
      <c r="O606">
        <v>0.7142857142857143</v>
      </c>
    </row>
    <row r="607" spans="1:15" x14ac:dyDescent="0.3">
      <c r="A607" s="13" t="s">
        <v>45</v>
      </c>
      <c r="B607" s="12" t="s">
        <v>30</v>
      </c>
      <c r="C607" s="12" t="s">
        <v>32</v>
      </c>
      <c r="D607">
        <v>44</v>
      </c>
      <c r="E607">
        <v>8</v>
      </c>
      <c r="F607">
        <v>2</v>
      </c>
      <c r="G607" t="b">
        <v>0</v>
      </c>
      <c r="H607">
        <v>29.86</v>
      </c>
      <c r="I607">
        <v>137922</v>
      </c>
      <c r="J607">
        <v>3.15</v>
      </c>
      <c r="K607">
        <v>1.6</v>
      </c>
      <c r="L607">
        <v>192</v>
      </c>
      <c r="M607">
        <v>288</v>
      </c>
      <c r="N607">
        <v>16</v>
      </c>
      <c r="O607">
        <v>1.5</v>
      </c>
    </row>
    <row r="608" spans="1:15" x14ac:dyDescent="0.3">
      <c r="A608" s="13" t="s">
        <v>45</v>
      </c>
      <c r="B608" s="12" t="s">
        <v>30</v>
      </c>
      <c r="C608" s="12" t="s">
        <v>32</v>
      </c>
      <c r="D608">
        <v>49</v>
      </c>
      <c r="E608">
        <v>9</v>
      </c>
      <c r="F608">
        <v>2</v>
      </c>
      <c r="G608" t="b">
        <v>0</v>
      </c>
      <c r="H608">
        <v>29.86</v>
      </c>
      <c r="I608">
        <v>137922</v>
      </c>
      <c r="J608">
        <v>3.15</v>
      </c>
      <c r="K608">
        <v>1.6</v>
      </c>
      <c r="L608">
        <v>264</v>
      </c>
      <c r="M608">
        <v>624</v>
      </c>
      <c r="N608">
        <v>12</v>
      </c>
      <c r="O608">
        <v>2.3636363636363638</v>
      </c>
    </row>
    <row r="609" spans="1:15" x14ac:dyDescent="0.3">
      <c r="A609" s="13" t="s">
        <v>45</v>
      </c>
      <c r="B609" s="12" t="s">
        <v>30</v>
      </c>
      <c r="C609" s="12" t="s">
        <v>32</v>
      </c>
      <c r="D609">
        <v>49</v>
      </c>
      <c r="E609">
        <v>10</v>
      </c>
      <c r="F609">
        <v>3</v>
      </c>
      <c r="G609" t="b">
        <v>0</v>
      </c>
      <c r="H609">
        <v>29.86</v>
      </c>
      <c r="I609">
        <v>172223</v>
      </c>
      <c r="J609">
        <v>3.15</v>
      </c>
      <c r="K609">
        <v>1.9</v>
      </c>
      <c r="L609">
        <v>240</v>
      </c>
      <c r="M609">
        <v>168</v>
      </c>
      <c r="N609">
        <v>13</v>
      </c>
      <c r="O609">
        <v>0.7</v>
      </c>
    </row>
    <row r="610" spans="1:15" x14ac:dyDescent="0.3">
      <c r="A610" s="13" t="s">
        <v>45</v>
      </c>
      <c r="B610" s="12" t="s">
        <v>30</v>
      </c>
      <c r="C610" s="12" t="s">
        <v>32</v>
      </c>
      <c r="D610">
        <v>49</v>
      </c>
      <c r="E610">
        <v>11</v>
      </c>
      <c r="F610">
        <v>3</v>
      </c>
      <c r="G610" t="b">
        <v>0</v>
      </c>
      <c r="H610">
        <v>29.86</v>
      </c>
      <c r="I610">
        <v>172223</v>
      </c>
      <c r="J610">
        <v>2.9</v>
      </c>
      <c r="K610">
        <v>1.9</v>
      </c>
      <c r="L610">
        <v>168</v>
      </c>
      <c r="M610">
        <v>192</v>
      </c>
      <c r="N610">
        <v>14</v>
      </c>
      <c r="O610">
        <v>1.1428571428571428</v>
      </c>
    </row>
    <row r="611" spans="1:15" x14ac:dyDescent="0.3">
      <c r="A611" s="13" t="s">
        <v>45</v>
      </c>
      <c r="B611" s="12" t="s">
        <v>30</v>
      </c>
      <c r="C611" s="12" t="s">
        <v>32</v>
      </c>
      <c r="D611">
        <v>49</v>
      </c>
      <c r="E611">
        <v>12</v>
      </c>
      <c r="F611">
        <v>3</v>
      </c>
      <c r="G611" t="b">
        <v>0</v>
      </c>
      <c r="H611">
        <v>29.86</v>
      </c>
      <c r="I611">
        <v>172223</v>
      </c>
      <c r="J611">
        <v>2.9</v>
      </c>
      <c r="K611">
        <v>1.9</v>
      </c>
      <c r="L611">
        <v>288</v>
      </c>
      <c r="M611">
        <v>240</v>
      </c>
      <c r="N611">
        <v>15</v>
      </c>
      <c r="O611">
        <v>0.83333333333333337</v>
      </c>
    </row>
    <row r="612" spans="1:15" x14ac:dyDescent="0.3">
      <c r="A612" s="13" t="s">
        <v>45</v>
      </c>
      <c r="B612" s="12" t="s">
        <v>30</v>
      </c>
      <c r="C612" s="12" t="s">
        <v>32</v>
      </c>
      <c r="D612">
        <v>49</v>
      </c>
      <c r="E612">
        <v>13</v>
      </c>
      <c r="F612">
        <v>3</v>
      </c>
      <c r="G612" t="b">
        <v>0</v>
      </c>
      <c r="H612">
        <v>29.86</v>
      </c>
      <c r="I612">
        <v>172223</v>
      </c>
      <c r="J612">
        <v>2.9</v>
      </c>
      <c r="K612">
        <v>1.9</v>
      </c>
      <c r="L612">
        <v>264</v>
      </c>
      <c r="M612">
        <v>408</v>
      </c>
      <c r="N612">
        <v>16</v>
      </c>
      <c r="O612">
        <v>1.5454545454545454</v>
      </c>
    </row>
    <row r="613" spans="1:15" x14ac:dyDescent="0.3">
      <c r="A613" s="13" t="s">
        <v>45</v>
      </c>
      <c r="B613" s="12" t="s">
        <v>30</v>
      </c>
      <c r="C613" s="12" t="s">
        <v>32</v>
      </c>
      <c r="D613">
        <v>2</v>
      </c>
      <c r="E613">
        <v>14</v>
      </c>
      <c r="F613">
        <v>3</v>
      </c>
      <c r="G613" t="b">
        <v>0</v>
      </c>
      <c r="H613">
        <v>29.86</v>
      </c>
      <c r="I613">
        <v>172223</v>
      </c>
      <c r="J613">
        <v>2.9</v>
      </c>
      <c r="K613">
        <v>1.9</v>
      </c>
      <c r="L613">
        <v>264</v>
      </c>
      <c r="M613">
        <v>144</v>
      </c>
      <c r="N613">
        <v>12</v>
      </c>
      <c r="O613">
        <v>0.54545454545454541</v>
      </c>
    </row>
    <row r="614" spans="1:15" x14ac:dyDescent="0.3">
      <c r="A614" s="13" t="s">
        <v>45</v>
      </c>
      <c r="B614" s="12" t="s">
        <v>30</v>
      </c>
      <c r="C614" s="12" t="s">
        <v>32</v>
      </c>
      <c r="D614">
        <v>2</v>
      </c>
      <c r="E614">
        <v>15</v>
      </c>
      <c r="F614">
        <v>4</v>
      </c>
      <c r="G614" t="b">
        <v>0</v>
      </c>
      <c r="H614">
        <v>29.86</v>
      </c>
      <c r="I614">
        <v>139084</v>
      </c>
      <c r="J614">
        <v>2.9</v>
      </c>
      <c r="K614">
        <v>1.9</v>
      </c>
      <c r="L614">
        <v>48</v>
      </c>
      <c r="M614">
        <v>24</v>
      </c>
      <c r="N614">
        <v>13</v>
      </c>
      <c r="O614">
        <v>0.5</v>
      </c>
    </row>
    <row r="615" spans="1:15" x14ac:dyDescent="0.3">
      <c r="A615" s="13" t="s">
        <v>45</v>
      </c>
      <c r="B615" s="12" t="s">
        <v>30</v>
      </c>
      <c r="C615" s="12" t="s">
        <v>32</v>
      </c>
      <c r="D615">
        <v>2</v>
      </c>
      <c r="E615">
        <v>16</v>
      </c>
      <c r="F615">
        <v>4</v>
      </c>
      <c r="G615" t="b">
        <v>0</v>
      </c>
      <c r="H615">
        <v>29.86</v>
      </c>
      <c r="I615">
        <v>139084</v>
      </c>
      <c r="J615">
        <v>2.9</v>
      </c>
      <c r="K615">
        <v>1.9</v>
      </c>
      <c r="L615">
        <v>192</v>
      </c>
      <c r="M615">
        <v>0</v>
      </c>
      <c r="N615">
        <v>14</v>
      </c>
      <c r="O615">
        <v>0</v>
      </c>
    </row>
    <row r="616" spans="1:15" x14ac:dyDescent="0.3">
      <c r="A616" s="13" t="s">
        <v>45</v>
      </c>
      <c r="B616" s="12" t="s">
        <v>30</v>
      </c>
      <c r="C616" s="12" t="s">
        <v>32</v>
      </c>
      <c r="D616">
        <v>2</v>
      </c>
      <c r="E616">
        <v>17</v>
      </c>
      <c r="F616">
        <v>4</v>
      </c>
      <c r="G616" t="b">
        <v>1</v>
      </c>
      <c r="H616">
        <v>29.86</v>
      </c>
      <c r="I616">
        <v>139084</v>
      </c>
      <c r="J616">
        <v>2.65</v>
      </c>
      <c r="K616">
        <v>1.9</v>
      </c>
      <c r="L616">
        <v>72</v>
      </c>
      <c r="M616">
        <v>264</v>
      </c>
      <c r="N616">
        <v>15</v>
      </c>
      <c r="O616">
        <v>3.6666666666666665</v>
      </c>
    </row>
    <row r="617" spans="1:15" x14ac:dyDescent="0.3">
      <c r="A617" s="13" t="s">
        <v>45</v>
      </c>
      <c r="B617" s="12" t="s">
        <v>30</v>
      </c>
      <c r="C617" s="12" t="s">
        <v>32</v>
      </c>
      <c r="D617">
        <v>5</v>
      </c>
      <c r="E617">
        <v>18</v>
      </c>
      <c r="F617">
        <v>4</v>
      </c>
      <c r="G617" t="b">
        <v>1</v>
      </c>
      <c r="H617">
        <v>29.86</v>
      </c>
      <c r="I617">
        <v>139084</v>
      </c>
      <c r="J617">
        <v>2.65</v>
      </c>
      <c r="K617">
        <v>1.9</v>
      </c>
      <c r="L617">
        <v>288</v>
      </c>
      <c r="M617">
        <v>144</v>
      </c>
      <c r="N617">
        <v>13</v>
      </c>
      <c r="O617">
        <v>0.5</v>
      </c>
    </row>
    <row r="618" spans="1:15" x14ac:dyDescent="0.3">
      <c r="A618" s="13" t="s">
        <v>45</v>
      </c>
      <c r="B618" s="12" t="s">
        <v>30</v>
      </c>
      <c r="C618" s="12" t="s">
        <v>32</v>
      </c>
      <c r="D618">
        <v>5</v>
      </c>
      <c r="E618">
        <v>19</v>
      </c>
      <c r="F618">
        <v>5</v>
      </c>
      <c r="G618" t="b">
        <v>0</v>
      </c>
      <c r="H618">
        <v>29.86</v>
      </c>
      <c r="I618">
        <v>139390</v>
      </c>
      <c r="J618">
        <v>2.65</v>
      </c>
      <c r="K618">
        <v>1.6</v>
      </c>
      <c r="L618">
        <v>384</v>
      </c>
      <c r="M618">
        <v>288</v>
      </c>
      <c r="N618">
        <v>14</v>
      </c>
      <c r="O618">
        <v>0.75</v>
      </c>
    </row>
    <row r="619" spans="1:15" x14ac:dyDescent="0.3">
      <c r="A619" s="13" t="s">
        <v>45</v>
      </c>
      <c r="B619" s="12" t="s">
        <v>30</v>
      </c>
      <c r="C619" s="12" t="s">
        <v>32</v>
      </c>
      <c r="D619">
        <v>5</v>
      </c>
      <c r="E619">
        <v>20</v>
      </c>
      <c r="F619">
        <v>5</v>
      </c>
      <c r="G619" t="b">
        <v>0</v>
      </c>
      <c r="H619">
        <v>29.86</v>
      </c>
      <c r="I619">
        <v>139390</v>
      </c>
      <c r="J619">
        <v>2.65</v>
      </c>
      <c r="K619">
        <v>1.6</v>
      </c>
      <c r="L619">
        <v>312</v>
      </c>
      <c r="M619">
        <v>216</v>
      </c>
      <c r="N619">
        <v>15</v>
      </c>
      <c r="O619">
        <v>0.69230769230769229</v>
      </c>
    </row>
    <row r="620" spans="1:15" x14ac:dyDescent="0.3">
      <c r="A620" s="13" t="s">
        <v>45</v>
      </c>
      <c r="B620" s="12" t="s">
        <v>30</v>
      </c>
      <c r="C620" s="12" t="s">
        <v>32</v>
      </c>
      <c r="D620">
        <v>5</v>
      </c>
      <c r="E620">
        <v>21</v>
      </c>
      <c r="F620">
        <v>5</v>
      </c>
      <c r="G620" t="b">
        <v>0</v>
      </c>
      <c r="H620">
        <v>29.86</v>
      </c>
      <c r="I620">
        <v>139390</v>
      </c>
      <c r="J620">
        <v>2.65</v>
      </c>
      <c r="K620">
        <v>1.6</v>
      </c>
      <c r="L620">
        <v>312</v>
      </c>
      <c r="M620">
        <v>624</v>
      </c>
      <c r="N620">
        <v>16</v>
      </c>
      <c r="O620">
        <v>2</v>
      </c>
    </row>
    <row r="621" spans="1:15" x14ac:dyDescent="0.3">
      <c r="A621" s="13" t="s">
        <v>45</v>
      </c>
      <c r="B621" s="12" t="s">
        <v>30</v>
      </c>
      <c r="C621" s="12" t="s">
        <v>32</v>
      </c>
      <c r="D621">
        <v>9</v>
      </c>
      <c r="E621">
        <v>22</v>
      </c>
      <c r="F621">
        <v>5</v>
      </c>
      <c r="G621" t="b">
        <v>0</v>
      </c>
      <c r="H621">
        <v>29.86</v>
      </c>
      <c r="I621">
        <v>139390</v>
      </c>
      <c r="J621">
        <v>2.65</v>
      </c>
      <c r="K621">
        <v>1.6</v>
      </c>
      <c r="L621">
        <v>360</v>
      </c>
      <c r="M621">
        <v>48</v>
      </c>
      <c r="N621">
        <v>13</v>
      </c>
      <c r="O621">
        <v>0.13333333333333333</v>
      </c>
    </row>
    <row r="622" spans="1:15" x14ac:dyDescent="0.3">
      <c r="A622" s="13" t="s">
        <v>45</v>
      </c>
      <c r="B622" s="12" t="s">
        <v>30</v>
      </c>
      <c r="C622" s="12" t="s">
        <v>32</v>
      </c>
      <c r="D622">
        <v>9</v>
      </c>
      <c r="E622">
        <v>23</v>
      </c>
      <c r="F622">
        <v>5</v>
      </c>
      <c r="G622" t="b">
        <v>1</v>
      </c>
      <c r="H622">
        <v>29.86</v>
      </c>
      <c r="I622">
        <v>139390</v>
      </c>
      <c r="J622">
        <v>2.4</v>
      </c>
      <c r="K622">
        <v>1.6</v>
      </c>
      <c r="L622">
        <v>312</v>
      </c>
      <c r="M622">
        <v>192</v>
      </c>
      <c r="N622">
        <v>14</v>
      </c>
      <c r="O622">
        <v>0.61538461538461542</v>
      </c>
    </row>
    <row r="623" spans="1:15" x14ac:dyDescent="0.3">
      <c r="A623" s="13" t="s">
        <v>45</v>
      </c>
      <c r="B623" s="12" t="s">
        <v>30</v>
      </c>
      <c r="C623" s="12" t="s">
        <v>32</v>
      </c>
      <c r="D623">
        <v>9</v>
      </c>
      <c r="E623">
        <v>24</v>
      </c>
      <c r="F623">
        <v>6</v>
      </c>
      <c r="G623" t="b">
        <v>0</v>
      </c>
      <c r="H623">
        <v>29.86</v>
      </c>
      <c r="I623">
        <v>132191</v>
      </c>
      <c r="J623">
        <v>2.4</v>
      </c>
      <c r="K623">
        <v>1.7</v>
      </c>
      <c r="L623">
        <v>240</v>
      </c>
      <c r="M623">
        <v>192</v>
      </c>
      <c r="N623">
        <v>15</v>
      </c>
      <c r="O623">
        <v>0.8</v>
      </c>
    </row>
    <row r="624" spans="1:15" x14ac:dyDescent="0.3">
      <c r="A624" s="13" t="s">
        <v>45</v>
      </c>
      <c r="B624" s="12" t="s">
        <v>30</v>
      </c>
      <c r="C624" s="12" t="s">
        <v>32</v>
      </c>
      <c r="D624">
        <v>9</v>
      </c>
      <c r="E624">
        <v>25</v>
      </c>
      <c r="F624">
        <v>6</v>
      </c>
      <c r="G624" t="b">
        <v>0</v>
      </c>
      <c r="H624">
        <v>29.86</v>
      </c>
      <c r="I624">
        <v>132191</v>
      </c>
      <c r="J624">
        <v>2.4</v>
      </c>
      <c r="K624">
        <v>1.7</v>
      </c>
      <c r="L624">
        <v>264</v>
      </c>
      <c r="M624">
        <v>192</v>
      </c>
      <c r="N624">
        <v>16</v>
      </c>
      <c r="O624">
        <v>0.72727272727272729</v>
      </c>
    </row>
    <row r="625" spans="1:15" x14ac:dyDescent="0.3">
      <c r="A625" s="13" t="s">
        <v>45</v>
      </c>
      <c r="B625" s="12" t="s">
        <v>30</v>
      </c>
      <c r="C625" s="12" t="s">
        <v>32</v>
      </c>
      <c r="D625">
        <v>10</v>
      </c>
      <c r="E625">
        <v>26</v>
      </c>
      <c r="F625">
        <v>6</v>
      </c>
      <c r="G625" t="b">
        <v>0</v>
      </c>
      <c r="H625">
        <v>29.86</v>
      </c>
      <c r="I625">
        <v>132191</v>
      </c>
      <c r="J625">
        <v>2.4</v>
      </c>
      <c r="K625">
        <v>1.7</v>
      </c>
      <c r="L625">
        <v>264</v>
      </c>
      <c r="M625">
        <v>192</v>
      </c>
      <c r="N625">
        <v>16</v>
      </c>
      <c r="O625">
        <v>0.72727272727272729</v>
      </c>
    </row>
    <row r="626" spans="1:15" x14ac:dyDescent="0.3">
      <c r="A626" s="13" t="s">
        <v>47</v>
      </c>
      <c r="B626" s="12" t="s">
        <v>30</v>
      </c>
      <c r="C626" s="12" t="s">
        <v>32</v>
      </c>
      <c r="D626">
        <v>12</v>
      </c>
      <c r="E626">
        <v>27</v>
      </c>
      <c r="F626">
        <v>7</v>
      </c>
      <c r="G626" t="b">
        <v>0</v>
      </c>
      <c r="H626">
        <v>28.82</v>
      </c>
      <c r="I626">
        <v>124806</v>
      </c>
      <c r="J626">
        <v>4.5</v>
      </c>
      <c r="K626">
        <v>1.3</v>
      </c>
      <c r="L626">
        <v>850</v>
      </c>
      <c r="M626">
        <v>0</v>
      </c>
      <c r="N626">
        <v>15</v>
      </c>
      <c r="O626">
        <v>0</v>
      </c>
    </row>
    <row r="627" spans="1:15" x14ac:dyDescent="0.3">
      <c r="A627" s="13" t="s">
        <v>47</v>
      </c>
      <c r="B627" s="12" t="s">
        <v>30</v>
      </c>
      <c r="C627" s="12" t="s">
        <v>32</v>
      </c>
      <c r="D627">
        <v>12</v>
      </c>
      <c r="E627">
        <v>28</v>
      </c>
      <c r="F627">
        <v>7</v>
      </c>
      <c r="G627" t="b">
        <v>0</v>
      </c>
      <c r="H627">
        <v>28.82</v>
      </c>
      <c r="I627">
        <v>124806</v>
      </c>
      <c r="J627">
        <v>4.5</v>
      </c>
      <c r="K627">
        <v>1.3</v>
      </c>
      <c r="L627">
        <v>800</v>
      </c>
      <c r="M627">
        <v>72</v>
      </c>
      <c r="N627">
        <v>16</v>
      </c>
      <c r="O627">
        <v>0.09</v>
      </c>
    </row>
    <row r="628" spans="1:15" x14ac:dyDescent="0.3">
      <c r="A628" s="13" t="s">
        <v>47</v>
      </c>
      <c r="B628" s="12" t="s">
        <v>30</v>
      </c>
      <c r="C628" s="12" t="s">
        <v>32</v>
      </c>
      <c r="D628">
        <v>12</v>
      </c>
      <c r="E628">
        <v>29</v>
      </c>
      <c r="F628">
        <v>7</v>
      </c>
      <c r="G628" t="b">
        <v>0</v>
      </c>
      <c r="H628">
        <v>28.82</v>
      </c>
      <c r="I628">
        <v>124806</v>
      </c>
      <c r="J628">
        <v>4.5</v>
      </c>
      <c r="K628">
        <v>1.3</v>
      </c>
      <c r="L628">
        <v>850</v>
      </c>
      <c r="M628">
        <v>216</v>
      </c>
      <c r="N628">
        <v>17</v>
      </c>
      <c r="O628">
        <v>0.2541176470588235</v>
      </c>
    </row>
    <row r="629" spans="1:15" x14ac:dyDescent="0.3">
      <c r="A629" s="13" t="s">
        <v>47</v>
      </c>
      <c r="B629" s="12" t="s">
        <v>30</v>
      </c>
      <c r="C629" s="12" t="s">
        <v>32</v>
      </c>
      <c r="D629">
        <v>13</v>
      </c>
      <c r="E629">
        <v>30</v>
      </c>
      <c r="F629">
        <v>7</v>
      </c>
      <c r="G629" t="b">
        <v>0</v>
      </c>
      <c r="H629">
        <v>28.82</v>
      </c>
      <c r="I629">
        <v>124806</v>
      </c>
      <c r="J629">
        <v>4.5</v>
      </c>
      <c r="K629">
        <v>1.3</v>
      </c>
      <c r="L629">
        <v>50</v>
      </c>
      <c r="M629">
        <v>0</v>
      </c>
      <c r="N629">
        <v>17</v>
      </c>
      <c r="O629">
        <v>0</v>
      </c>
    </row>
    <row r="630" spans="1:15" x14ac:dyDescent="0.3">
      <c r="A630" s="13" t="s">
        <v>47</v>
      </c>
      <c r="B630" s="12" t="s">
        <v>30</v>
      </c>
      <c r="C630" s="12" t="s">
        <v>32</v>
      </c>
      <c r="D630">
        <v>14</v>
      </c>
      <c r="E630">
        <v>31</v>
      </c>
      <c r="F630">
        <v>7</v>
      </c>
      <c r="G630" t="b">
        <v>0</v>
      </c>
      <c r="H630">
        <v>28.82</v>
      </c>
      <c r="I630">
        <v>124806</v>
      </c>
      <c r="J630">
        <v>4.5</v>
      </c>
      <c r="K630">
        <v>1.3</v>
      </c>
      <c r="L630">
        <v>0</v>
      </c>
      <c r="M630">
        <v>0</v>
      </c>
      <c r="N630">
        <v>17</v>
      </c>
      <c r="O630" t="e">
        <v>#DIV/0!</v>
      </c>
    </row>
    <row r="631" spans="1:15" x14ac:dyDescent="0.3">
      <c r="A631" s="13" t="s">
        <v>47</v>
      </c>
      <c r="B631" s="12" t="s">
        <v>30</v>
      </c>
      <c r="C631" s="12" t="s">
        <v>32</v>
      </c>
      <c r="D631">
        <v>15</v>
      </c>
      <c r="E631">
        <v>32</v>
      </c>
      <c r="F631">
        <v>8</v>
      </c>
      <c r="G631" t="b">
        <v>1</v>
      </c>
      <c r="H631">
        <v>28.82</v>
      </c>
      <c r="I631">
        <v>69121</v>
      </c>
      <c r="J631">
        <v>4.5</v>
      </c>
      <c r="K631">
        <v>1.1000000000000001</v>
      </c>
      <c r="L631">
        <v>700</v>
      </c>
      <c r="M631">
        <v>24</v>
      </c>
      <c r="N631">
        <v>17</v>
      </c>
      <c r="O631">
        <v>3.4285714285714287E-2</v>
      </c>
    </row>
    <row r="632" spans="1:15" x14ac:dyDescent="0.3">
      <c r="A632" s="13" t="s">
        <v>47</v>
      </c>
      <c r="B632" s="12" t="s">
        <v>30</v>
      </c>
      <c r="C632" s="12" t="s">
        <v>32</v>
      </c>
      <c r="D632">
        <v>15</v>
      </c>
      <c r="E632">
        <v>33</v>
      </c>
      <c r="F632">
        <v>8</v>
      </c>
      <c r="G632" t="b">
        <v>1</v>
      </c>
      <c r="H632">
        <v>28.82</v>
      </c>
      <c r="I632">
        <v>69121</v>
      </c>
      <c r="J632">
        <v>4.5</v>
      </c>
      <c r="K632">
        <v>1.1000000000000001</v>
      </c>
      <c r="L632">
        <v>1000</v>
      </c>
      <c r="M632">
        <v>144</v>
      </c>
      <c r="N632">
        <v>18</v>
      </c>
      <c r="O632">
        <v>0.14399999999999999</v>
      </c>
    </row>
    <row r="633" spans="1:15" x14ac:dyDescent="0.3">
      <c r="A633" s="13" t="s">
        <v>47</v>
      </c>
      <c r="B633" s="12" t="s">
        <v>30</v>
      </c>
      <c r="C633" s="12" t="s">
        <v>32</v>
      </c>
      <c r="D633">
        <v>14</v>
      </c>
      <c r="E633">
        <v>34</v>
      </c>
      <c r="F633">
        <v>8</v>
      </c>
      <c r="G633" t="b">
        <v>0</v>
      </c>
      <c r="H633">
        <v>28.82</v>
      </c>
      <c r="I633">
        <v>69121</v>
      </c>
      <c r="J633">
        <v>4.5</v>
      </c>
      <c r="K633">
        <v>1.1000000000000001</v>
      </c>
      <c r="L633">
        <v>1000</v>
      </c>
      <c r="M633">
        <v>168</v>
      </c>
      <c r="N633">
        <v>20</v>
      </c>
      <c r="O633">
        <v>0.16800000000000001</v>
      </c>
    </row>
    <row r="634" spans="1:15" x14ac:dyDescent="0.3">
      <c r="A634" s="13" t="s">
        <v>47</v>
      </c>
      <c r="B634" s="12" t="s">
        <v>30</v>
      </c>
      <c r="C634" s="12" t="s">
        <v>32</v>
      </c>
      <c r="D634">
        <v>21</v>
      </c>
      <c r="E634">
        <v>35</v>
      </c>
      <c r="F634">
        <v>8</v>
      </c>
      <c r="G634" t="b">
        <v>0</v>
      </c>
      <c r="H634">
        <v>28.82</v>
      </c>
      <c r="I634">
        <v>69121</v>
      </c>
      <c r="J634">
        <v>4.5</v>
      </c>
      <c r="K634">
        <v>1.1000000000000001</v>
      </c>
      <c r="L634">
        <v>936</v>
      </c>
      <c r="M634">
        <v>48</v>
      </c>
      <c r="N634">
        <v>14</v>
      </c>
      <c r="O634">
        <v>5.128205128205128E-2</v>
      </c>
    </row>
    <row r="635" spans="1:15" x14ac:dyDescent="0.3">
      <c r="A635" s="13" t="s">
        <v>47</v>
      </c>
      <c r="B635" s="12" t="s">
        <v>30</v>
      </c>
      <c r="C635" s="12" t="s">
        <v>32</v>
      </c>
      <c r="D635">
        <v>21</v>
      </c>
      <c r="E635">
        <v>36</v>
      </c>
      <c r="F635">
        <v>9</v>
      </c>
      <c r="G635" t="b">
        <v>0</v>
      </c>
      <c r="H635">
        <v>28.82</v>
      </c>
      <c r="I635">
        <v>121666</v>
      </c>
      <c r="J635">
        <v>4.5</v>
      </c>
      <c r="K635">
        <v>0.7</v>
      </c>
      <c r="L635">
        <v>984</v>
      </c>
      <c r="M635">
        <v>96</v>
      </c>
      <c r="N635">
        <v>15</v>
      </c>
      <c r="O635">
        <v>9.7560975609756101E-2</v>
      </c>
    </row>
    <row r="636" spans="1:15" x14ac:dyDescent="0.3">
      <c r="A636" s="13" t="s">
        <v>47</v>
      </c>
      <c r="B636" s="12" t="s">
        <v>30</v>
      </c>
      <c r="C636" s="12" t="s">
        <v>32</v>
      </c>
      <c r="D636">
        <v>21</v>
      </c>
      <c r="E636">
        <v>37</v>
      </c>
      <c r="F636">
        <v>9</v>
      </c>
      <c r="G636" t="b">
        <v>0</v>
      </c>
      <c r="H636">
        <v>28.82</v>
      </c>
      <c r="I636">
        <v>121666</v>
      </c>
      <c r="J636">
        <v>4.5</v>
      </c>
      <c r="K636">
        <v>0.7</v>
      </c>
      <c r="L636">
        <v>768</v>
      </c>
      <c r="M636">
        <v>168</v>
      </c>
      <c r="N636">
        <v>16</v>
      </c>
      <c r="O636">
        <v>0.21875</v>
      </c>
    </row>
    <row r="637" spans="1:15" x14ac:dyDescent="0.3">
      <c r="A637" s="13" t="s">
        <v>47</v>
      </c>
      <c r="B637" s="12" t="s">
        <v>30</v>
      </c>
      <c r="C637" s="12" t="s">
        <v>32</v>
      </c>
      <c r="D637">
        <v>21</v>
      </c>
      <c r="E637">
        <v>38</v>
      </c>
      <c r="F637">
        <v>9</v>
      </c>
      <c r="G637" t="b">
        <v>0</v>
      </c>
      <c r="H637">
        <v>28.82</v>
      </c>
      <c r="I637">
        <v>121666</v>
      </c>
      <c r="J637">
        <v>3.9</v>
      </c>
      <c r="K637">
        <v>0.7</v>
      </c>
      <c r="L637">
        <v>600</v>
      </c>
      <c r="M637">
        <v>120</v>
      </c>
      <c r="N637">
        <v>17</v>
      </c>
      <c r="O637">
        <v>0.2</v>
      </c>
    </row>
    <row r="638" spans="1:15" x14ac:dyDescent="0.3">
      <c r="A638" s="13" t="s">
        <v>47</v>
      </c>
      <c r="B638" s="12" t="s">
        <v>30</v>
      </c>
      <c r="C638" s="12" t="s">
        <v>32</v>
      </c>
      <c r="D638">
        <v>25</v>
      </c>
      <c r="E638">
        <v>39</v>
      </c>
      <c r="F638">
        <v>9</v>
      </c>
      <c r="G638" t="b">
        <v>0</v>
      </c>
      <c r="H638">
        <v>28.82</v>
      </c>
      <c r="I638">
        <v>121666</v>
      </c>
      <c r="J638">
        <v>3.9</v>
      </c>
      <c r="K638">
        <v>0.7</v>
      </c>
      <c r="L638">
        <v>384</v>
      </c>
      <c r="M638">
        <v>0</v>
      </c>
      <c r="N638">
        <v>14</v>
      </c>
      <c r="O638">
        <v>0</v>
      </c>
    </row>
    <row r="639" spans="1:15" x14ac:dyDescent="0.3">
      <c r="A639" s="13" t="s">
        <v>47</v>
      </c>
      <c r="B639" s="12" t="s">
        <v>30</v>
      </c>
      <c r="C639" s="12" t="s">
        <v>32</v>
      </c>
      <c r="D639">
        <v>25</v>
      </c>
      <c r="E639">
        <v>40</v>
      </c>
      <c r="F639">
        <v>9</v>
      </c>
      <c r="G639" t="b">
        <v>0</v>
      </c>
      <c r="H639">
        <v>28.82</v>
      </c>
      <c r="I639">
        <v>121666</v>
      </c>
      <c r="J639">
        <v>3.9</v>
      </c>
      <c r="K639">
        <v>0.7</v>
      </c>
      <c r="L639">
        <v>504</v>
      </c>
      <c r="M639">
        <v>96</v>
      </c>
      <c r="N639">
        <v>15</v>
      </c>
      <c r="O639">
        <v>0.19047619047619047</v>
      </c>
    </row>
    <row r="640" spans="1:15" x14ac:dyDescent="0.3">
      <c r="A640" s="13" t="s">
        <v>47</v>
      </c>
      <c r="B640" s="12" t="s">
        <v>30</v>
      </c>
      <c r="C640" s="12" t="s">
        <v>32</v>
      </c>
      <c r="D640">
        <v>25</v>
      </c>
      <c r="E640">
        <v>41</v>
      </c>
      <c r="F640">
        <v>10</v>
      </c>
      <c r="G640" t="b">
        <v>0</v>
      </c>
      <c r="H640">
        <v>28.82</v>
      </c>
      <c r="I640">
        <v>126488</v>
      </c>
      <c r="J640">
        <v>3.9</v>
      </c>
      <c r="K640">
        <v>0.9</v>
      </c>
      <c r="L640">
        <v>432</v>
      </c>
      <c r="M640">
        <v>24</v>
      </c>
      <c r="N640">
        <v>16</v>
      </c>
      <c r="O640">
        <v>5.5555555555555552E-2</v>
      </c>
    </row>
    <row r="641" spans="1:15" x14ac:dyDescent="0.3">
      <c r="A641" s="13" t="s">
        <v>47</v>
      </c>
      <c r="B641" s="12" t="s">
        <v>30</v>
      </c>
      <c r="C641" s="12" t="s">
        <v>32</v>
      </c>
      <c r="D641">
        <v>25</v>
      </c>
      <c r="E641">
        <v>42</v>
      </c>
      <c r="F641">
        <v>10</v>
      </c>
      <c r="G641" t="b">
        <v>0</v>
      </c>
      <c r="H641">
        <v>28.82</v>
      </c>
      <c r="I641">
        <v>126488</v>
      </c>
      <c r="J641">
        <v>3.9</v>
      </c>
      <c r="K641">
        <v>0.9</v>
      </c>
      <c r="L641">
        <v>120</v>
      </c>
      <c r="M641">
        <v>240</v>
      </c>
      <c r="N641">
        <v>17</v>
      </c>
      <c r="O641">
        <v>2</v>
      </c>
    </row>
    <row r="642" spans="1:15" x14ac:dyDescent="0.3">
      <c r="A642" s="13" t="s">
        <v>47</v>
      </c>
      <c r="B642" s="12" t="s">
        <v>30</v>
      </c>
      <c r="C642" s="12" t="s">
        <v>32</v>
      </c>
      <c r="D642">
        <v>25</v>
      </c>
      <c r="E642">
        <v>43</v>
      </c>
      <c r="F642">
        <v>10</v>
      </c>
      <c r="G642" t="b">
        <v>0</v>
      </c>
      <c r="H642">
        <v>28.82</v>
      </c>
      <c r="I642">
        <v>126488</v>
      </c>
      <c r="J642">
        <v>3.65</v>
      </c>
      <c r="K642">
        <v>0.9</v>
      </c>
      <c r="L642">
        <v>192</v>
      </c>
      <c r="M642">
        <v>120</v>
      </c>
      <c r="N642">
        <v>18</v>
      </c>
      <c r="O642">
        <v>0.625</v>
      </c>
    </row>
    <row r="643" spans="1:15" x14ac:dyDescent="0.3">
      <c r="A643" s="13" t="s">
        <v>47</v>
      </c>
      <c r="B643" s="12" t="s">
        <v>30</v>
      </c>
      <c r="C643" s="12" t="s">
        <v>32</v>
      </c>
      <c r="D643">
        <v>31</v>
      </c>
      <c r="E643">
        <v>44</v>
      </c>
      <c r="F643">
        <v>10</v>
      </c>
      <c r="G643" t="b">
        <v>1</v>
      </c>
      <c r="H643">
        <v>28.82</v>
      </c>
      <c r="I643">
        <v>126488</v>
      </c>
      <c r="J643">
        <v>3.65</v>
      </c>
      <c r="K643">
        <v>0.9</v>
      </c>
      <c r="L643">
        <v>576</v>
      </c>
      <c r="M643">
        <v>288</v>
      </c>
      <c r="N643">
        <v>13</v>
      </c>
      <c r="O643">
        <v>0.5</v>
      </c>
    </row>
    <row r="644" spans="1:15" x14ac:dyDescent="0.3">
      <c r="A644" s="13" t="s">
        <v>47</v>
      </c>
      <c r="B644" s="12" t="s">
        <v>30</v>
      </c>
      <c r="C644" s="12" t="s">
        <v>32</v>
      </c>
      <c r="D644">
        <v>31</v>
      </c>
      <c r="E644">
        <v>45</v>
      </c>
      <c r="F644">
        <v>11</v>
      </c>
      <c r="G644" t="b">
        <v>0</v>
      </c>
      <c r="H644">
        <v>28.82</v>
      </c>
      <c r="I644">
        <v>124251</v>
      </c>
      <c r="J644">
        <v>3.65</v>
      </c>
      <c r="K644">
        <v>1.3</v>
      </c>
      <c r="L644">
        <v>744</v>
      </c>
      <c r="M644">
        <v>72</v>
      </c>
      <c r="N644">
        <v>14</v>
      </c>
      <c r="O644">
        <v>9.6774193548387094E-2</v>
      </c>
    </row>
    <row r="645" spans="1:15" x14ac:dyDescent="0.3">
      <c r="A645" s="13" t="s">
        <v>47</v>
      </c>
      <c r="B645" s="12" t="s">
        <v>30</v>
      </c>
      <c r="C645" s="12" t="s">
        <v>32</v>
      </c>
      <c r="D645">
        <v>31</v>
      </c>
      <c r="E645">
        <v>46</v>
      </c>
      <c r="F645">
        <v>11</v>
      </c>
      <c r="G645" t="b">
        <v>0</v>
      </c>
      <c r="H645">
        <v>28.82</v>
      </c>
      <c r="I645">
        <v>124251</v>
      </c>
      <c r="J645">
        <v>3.65</v>
      </c>
      <c r="K645">
        <v>1.3</v>
      </c>
      <c r="L645">
        <v>744</v>
      </c>
      <c r="M645">
        <v>192</v>
      </c>
      <c r="N645">
        <v>15</v>
      </c>
      <c r="O645">
        <v>0.25806451612903225</v>
      </c>
    </row>
    <row r="646" spans="1:15" x14ac:dyDescent="0.3">
      <c r="A646" s="13" t="s">
        <v>47</v>
      </c>
      <c r="B646" s="12" t="s">
        <v>30</v>
      </c>
      <c r="C646" s="12" t="s">
        <v>32</v>
      </c>
      <c r="D646">
        <v>31</v>
      </c>
      <c r="E646">
        <v>47</v>
      </c>
      <c r="F646">
        <v>11</v>
      </c>
      <c r="G646" t="b">
        <v>0</v>
      </c>
      <c r="H646">
        <v>28.82</v>
      </c>
      <c r="I646">
        <v>124251</v>
      </c>
      <c r="J646">
        <v>3.65</v>
      </c>
      <c r="K646">
        <v>1.3</v>
      </c>
      <c r="L646">
        <v>744</v>
      </c>
      <c r="M646">
        <v>48</v>
      </c>
      <c r="N646">
        <v>16</v>
      </c>
      <c r="O646">
        <v>6.4516129032258063E-2</v>
      </c>
    </row>
    <row r="647" spans="1:15" x14ac:dyDescent="0.3">
      <c r="A647" s="13" t="s">
        <v>47</v>
      </c>
      <c r="B647" s="12" t="s">
        <v>30</v>
      </c>
      <c r="C647" s="12" t="s">
        <v>32</v>
      </c>
      <c r="D647">
        <v>35</v>
      </c>
      <c r="E647">
        <v>48</v>
      </c>
      <c r="F647">
        <v>11</v>
      </c>
      <c r="G647" t="b">
        <v>0</v>
      </c>
      <c r="H647">
        <v>28.82</v>
      </c>
      <c r="I647">
        <v>124251</v>
      </c>
      <c r="J647">
        <v>3.65</v>
      </c>
      <c r="K647">
        <v>1.3</v>
      </c>
      <c r="L647">
        <v>768</v>
      </c>
      <c r="M647">
        <v>216</v>
      </c>
      <c r="N647">
        <v>13</v>
      </c>
      <c r="O647">
        <v>0.28125</v>
      </c>
    </row>
    <row r="648" spans="1:15" x14ac:dyDescent="0.3">
      <c r="A648" s="13" t="s">
        <v>47</v>
      </c>
      <c r="B648" s="12" t="s">
        <v>30</v>
      </c>
      <c r="C648" s="12" t="s">
        <v>32</v>
      </c>
      <c r="D648">
        <v>35</v>
      </c>
      <c r="E648">
        <v>49</v>
      </c>
      <c r="F648">
        <v>12</v>
      </c>
      <c r="G648" t="b">
        <v>1</v>
      </c>
      <c r="H648">
        <v>28.82</v>
      </c>
      <c r="I648">
        <v>105715</v>
      </c>
      <c r="J648">
        <v>3.65</v>
      </c>
      <c r="K648">
        <v>1.3</v>
      </c>
      <c r="L648">
        <v>720</v>
      </c>
      <c r="M648">
        <v>240</v>
      </c>
      <c r="N648">
        <v>14</v>
      </c>
      <c r="O648">
        <v>0.33333333333333331</v>
      </c>
    </row>
    <row r="649" spans="1:15" x14ac:dyDescent="0.3">
      <c r="A649" s="13" t="s">
        <v>47</v>
      </c>
      <c r="B649" s="12" t="s">
        <v>30</v>
      </c>
      <c r="C649" s="12" t="s">
        <v>32</v>
      </c>
      <c r="D649">
        <v>35</v>
      </c>
      <c r="E649">
        <v>50</v>
      </c>
      <c r="F649">
        <v>12</v>
      </c>
      <c r="G649" t="b">
        <v>0</v>
      </c>
      <c r="H649">
        <v>28.82</v>
      </c>
      <c r="I649">
        <v>105715</v>
      </c>
      <c r="J649">
        <v>3.4</v>
      </c>
      <c r="K649">
        <v>1.3</v>
      </c>
      <c r="L649">
        <v>432</v>
      </c>
      <c r="M649">
        <v>360</v>
      </c>
      <c r="N649">
        <v>15</v>
      </c>
      <c r="O649">
        <v>0.83333333333333337</v>
      </c>
    </row>
    <row r="650" spans="1:15" x14ac:dyDescent="0.3">
      <c r="A650" s="13" t="s">
        <v>47</v>
      </c>
      <c r="B650" s="12" t="s">
        <v>30</v>
      </c>
      <c r="C650" s="12" t="s">
        <v>32</v>
      </c>
      <c r="D650">
        <v>36</v>
      </c>
      <c r="E650">
        <v>51</v>
      </c>
      <c r="F650">
        <v>12</v>
      </c>
      <c r="G650" t="b">
        <v>0</v>
      </c>
      <c r="H650">
        <v>28.82</v>
      </c>
      <c r="I650">
        <v>105715</v>
      </c>
      <c r="J650">
        <v>3.4</v>
      </c>
      <c r="K650">
        <v>1.3</v>
      </c>
      <c r="L650">
        <v>0</v>
      </c>
      <c r="M650">
        <v>0</v>
      </c>
      <c r="N650">
        <v>15</v>
      </c>
      <c r="O650" t="e">
        <v>#DIV/0!</v>
      </c>
    </row>
    <row r="651" spans="1:15" x14ac:dyDescent="0.3">
      <c r="A651" s="13" t="s">
        <v>47</v>
      </c>
      <c r="B651" s="12" t="s">
        <v>30</v>
      </c>
      <c r="C651" s="12" t="s">
        <v>32</v>
      </c>
      <c r="D651">
        <v>40</v>
      </c>
      <c r="E651">
        <v>52</v>
      </c>
      <c r="F651">
        <v>12</v>
      </c>
      <c r="G651" t="b">
        <v>1</v>
      </c>
      <c r="H651">
        <v>28.82</v>
      </c>
      <c r="I651">
        <v>105715</v>
      </c>
      <c r="J651">
        <v>3.4</v>
      </c>
      <c r="K651">
        <v>1.3</v>
      </c>
      <c r="L651">
        <v>168</v>
      </c>
      <c r="M651">
        <v>0</v>
      </c>
      <c r="N651">
        <v>12</v>
      </c>
      <c r="O651">
        <v>0</v>
      </c>
    </row>
    <row r="652" spans="1:15" x14ac:dyDescent="0.3">
      <c r="A652" s="13" t="s">
        <v>47</v>
      </c>
      <c r="B652" s="12" t="s">
        <v>30</v>
      </c>
      <c r="C652" s="12" t="s">
        <v>32</v>
      </c>
      <c r="D652">
        <v>40</v>
      </c>
      <c r="E652">
        <v>1</v>
      </c>
      <c r="F652">
        <v>12</v>
      </c>
      <c r="G652" t="b">
        <v>1</v>
      </c>
      <c r="H652">
        <v>28.82</v>
      </c>
      <c r="I652">
        <v>105715</v>
      </c>
      <c r="J652">
        <v>3.4</v>
      </c>
      <c r="K652">
        <v>1.3</v>
      </c>
      <c r="L652">
        <v>432</v>
      </c>
      <c r="M652">
        <v>120</v>
      </c>
      <c r="N652">
        <v>13</v>
      </c>
      <c r="O652">
        <v>0.27777777777777779</v>
      </c>
    </row>
    <row r="653" spans="1:15" x14ac:dyDescent="0.3">
      <c r="A653" s="13" t="s">
        <v>47</v>
      </c>
      <c r="B653" s="12" t="s">
        <v>30</v>
      </c>
      <c r="C653" s="12" t="s">
        <v>32</v>
      </c>
      <c r="D653">
        <v>40</v>
      </c>
      <c r="E653">
        <v>2</v>
      </c>
      <c r="F653">
        <v>1</v>
      </c>
      <c r="G653" t="b">
        <v>1</v>
      </c>
      <c r="H653">
        <v>28.82</v>
      </c>
      <c r="I653">
        <v>133692</v>
      </c>
      <c r="J653">
        <v>3.4</v>
      </c>
      <c r="K653">
        <v>1.5</v>
      </c>
      <c r="L653">
        <v>384</v>
      </c>
      <c r="M653">
        <v>360</v>
      </c>
      <c r="N653">
        <v>14</v>
      </c>
      <c r="O653">
        <v>0.9375</v>
      </c>
    </row>
    <row r="654" spans="1:15" x14ac:dyDescent="0.3">
      <c r="A654" s="13" t="s">
        <v>47</v>
      </c>
      <c r="B654" s="12" t="s">
        <v>30</v>
      </c>
      <c r="C654" s="12" t="s">
        <v>32</v>
      </c>
      <c r="D654">
        <v>40</v>
      </c>
      <c r="E654">
        <v>3</v>
      </c>
      <c r="F654">
        <v>1</v>
      </c>
      <c r="G654" t="b">
        <v>0</v>
      </c>
      <c r="H654">
        <v>28.82</v>
      </c>
      <c r="I654">
        <v>133692</v>
      </c>
      <c r="J654">
        <v>3.4</v>
      </c>
      <c r="K654">
        <v>1.5</v>
      </c>
      <c r="L654">
        <v>288</v>
      </c>
      <c r="M654">
        <v>360</v>
      </c>
      <c r="N654">
        <v>15</v>
      </c>
      <c r="O654">
        <v>1.25</v>
      </c>
    </row>
    <row r="655" spans="1:15" x14ac:dyDescent="0.3">
      <c r="A655" s="13" t="s">
        <v>47</v>
      </c>
      <c r="B655" s="12" t="s">
        <v>30</v>
      </c>
      <c r="C655" s="12" t="s">
        <v>32</v>
      </c>
      <c r="D655">
        <v>40</v>
      </c>
      <c r="E655">
        <v>4</v>
      </c>
      <c r="F655">
        <v>1</v>
      </c>
      <c r="G655" t="b">
        <v>0</v>
      </c>
      <c r="H655">
        <v>28.82</v>
      </c>
      <c r="I655">
        <v>133692</v>
      </c>
      <c r="J655">
        <v>3.4</v>
      </c>
      <c r="K655">
        <v>1.5</v>
      </c>
      <c r="L655">
        <v>168</v>
      </c>
      <c r="M655">
        <v>168</v>
      </c>
      <c r="N655">
        <v>16</v>
      </c>
      <c r="O655">
        <v>1</v>
      </c>
    </row>
    <row r="656" spans="1:15" x14ac:dyDescent="0.3">
      <c r="A656" s="13" t="s">
        <v>47</v>
      </c>
      <c r="B656" s="12" t="s">
        <v>30</v>
      </c>
      <c r="C656" s="12" t="s">
        <v>32</v>
      </c>
      <c r="D656">
        <v>44</v>
      </c>
      <c r="E656">
        <v>5</v>
      </c>
      <c r="F656">
        <v>1</v>
      </c>
      <c r="G656" t="b">
        <v>0</v>
      </c>
      <c r="H656">
        <v>28.82</v>
      </c>
      <c r="I656">
        <v>133692</v>
      </c>
      <c r="J656">
        <v>3.4</v>
      </c>
      <c r="K656">
        <v>1.5</v>
      </c>
      <c r="L656">
        <v>192</v>
      </c>
      <c r="M656">
        <v>96</v>
      </c>
      <c r="N656">
        <v>13</v>
      </c>
      <c r="O656">
        <v>0.5</v>
      </c>
    </row>
    <row r="657" spans="1:15" x14ac:dyDescent="0.3">
      <c r="A657" s="13" t="s">
        <v>47</v>
      </c>
      <c r="B657" s="12" t="s">
        <v>30</v>
      </c>
      <c r="C657" s="12" t="s">
        <v>32</v>
      </c>
      <c r="D657">
        <v>44</v>
      </c>
      <c r="E657">
        <v>6</v>
      </c>
      <c r="F657">
        <v>2</v>
      </c>
      <c r="G657" t="b">
        <v>0</v>
      </c>
      <c r="H657">
        <v>28.82</v>
      </c>
      <c r="I657">
        <v>137922</v>
      </c>
      <c r="J657">
        <v>3.15</v>
      </c>
      <c r="K657">
        <v>1.6</v>
      </c>
      <c r="L657">
        <v>240</v>
      </c>
      <c r="M657">
        <v>216</v>
      </c>
      <c r="N657">
        <v>14</v>
      </c>
      <c r="O657">
        <v>0.9</v>
      </c>
    </row>
    <row r="658" spans="1:15" x14ac:dyDescent="0.3">
      <c r="A658" s="13" t="s">
        <v>47</v>
      </c>
      <c r="B658" s="12" t="s">
        <v>30</v>
      </c>
      <c r="C658" s="12" t="s">
        <v>32</v>
      </c>
      <c r="D658">
        <v>44</v>
      </c>
      <c r="E658">
        <v>7</v>
      </c>
      <c r="F658">
        <v>2</v>
      </c>
      <c r="G658" t="b">
        <v>0</v>
      </c>
      <c r="H658">
        <v>28.82</v>
      </c>
      <c r="I658">
        <v>137922</v>
      </c>
      <c r="J658">
        <v>3.15</v>
      </c>
      <c r="K658">
        <v>1.6</v>
      </c>
      <c r="L658">
        <v>192</v>
      </c>
      <c r="M658">
        <v>72</v>
      </c>
      <c r="N658">
        <v>15</v>
      </c>
      <c r="O658">
        <v>0.375</v>
      </c>
    </row>
    <row r="659" spans="1:15" x14ac:dyDescent="0.3">
      <c r="A659" s="13" t="s">
        <v>47</v>
      </c>
      <c r="B659" s="12" t="s">
        <v>30</v>
      </c>
      <c r="C659" s="12" t="s">
        <v>32</v>
      </c>
      <c r="D659">
        <v>44</v>
      </c>
      <c r="E659">
        <v>8</v>
      </c>
      <c r="F659">
        <v>2</v>
      </c>
      <c r="G659" t="b">
        <v>0</v>
      </c>
      <c r="H659">
        <v>28.82</v>
      </c>
      <c r="I659">
        <v>137922</v>
      </c>
      <c r="J659">
        <v>3.15</v>
      </c>
      <c r="K659">
        <v>1.6</v>
      </c>
      <c r="L659">
        <v>240</v>
      </c>
      <c r="M659">
        <v>96</v>
      </c>
      <c r="N659">
        <v>16</v>
      </c>
      <c r="O659">
        <v>0.4</v>
      </c>
    </row>
    <row r="660" spans="1:15" x14ac:dyDescent="0.3">
      <c r="A660" s="13" t="s">
        <v>47</v>
      </c>
      <c r="B660" s="12" t="s">
        <v>30</v>
      </c>
      <c r="C660" s="12" t="s">
        <v>32</v>
      </c>
      <c r="D660">
        <v>49</v>
      </c>
      <c r="E660">
        <v>9</v>
      </c>
      <c r="F660">
        <v>2</v>
      </c>
      <c r="G660" t="b">
        <v>0</v>
      </c>
      <c r="H660">
        <v>28.82</v>
      </c>
      <c r="I660">
        <v>137922</v>
      </c>
      <c r="J660">
        <v>3.15</v>
      </c>
      <c r="K660">
        <v>1.6</v>
      </c>
      <c r="L660">
        <v>360</v>
      </c>
      <c r="M660">
        <v>288</v>
      </c>
      <c r="N660">
        <v>12</v>
      </c>
      <c r="O660">
        <v>0.8</v>
      </c>
    </row>
    <row r="661" spans="1:15" x14ac:dyDescent="0.3">
      <c r="A661" s="13" t="s">
        <v>47</v>
      </c>
      <c r="B661" s="12" t="s">
        <v>30</v>
      </c>
      <c r="C661" s="12" t="s">
        <v>32</v>
      </c>
      <c r="D661">
        <v>49</v>
      </c>
      <c r="E661">
        <v>10</v>
      </c>
      <c r="F661">
        <v>3</v>
      </c>
      <c r="G661" t="b">
        <v>0</v>
      </c>
      <c r="H661">
        <v>28.82</v>
      </c>
      <c r="I661">
        <v>172223</v>
      </c>
      <c r="J661">
        <v>3.15</v>
      </c>
      <c r="K661">
        <v>1.9</v>
      </c>
      <c r="L661">
        <v>384</v>
      </c>
      <c r="M661">
        <v>72</v>
      </c>
      <c r="N661">
        <v>13</v>
      </c>
      <c r="O661">
        <v>0.1875</v>
      </c>
    </row>
    <row r="662" spans="1:15" x14ac:dyDescent="0.3">
      <c r="A662" s="13" t="s">
        <v>47</v>
      </c>
      <c r="B662" s="12" t="s">
        <v>30</v>
      </c>
      <c r="C662" s="12" t="s">
        <v>32</v>
      </c>
      <c r="D662">
        <v>49</v>
      </c>
      <c r="E662">
        <v>11</v>
      </c>
      <c r="F662">
        <v>3</v>
      </c>
      <c r="G662" t="b">
        <v>0</v>
      </c>
      <c r="H662">
        <v>28.82</v>
      </c>
      <c r="I662">
        <v>172223</v>
      </c>
      <c r="J662">
        <v>2.9</v>
      </c>
      <c r="K662">
        <v>1.9</v>
      </c>
      <c r="L662">
        <v>312</v>
      </c>
      <c r="M662">
        <v>576</v>
      </c>
      <c r="N662">
        <v>14</v>
      </c>
      <c r="O662">
        <v>1.8461538461538463</v>
      </c>
    </row>
    <row r="663" spans="1:15" x14ac:dyDescent="0.3">
      <c r="A663" s="13" t="s">
        <v>47</v>
      </c>
      <c r="B663" s="12" t="s">
        <v>30</v>
      </c>
      <c r="C663" s="12" t="s">
        <v>32</v>
      </c>
      <c r="D663">
        <v>49</v>
      </c>
      <c r="E663">
        <v>12</v>
      </c>
      <c r="F663">
        <v>3</v>
      </c>
      <c r="G663" t="b">
        <v>0</v>
      </c>
      <c r="H663">
        <v>28.82</v>
      </c>
      <c r="I663">
        <v>172223</v>
      </c>
      <c r="J663">
        <v>2.9</v>
      </c>
      <c r="K663">
        <v>1.9</v>
      </c>
      <c r="L663">
        <v>288</v>
      </c>
      <c r="M663">
        <v>264</v>
      </c>
      <c r="N663">
        <v>15</v>
      </c>
      <c r="O663">
        <v>0.91666666666666663</v>
      </c>
    </row>
    <row r="664" spans="1:15" x14ac:dyDescent="0.3">
      <c r="A664" s="13" t="s">
        <v>47</v>
      </c>
      <c r="B664" s="12" t="s">
        <v>30</v>
      </c>
      <c r="C664" s="12" t="s">
        <v>32</v>
      </c>
      <c r="D664">
        <v>49</v>
      </c>
      <c r="E664">
        <v>13</v>
      </c>
      <c r="F664">
        <v>3</v>
      </c>
      <c r="G664" t="b">
        <v>0</v>
      </c>
      <c r="H664">
        <v>28.82</v>
      </c>
      <c r="I664">
        <v>172223</v>
      </c>
      <c r="J664">
        <v>2.9</v>
      </c>
      <c r="K664">
        <v>1.9</v>
      </c>
      <c r="L664">
        <v>312</v>
      </c>
      <c r="M664">
        <v>432</v>
      </c>
      <c r="N664">
        <v>16</v>
      </c>
      <c r="O664">
        <v>1.3846153846153846</v>
      </c>
    </row>
    <row r="665" spans="1:15" x14ac:dyDescent="0.3">
      <c r="A665" s="13" t="s">
        <v>47</v>
      </c>
      <c r="B665" s="12" t="s">
        <v>30</v>
      </c>
      <c r="C665" s="12" t="s">
        <v>32</v>
      </c>
      <c r="D665">
        <v>2</v>
      </c>
      <c r="E665">
        <v>14</v>
      </c>
      <c r="F665">
        <v>3</v>
      </c>
      <c r="G665" t="b">
        <v>0</v>
      </c>
      <c r="H665">
        <v>28.82</v>
      </c>
      <c r="I665">
        <v>172223</v>
      </c>
      <c r="J665">
        <v>2.9</v>
      </c>
      <c r="K665">
        <v>1.9</v>
      </c>
      <c r="L665">
        <v>288</v>
      </c>
      <c r="M665">
        <v>504</v>
      </c>
      <c r="N665">
        <v>12</v>
      </c>
      <c r="O665">
        <v>1.75</v>
      </c>
    </row>
    <row r="666" spans="1:15" x14ac:dyDescent="0.3">
      <c r="A666" s="13" t="s">
        <v>47</v>
      </c>
      <c r="B666" s="12" t="s">
        <v>30</v>
      </c>
      <c r="C666" s="12" t="s">
        <v>32</v>
      </c>
      <c r="D666">
        <v>2</v>
      </c>
      <c r="E666">
        <v>15</v>
      </c>
      <c r="F666">
        <v>4</v>
      </c>
      <c r="G666" t="b">
        <v>0</v>
      </c>
      <c r="H666">
        <v>28.82</v>
      </c>
      <c r="I666">
        <v>139084</v>
      </c>
      <c r="J666">
        <v>2.9</v>
      </c>
      <c r="K666">
        <v>1.9</v>
      </c>
      <c r="L666">
        <v>216</v>
      </c>
      <c r="M666">
        <v>456</v>
      </c>
      <c r="N666">
        <v>13</v>
      </c>
      <c r="O666">
        <v>2.1111111111111112</v>
      </c>
    </row>
    <row r="667" spans="1:15" x14ac:dyDescent="0.3">
      <c r="A667" s="13" t="s">
        <v>47</v>
      </c>
      <c r="B667" s="12" t="s">
        <v>30</v>
      </c>
      <c r="C667" s="12" t="s">
        <v>32</v>
      </c>
      <c r="D667">
        <v>2</v>
      </c>
      <c r="E667">
        <v>16</v>
      </c>
      <c r="F667">
        <v>4</v>
      </c>
      <c r="G667" t="b">
        <v>0</v>
      </c>
      <c r="H667">
        <v>28.82</v>
      </c>
      <c r="I667">
        <v>139084</v>
      </c>
      <c r="J667">
        <v>2.9</v>
      </c>
      <c r="K667">
        <v>1.9</v>
      </c>
      <c r="L667">
        <v>264</v>
      </c>
      <c r="M667">
        <v>336</v>
      </c>
      <c r="N667">
        <v>14</v>
      </c>
      <c r="O667">
        <v>1.2727272727272727</v>
      </c>
    </row>
    <row r="668" spans="1:15" x14ac:dyDescent="0.3">
      <c r="A668" s="13" t="s">
        <v>47</v>
      </c>
      <c r="B668" s="12" t="s">
        <v>30</v>
      </c>
      <c r="C668" s="12" t="s">
        <v>32</v>
      </c>
      <c r="D668">
        <v>2</v>
      </c>
      <c r="E668">
        <v>17</v>
      </c>
      <c r="F668">
        <v>4</v>
      </c>
      <c r="G668" t="b">
        <v>1</v>
      </c>
      <c r="H668">
        <v>28.82</v>
      </c>
      <c r="I668">
        <v>139084</v>
      </c>
      <c r="J668">
        <v>2.65</v>
      </c>
      <c r="K668">
        <v>1.9</v>
      </c>
      <c r="L668">
        <v>168</v>
      </c>
      <c r="M668">
        <v>240</v>
      </c>
      <c r="N668">
        <v>15</v>
      </c>
      <c r="O668">
        <v>1.4285714285714286</v>
      </c>
    </row>
    <row r="669" spans="1:15" x14ac:dyDescent="0.3">
      <c r="A669" s="13" t="s">
        <v>47</v>
      </c>
      <c r="B669" s="12" t="s">
        <v>30</v>
      </c>
      <c r="C669" s="12" t="s">
        <v>32</v>
      </c>
      <c r="D669">
        <v>6</v>
      </c>
      <c r="E669">
        <v>18</v>
      </c>
      <c r="F669">
        <v>4</v>
      </c>
      <c r="G669" t="b">
        <v>1</v>
      </c>
      <c r="H669">
        <v>28.82</v>
      </c>
      <c r="I669">
        <v>139084</v>
      </c>
      <c r="J669">
        <v>2.65</v>
      </c>
      <c r="K669">
        <v>1.9</v>
      </c>
      <c r="L669">
        <v>264</v>
      </c>
      <c r="M669">
        <v>96</v>
      </c>
      <c r="N669">
        <v>12</v>
      </c>
      <c r="O669">
        <v>0.36363636363636365</v>
      </c>
    </row>
    <row r="670" spans="1:15" x14ac:dyDescent="0.3">
      <c r="A670" s="13" t="s">
        <v>47</v>
      </c>
      <c r="B670" s="12" t="s">
        <v>30</v>
      </c>
      <c r="C670" s="12" t="s">
        <v>32</v>
      </c>
      <c r="D670">
        <v>5</v>
      </c>
      <c r="E670">
        <v>19</v>
      </c>
      <c r="F670">
        <v>5</v>
      </c>
      <c r="G670" t="b">
        <v>0</v>
      </c>
      <c r="H670">
        <v>28.82</v>
      </c>
      <c r="I670">
        <v>139390</v>
      </c>
      <c r="J670">
        <v>2.65</v>
      </c>
      <c r="K670">
        <v>1.6</v>
      </c>
      <c r="L670">
        <v>240</v>
      </c>
      <c r="M670">
        <v>120</v>
      </c>
      <c r="N670">
        <v>14</v>
      </c>
      <c r="O670">
        <v>0.5</v>
      </c>
    </row>
    <row r="671" spans="1:15" x14ac:dyDescent="0.3">
      <c r="A671" s="13" t="s">
        <v>47</v>
      </c>
      <c r="B671" s="12" t="s">
        <v>30</v>
      </c>
      <c r="C671" s="12" t="s">
        <v>32</v>
      </c>
      <c r="D671">
        <v>5</v>
      </c>
      <c r="E671">
        <v>20</v>
      </c>
      <c r="F671">
        <v>5</v>
      </c>
      <c r="G671" t="b">
        <v>0</v>
      </c>
      <c r="H671">
        <v>28.82</v>
      </c>
      <c r="I671">
        <v>139390</v>
      </c>
      <c r="J671">
        <v>2.65</v>
      </c>
      <c r="K671">
        <v>1.6</v>
      </c>
      <c r="L671">
        <v>336</v>
      </c>
      <c r="M671">
        <v>264</v>
      </c>
      <c r="N671">
        <v>15</v>
      </c>
      <c r="O671">
        <v>0.7857142857142857</v>
      </c>
    </row>
    <row r="672" spans="1:15" x14ac:dyDescent="0.3">
      <c r="A672" s="13" t="s">
        <v>47</v>
      </c>
      <c r="B672" s="12" t="s">
        <v>30</v>
      </c>
      <c r="C672" s="12" t="s">
        <v>32</v>
      </c>
      <c r="D672">
        <v>5</v>
      </c>
      <c r="E672">
        <v>21</v>
      </c>
      <c r="F672">
        <v>5</v>
      </c>
      <c r="G672" t="b">
        <v>0</v>
      </c>
      <c r="H672">
        <v>28.82</v>
      </c>
      <c r="I672">
        <v>139390</v>
      </c>
      <c r="J672">
        <v>2.65</v>
      </c>
      <c r="K672">
        <v>1.6</v>
      </c>
      <c r="L672">
        <v>528</v>
      </c>
      <c r="M672">
        <v>312</v>
      </c>
      <c r="N672">
        <v>16</v>
      </c>
      <c r="O672">
        <v>0.59090909090909094</v>
      </c>
    </row>
    <row r="673" spans="1:15" x14ac:dyDescent="0.3">
      <c r="A673" s="13" t="s">
        <v>47</v>
      </c>
      <c r="B673" s="12" t="s">
        <v>30</v>
      </c>
      <c r="C673" s="12" t="s">
        <v>32</v>
      </c>
      <c r="D673">
        <v>9</v>
      </c>
      <c r="E673">
        <v>22</v>
      </c>
      <c r="F673">
        <v>5</v>
      </c>
      <c r="G673" t="b">
        <v>0</v>
      </c>
      <c r="H673">
        <v>28.82</v>
      </c>
      <c r="I673">
        <v>139390</v>
      </c>
      <c r="J673">
        <v>2.65</v>
      </c>
      <c r="K673">
        <v>1.6</v>
      </c>
      <c r="L673">
        <v>336</v>
      </c>
      <c r="M673">
        <v>0</v>
      </c>
      <c r="N673">
        <v>13</v>
      </c>
      <c r="O673">
        <v>0</v>
      </c>
    </row>
    <row r="674" spans="1:15" x14ac:dyDescent="0.3">
      <c r="A674" s="13" t="s">
        <v>47</v>
      </c>
      <c r="B674" s="12" t="s">
        <v>30</v>
      </c>
      <c r="C674" s="12" t="s">
        <v>32</v>
      </c>
      <c r="D674">
        <v>9</v>
      </c>
      <c r="E674">
        <v>23</v>
      </c>
      <c r="F674">
        <v>5</v>
      </c>
      <c r="G674" t="b">
        <v>1</v>
      </c>
      <c r="H674">
        <v>28.82</v>
      </c>
      <c r="I674">
        <v>139390</v>
      </c>
      <c r="J674">
        <v>2.4</v>
      </c>
      <c r="K674">
        <v>1.6</v>
      </c>
      <c r="L674">
        <v>312</v>
      </c>
      <c r="M674">
        <v>288</v>
      </c>
      <c r="N674">
        <v>14</v>
      </c>
      <c r="O674">
        <v>0.92307692307692313</v>
      </c>
    </row>
    <row r="675" spans="1:15" x14ac:dyDescent="0.3">
      <c r="A675" s="13" t="s">
        <v>47</v>
      </c>
      <c r="B675" s="12" t="s">
        <v>30</v>
      </c>
      <c r="C675" s="12" t="s">
        <v>32</v>
      </c>
      <c r="D675">
        <v>9</v>
      </c>
      <c r="E675">
        <v>24</v>
      </c>
      <c r="F675">
        <v>6</v>
      </c>
      <c r="G675" t="b">
        <v>0</v>
      </c>
      <c r="H675">
        <v>28.82</v>
      </c>
      <c r="I675">
        <v>132191</v>
      </c>
      <c r="J675">
        <v>2.4</v>
      </c>
      <c r="K675">
        <v>1.7</v>
      </c>
      <c r="L675">
        <v>120</v>
      </c>
      <c r="M675">
        <v>0</v>
      </c>
      <c r="N675">
        <v>15</v>
      </c>
      <c r="O675">
        <v>0</v>
      </c>
    </row>
    <row r="676" spans="1:15" x14ac:dyDescent="0.3">
      <c r="A676" s="13" t="s">
        <v>47</v>
      </c>
      <c r="B676" s="12" t="s">
        <v>30</v>
      </c>
      <c r="C676" s="12" t="s">
        <v>32</v>
      </c>
      <c r="D676">
        <v>9</v>
      </c>
      <c r="E676">
        <v>25</v>
      </c>
      <c r="F676">
        <v>6</v>
      </c>
      <c r="G676" t="b">
        <v>0</v>
      </c>
      <c r="H676">
        <v>28.82</v>
      </c>
      <c r="I676">
        <v>132191</v>
      </c>
      <c r="J676">
        <v>2.4</v>
      </c>
      <c r="K676">
        <v>1.7</v>
      </c>
      <c r="L676">
        <v>264</v>
      </c>
      <c r="M676">
        <v>192</v>
      </c>
      <c r="N676">
        <v>16</v>
      </c>
      <c r="O676">
        <v>0.72727272727272729</v>
      </c>
    </row>
    <row r="677" spans="1:15" x14ac:dyDescent="0.3">
      <c r="A677" s="13" t="s">
        <v>47</v>
      </c>
      <c r="B677" s="12" t="s">
        <v>30</v>
      </c>
      <c r="C677" s="12" t="s">
        <v>32</v>
      </c>
      <c r="D677">
        <v>10</v>
      </c>
      <c r="E677">
        <v>26</v>
      </c>
      <c r="F677">
        <v>6</v>
      </c>
      <c r="G677" t="b">
        <v>0</v>
      </c>
      <c r="H677">
        <v>28.82</v>
      </c>
      <c r="I677">
        <v>132191</v>
      </c>
      <c r="J677">
        <v>2.4</v>
      </c>
      <c r="K677">
        <v>1.7</v>
      </c>
      <c r="L677">
        <v>264</v>
      </c>
      <c r="M677">
        <v>192</v>
      </c>
      <c r="N677">
        <v>16</v>
      </c>
      <c r="O677">
        <v>0.72727272727272729</v>
      </c>
    </row>
    <row r="678" spans="1:15" x14ac:dyDescent="0.3">
      <c r="A678" s="13" t="s">
        <v>48</v>
      </c>
      <c r="B678" s="12" t="s">
        <v>30</v>
      </c>
      <c r="C678" s="12" t="s">
        <v>32</v>
      </c>
      <c r="D678">
        <v>12</v>
      </c>
      <c r="E678">
        <v>27</v>
      </c>
      <c r="F678">
        <v>7</v>
      </c>
      <c r="G678" t="b">
        <v>0</v>
      </c>
      <c r="H678">
        <v>29.91</v>
      </c>
      <c r="I678">
        <v>124806</v>
      </c>
      <c r="J678">
        <v>4.5</v>
      </c>
      <c r="K678">
        <v>1.3</v>
      </c>
      <c r="L678">
        <v>0</v>
      </c>
      <c r="M678">
        <v>0</v>
      </c>
      <c r="N678">
        <v>15</v>
      </c>
      <c r="O678" t="e">
        <v>#DIV/0!</v>
      </c>
    </row>
    <row r="679" spans="1:15" x14ac:dyDescent="0.3">
      <c r="A679" s="13" t="s">
        <v>48</v>
      </c>
      <c r="B679" s="12" t="s">
        <v>30</v>
      </c>
      <c r="C679" s="12" t="s">
        <v>32</v>
      </c>
      <c r="D679">
        <v>12</v>
      </c>
      <c r="E679">
        <v>28</v>
      </c>
      <c r="F679">
        <v>7</v>
      </c>
      <c r="G679" t="b">
        <v>0</v>
      </c>
      <c r="H679">
        <v>29.91</v>
      </c>
      <c r="I679">
        <v>124806</v>
      </c>
      <c r="J679">
        <v>4.5</v>
      </c>
      <c r="K679">
        <v>1.3</v>
      </c>
      <c r="L679">
        <v>0</v>
      </c>
      <c r="M679">
        <v>0</v>
      </c>
      <c r="N679">
        <v>16</v>
      </c>
      <c r="O679" t="e">
        <v>#DIV/0!</v>
      </c>
    </row>
    <row r="680" spans="1:15" x14ac:dyDescent="0.3">
      <c r="A680" s="13" t="s">
        <v>48</v>
      </c>
      <c r="B680" s="12" t="s">
        <v>30</v>
      </c>
      <c r="C680" s="12" t="s">
        <v>32</v>
      </c>
      <c r="D680">
        <v>13</v>
      </c>
      <c r="E680">
        <v>29</v>
      </c>
      <c r="F680">
        <v>7</v>
      </c>
      <c r="G680" t="b">
        <v>0</v>
      </c>
      <c r="H680">
        <v>29.91</v>
      </c>
      <c r="I680">
        <v>124806</v>
      </c>
      <c r="J680">
        <v>4.5</v>
      </c>
      <c r="K680">
        <v>1.3</v>
      </c>
      <c r="L680">
        <v>0</v>
      </c>
      <c r="M680">
        <v>0</v>
      </c>
      <c r="N680">
        <v>16</v>
      </c>
      <c r="O680" t="e">
        <v>#DIV/0!</v>
      </c>
    </row>
    <row r="681" spans="1:15" x14ac:dyDescent="0.3">
      <c r="A681" s="13" t="s">
        <v>48</v>
      </c>
      <c r="B681" s="12" t="s">
        <v>30</v>
      </c>
      <c r="C681" s="12" t="s">
        <v>32</v>
      </c>
      <c r="D681">
        <v>13</v>
      </c>
      <c r="E681">
        <v>30</v>
      </c>
      <c r="F681">
        <v>7</v>
      </c>
      <c r="G681" t="b">
        <v>0</v>
      </c>
      <c r="H681">
        <v>29.91</v>
      </c>
      <c r="I681">
        <v>124806</v>
      </c>
      <c r="J681">
        <v>4.5</v>
      </c>
      <c r="K681">
        <v>1.3</v>
      </c>
      <c r="L681">
        <v>0</v>
      </c>
      <c r="M681">
        <v>0</v>
      </c>
      <c r="N681">
        <v>17</v>
      </c>
      <c r="O681" t="e">
        <v>#DIV/0!</v>
      </c>
    </row>
    <row r="682" spans="1:15" x14ac:dyDescent="0.3">
      <c r="A682" s="13" t="s">
        <v>48</v>
      </c>
      <c r="B682" s="12" t="s">
        <v>30</v>
      </c>
      <c r="C682" s="12" t="s">
        <v>32</v>
      </c>
      <c r="D682">
        <v>14</v>
      </c>
      <c r="E682">
        <v>31</v>
      </c>
      <c r="F682">
        <v>7</v>
      </c>
      <c r="G682" t="b">
        <v>0</v>
      </c>
      <c r="H682">
        <v>29.91</v>
      </c>
      <c r="I682">
        <v>124806</v>
      </c>
      <c r="J682">
        <v>4.5</v>
      </c>
      <c r="K682">
        <v>1.3</v>
      </c>
      <c r="L682">
        <v>0</v>
      </c>
      <c r="M682">
        <v>0</v>
      </c>
      <c r="N682">
        <v>17</v>
      </c>
      <c r="O682" t="e">
        <v>#DIV/0!</v>
      </c>
    </row>
    <row r="683" spans="1:15" x14ac:dyDescent="0.3">
      <c r="A683" s="13" t="s">
        <v>48</v>
      </c>
      <c r="B683" s="12" t="s">
        <v>30</v>
      </c>
      <c r="C683" s="12" t="s">
        <v>32</v>
      </c>
      <c r="D683">
        <v>15</v>
      </c>
      <c r="E683">
        <v>32</v>
      </c>
      <c r="F683">
        <v>8</v>
      </c>
      <c r="G683" t="b">
        <v>1</v>
      </c>
      <c r="H683">
        <v>29.91</v>
      </c>
      <c r="I683">
        <v>69121</v>
      </c>
      <c r="J683">
        <v>4.5</v>
      </c>
      <c r="K683">
        <v>1.1000000000000001</v>
      </c>
      <c r="L683">
        <v>0</v>
      </c>
      <c r="M683">
        <v>0</v>
      </c>
      <c r="N683">
        <v>17</v>
      </c>
      <c r="O683" t="e">
        <v>#DIV/0!</v>
      </c>
    </row>
    <row r="684" spans="1:15" x14ac:dyDescent="0.3">
      <c r="A684" s="13" t="s">
        <v>48</v>
      </c>
      <c r="B684" s="12" t="s">
        <v>30</v>
      </c>
      <c r="C684" s="12" t="s">
        <v>32</v>
      </c>
      <c r="D684">
        <v>15</v>
      </c>
      <c r="E684">
        <v>33</v>
      </c>
      <c r="F684">
        <v>8</v>
      </c>
      <c r="G684" t="b">
        <v>1</v>
      </c>
      <c r="H684">
        <v>29.91</v>
      </c>
      <c r="I684">
        <v>69121</v>
      </c>
      <c r="J684">
        <v>4.5</v>
      </c>
      <c r="K684">
        <v>1.1000000000000001</v>
      </c>
      <c r="L684">
        <v>100</v>
      </c>
      <c r="M684">
        <v>0</v>
      </c>
      <c r="N684">
        <v>18</v>
      </c>
      <c r="O684">
        <v>0</v>
      </c>
    </row>
    <row r="685" spans="1:15" x14ac:dyDescent="0.3">
      <c r="A685" s="13" t="s">
        <v>48</v>
      </c>
      <c r="B685" s="12" t="s">
        <v>30</v>
      </c>
      <c r="C685" s="12" t="s">
        <v>32</v>
      </c>
      <c r="D685">
        <v>14</v>
      </c>
      <c r="E685">
        <v>34</v>
      </c>
      <c r="F685">
        <v>8</v>
      </c>
      <c r="G685" t="b">
        <v>0</v>
      </c>
      <c r="H685">
        <v>29.91</v>
      </c>
      <c r="I685">
        <v>69121</v>
      </c>
      <c r="J685">
        <v>4.5</v>
      </c>
      <c r="K685">
        <v>1.1000000000000001</v>
      </c>
      <c r="L685">
        <v>50</v>
      </c>
      <c r="M685">
        <v>0</v>
      </c>
      <c r="N685">
        <v>20</v>
      </c>
      <c r="O685">
        <v>0</v>
      </c>
    </row>
    <row r="686" spans="1:15" x14ac:dyDescent="0.3">
      <c r="A686" s="13" t="s">
        <v>48</v>
      </c>
      <c r="B686" s="12" t="s">
        <v>30</v>
      </c>
      <c r="C686" s="12" t="s">
        <v>32</v>
      </c>
      <c r="D686">
        <v>21</v>
      </c>
      <c r="E686">
        <v>35</v>
      </c>
      <c r="F686">
        <v>8</v>
      </c>
      <c r="G686" t="b">
        <v>0</v>
      </c>
      <c r="H686">
        <v>29.91</v>
      </c>
      <c r="I686">
        <v>69121</v>
      </c>
      <c r="J686">
        <v>4.5</v>
      </c>
      <c r="K686">
        <v>1.1000000000000001</v>
      </c>
      <c r="L686">
        <v>0</v>
      </c>
      <c r="M686">
        <v>0</v>
      </c>
      <c r="N686">
        <v>14</v>
      </c>
      <c r="O686" t="e">
        <v>#DIV/0!</v>
      </c>
    </row>
    <row r="687" spans="1:15" x14ac:dyDescent="0.3">
      <c r="A687" s="13" t="s">
        <v>48</v>
      </c>
      <c r="B687" s="12" t="s">
        <v>30</v>
      </c>
      <c r="C687" s="12" t="s">
        <v>32</v>
      </c>
      <c r="D687">
        <v>21</v>
      </c>
      <c r="E687">
        <v>36</v>
      </c>
      <c r="F687">
        <v>9</v>
      </c>
      <c r="G687" t="b">
        <v>0</v>
      </c>
      <c r="H687">
        <v>29.91</v>
      </c>
      <c r="I687">
        <v>121666</v>
      </c>
      <c r="J687">
        <v>4.5</v>
      </c>
      <c r="K687">
        <v>0.7</v>
      </c>
      <c r="L687">
        <v>0</v>
      </c>
      <c r="M687">
        <v>0</v>
      </c>
      <c r="N687">
        <v>15</v>
      </c>
      <c r="O687" t="e">
        <v>#DIV/0!</v>
      </c>
    </row>
    <row r="688" spans="1:15" x14ac:dyDescent="0.3">
      <c r="A688" s="13" t="s">
        <v>48</v>
      </c>
      <c r="B688" s="12" t="s">
        <v>30</v>
      </c>
      <c r="C688" s="12" t="s">
        <v>32</v>
      </c>
      <c r="D688">
        <v>21</v>
      </c>
      <c r="E688">
        <v>37</v>
      </c>
      <c r="F688">
        <v>9</v>
      </c>
      <c r="G688" t="b">
        <v>0</v>
      </c>
      <c r="H688">
        <v>29.91</v>
      </c>
      <c r="I688">
        <v>121666</v>
      </c>
      <c r="J688">
        <v>4.5</v>
      </c>
      <c r="K688">
        <v>0.7</v>
      </c>
      <c r="L688">
        <v>0</v>
      </c>
      <c r="M688">
        <v>0</v>
      </c>
      <c r="N688">
        <v>16</v>
      </c>
      <c r="O688" t="e">
        <v>#DIV/0!</v>
      </c>
    </row>
    <row r="689" spans="1:15" x14ac:dyDescent="0.3">
      <c r="A689" s="13" t="s">
        <v>48</v>
      </c>
      <c r="B689" s="12" t="s">
        <v>30</v>
      </c>
      <c r="C689" s="12" t="s">
        <v>32</v>
      </c>
      <c r="D689">
        <v>21</v>
      </c>
      <c r="E689">
        <v>38</v>
      </c>
      <c r="F689">
        <v>9</v>
      </c>
      <c r="G689" t="b">
        <v>0</v>
      </c>
      <c r="H689">
        <v>29.91</v>
      </c>
      <c r="I689">
        <v>121666</v>
      </c>
      <c r="J689">
        <v>3.9</v>
      </c>
      <c r="K689">
        <v>0.7</v>
      </c>
      <c r="L689">
        <v>0</v>
      </c>
      <c r="M689">
        <v>0</v>
      </c>
      <c r="N689">
        <v>17</v>
      </c>
      <c r="O689" t="e">
        <v>#DIV/0!</v>
      </c>
    </row>
    <row r="690" spans="1:15" x14ac:dyDescent="0.3">
      <c r="A690" s="13" t="s">
        <v>48</v>
      </c>
      <c r="B690" s="12" t="s">
        <v>30</v>
      </c>
      <c r="C690" s="12" t="s">
        <v>32</v>
      </c>
      <c r="D690">
        <v>25</v>
      </c>
      <c r="E690">
        <v>39</v>
      </c>
      <c r="F690">
        <v>9</v>
      </c>
      <c r="G690" t="b">
        <v>0</v>
      </c>
      <c r="H690">
        <v>29.91</v>
      </c>
      <c r="I690">
        <v>121666</v>
      </c>
      <c r="J690">
        <v>3.9</v>
      </c>
      <c r="K690">
        <v>0.7</v>
      </c>
      <c r="L690">
        <v>0</v>
      </c>
      <c r="M690">
        <v>0</v>
      </c>
      <c r="N690">
        <v>14</v>
      </c>
      <c r="O690" t="e">
        <v>#DIV/0!</v>
      </c>
    </row>
    <row r="691" spans="1:15" x14ac:dyDescent="0.3">
      <c r="A691" s="13" t="s">
        <v>48</v>
      </c>
      <c r="B691" s="12" t="s">
        <v>30</v>
      </c>
      <c r="C691" s="12" t="s">
        <v>32</v>
      </c>
      <c r="D691">
        <v>25</v>
      </c>
      <c r="E691">
        <v>40</v>
      </c>
      <c r="F691">
        <v>9</v>
      </c>
      <c r="G691" t="b">
        <v>0</v>
      </c>
      <c r="H691">
        <v>29.91</v>
      </c>
      <c r="I691">
        <v>121666</v>
      </c>
      <c r="J691">
        <v>3.9</v>
      </c>
      <c r="K691">
        <v>0.7</v>
      </c>
      <c r="L691">
        <v>0</v>
      </c>
      <c r="M691">
        <v>0</v>
      </c>
      <c r="N691">
        <v>15</v>
      </c>
      <c r="O691" t="e">
        <v>#DIV/0!</v>
      </c>
    </row>
    <row r="692" spans="1:15" x14ac:dyDescent="0.3">
      <c r="A692" s="13" t="s">
        <v>48</v>
      </c>
      <c r="B692" s="12" t="s">
        <v>30</v>
      </c>
      <c r="C692" s="12" t="s">
        <v>32</v>
      </c>
      <c r="D692">
        <v>25</v>
      </c>
      <c r="E692">
        <v>41</v>
      </c>
      <c r="F692">
        <v>10</v>
      </c>
      <c r="G692" t="b">
        <v>0</v>
      </c>
      <c r="H692">
        <v>29.91</v>
      </c>
      <c r="I692">
        <v>126488</v>
      </c>
      <c r="J692">
        <v>3.9</v>
      </c>
      <c r="K692">
        <v>0.9</v>
      </c>
      <c r="L692">
        <v>0</v>
      </c>
      <c r="M692">
        <v>0</v>
      </c>
      <c r="N692">
        <v>16</v>
      </c>
      <c r="O692" t="e">
        <v>#DIV/0!</v>
      </c>
    </row>
    <row r="693" spans="1:15" x14ac:dyDescent="0.3">
      <c r="A693" s="13" t="s">
        <v>48</v>
      </c>
      <c r="B693" s="12" t="s">
        <v>30</v>
      </c>
      <c r="C693" s="12" t="s">
        <v>32</v>
      </c>
      <c r="D693">
        <v>25</v>
      </c>
      <c r="E693">
        <v>42</v>
      </c>
      <c r="F693">
        <v>10</v>
      </c>
      <c r="G693" t="b">
        <v>0</v>
      </c>
      <c r="H693">
        <v>29.91</v>
      </c>
      <c r="I693">
        <v>126488</v>
      </c>
      <c r="J693">
        <v>3.9</v>
      </c>
      <c r="K693">
        <v>0.9</v>
      </c>
      <c r="L693">
        <v>0</v>
      </c>
      <c r="M693">
        <v>24</v>
      </c>
      <c r="N693">
        <v>17</v>
      </c>
      <c r="O693" t="e">
        <v>#DIV/0!</v>
      </c>
    </row>
    <row r="694" spans="1:15" x14ac:dyDescent="0.3">
      <c r="A694" s="13" t="s">
        <v>48</v>
      </c>
      <c r="B694" s="12" t="s">
        <v>30</v>
      </c>
      <c r="C694" s="12" t="s">
        <v>32</v>
      </c>
      <c r="D694">
        <v>25</v>
      </c>
      <c r="E694">
        <v>43</v>
      </c>
      <c r="F694">
        <v>10</v>
      </c>
      <c r="G694" t="b">
        <v>0</v>
      </c>
      <c r="H694">
        <v>29.91</v>
      </c>
      <c r="I694">
        <v>126488</v>
      </c>
      <c r="J694">
        <v>3.65</v>
      </c>
      <c r="K694">
        <v>0.9</v>
      </c>
      <c r="L694">
        <v>0</v>
      </c>
      <c r="M694">
        <v>0</v>
      </c>
      <c r="N694">
        <v>18</v>
      </c>
      <c r="O694" t="e">
        <v>#DIV/0!</v>
      </c>
    </row>
    <row r="695" spans="1:15" x14ac:dyDescent="0.3">
      <c r="A695" s="13" t="s">
        <v>48</v>
      </c>
      <c r="B695" s="12" t="s">
        <v>30</v>
      </c>
      <c r="C695" s="12" t="s">
        <v>32</v>
      </c>
      <c r="D695">
        <v>31</v>
      </c>
      <c r="E695">
        <v>44</v>
      </c>
      <c r="F695">
        <v>10</v>
      </c>
      <c r="G695" t="b">
        <v>1</v>
      </c>
      <c r="H695">
        <v>29.91</v>
      </c>
      <c r="I695">
        <v>126488</v>
      </c>
      <c r="J695">
        <v>3.65</v>
      </c>
      <c r="K695">
        <v>0.9</v>
      </c>
      <c r="L695">
        <v>0</v>
      </c>
      <c r="M695">
        <v>24</v>
      </c>
      <c r="N695">
        <v>13</v>
      </c>
      <c r="O695" t="e">
        <v>#DIV/0!</v>
      </c>
    </row>
    <row r="696" spans="1:15" x14ac:dyDescent="0.3">
      <c r="A696" s="13" t="s">
        <v>48</v>
      </c>
      <c r="B696" s="12" t="s">
        <v>30</v>
      </c>
      <c r="C696" s="12" t="s">
        <v>32</v>
      </c>
      <c r="D696">
        <v>31</v>
      </c>
      <c r="E696">
        <v>45</v>
      </c>
      <c r="F696">
        <v>11</v>
      </c>
      <c r="G696" t="b">
        <v>0</v>
      </c>
      <c r="H696">
        <v>29.91</v>
      </c>
      <c r="I696">
        <v>124251</v>
      </c>
      <c r="J696">
        <v>3.65</v>
      </c>
      <c r="K696">
        <v>1.3</v>
      </c>
      <c r="L696">
        <v>0</v>
      </c>
      <c r="M696">
        <v>24</v>
      </c>
      <c r="N696">
        <v>14</v>
      </c>
      <c r="O696" t="e">
        <v>#DIV/0!</v>
      </c>
    </row>
    <row r="697" spans="1:15" x14ac:dyDescent="0.3">
      <c r="A697" s="13" t="s">
        <v>48</v>
      </c>
      <c r="B697" s="12" t="s">
        <v>30</v>
      </c>
      <c r="C697" s="12" t="s">
        <v>32</v>
      </c>
      <c r="D697">
        <v>31</v>
      </c>
      <c r="E697">
        <v>46</v>
      </c>
      <c r="F697">
        <v>11</v>
      </c>
      <c r="G697" t="b">
        <v>0</v>
      </c>
      <c r="H697">
        <v>29.91</v>
      </c>
      <c r="I697">
        <v>124251</v>
      </c>
      <c r="J697">
        <v>3.65</v>
      </c>
      <c r="K697">
        <v>1.3</v>
      </c>
      <c r="L697">
        <v>0</v>
      </c>
      <c r="M697">
        <v>48</v>
      </c>
      <c r="N697">
        <v>15</v>
      </c>
      <c r="O697" t="e">
        <v>#DIV/0!</v>
      </c>
    </row>
    <row r="698" spans="1:15" x14ac:dyDescent="0.3">
      <c r="A698" s="13" t="s">
        <v>48</v>
      </c>
      <c r="B698" s="12" t="s">
        <v>30</v>
      </c>
      <c r="C698" s="12" t="s">
        <v>32</v>
      </c>
      <c r="D698">
        <v>31</v>
      </c>
      <c r="E698">
        <v>47</v>
      </c>
      <c r="F698">
        <v>11</v>
      </c>
      <c r="G698" t="b">
        <v>0</v>
      </c>
      <c r="H698">
        <v>29.91</v>
      </c>
      <c r="I698">
        <v>124251</v>
      </c>
      <c r="J698">
        <v>3.65</v>
      </c>
      <c r="K698">
        <v>1.3</v>
      </c>
      <c r="L698">
        <v>0</v>
      </c>
      <c r="M698">
        <v>24</v>
      </c>
      <c r="N698">
        <v>16</v>
      </c>
      <c r="O698" t="e">
        <v>#DIV/0!</v>
      </c>
    </row>
    <row r="699" spans="1:15" x14ac:dyDescent="0.3">
      <c r="A699" s="13" t="s">
        <v>48</v>
      </c>
      <c r="B699" s="12" t="s">
        <v>30</v>
      </c>
      <c r="C699" s="12" t="s">
        <v>32</v>
      </c>
      <c r="D699">
        <v>35</v>
      </c>
      <c r="E699">
        <v>48</v>
      </c>
      <c r="F699">
        <v>11</v>
      </c>
      <c r="G699" t="b">
        <v>0</v>
      </c>
      <c r="H699">
        <v>29.91</v>
      </c>
      <c r="I699">
        <v>124251</v>
      </c>
      <c r="J699">
        <v>3.65</v>
      </c>
      <c r="K699">
        <v>1.3</v>
      </c>
      <c r="L699">
        <v>0</v>
      </c>
      <c r="M699">
        <v>24</v>
      </c>
      <c r="N699">
        <v>13</v>
      </c>
      <c r="O699" t="e">
        <v>#DIV/0!</v>
      </c>
    </row>
    <row r="700" spans="1:15" x14ac:dyDescent="0.3">
      <c r="A700" s="13" t="s">
        <v>48</v>
      </c>
      <c r="B700" s="12" t="s">
        <v>30</v>
      </c>
      <c r="C700" s="12" t="s">
        <v>32</v>
      </c>
      <c r="D700">
        <v>35</v>
      </c>
      <c r="E700">
        <v>49</v>
      </c>
      <c r="F700">
        <v>12</v>
      </c>
      <c r="G700" t="b">
        <v>1</v>
      </c>
      <c r="H700">
        <v>29.91</v>
      </c>
      <c r="I700">
        <v>105715</v>
      </c>
      <c r="J700">
        <v>3.65</v>
      </c>
      <c r="K700">
        <v>1.3</v>
      </c>
      <c r="L700">
        <v>0</v>
      </c>
      <c r="M700">
        <v>24</v>
      </c>
      <c r="N700">
        <v>14</v>
      </c>
      <c r="O700" t="e">
        <v>#DIV/0!</v>
      </c>
    </row>
    <row r="701" spans="1:15" x14ac:dyDescent="0.3">
      <c r="A701" s="13" t="s">
        <v>48</v>
      </c>
      <c r="B701" s="12" t="s">
        <v>30</v>
      </c>
      <c r="C701" s="12" t="s">
        <v>32</v>
      </c>
      <c r="D701">
        <v>35</v>
      </c>
      <c r="E701">
        <v>50</v>
      </c>
      <c r="F701">
        <v>12</v>
      </c>
      <c r="G701" t="b">
        <v>0</v>
      </c>
      <c r="H701">
        <v>29.91</v>
      </c>
      <c r="I701">
        <v>105715</v>
      </c>
      <c r="J701">
        <v>3.4</v>
      </c>
      <c r="K701">
        <v>1.3</v>
      </c>
      <c r="L701">
        <v>0</v>
      </c>
      <c r="M701">
        <v>48</v>
      </c>
      <c r="N701">
        <v>15</v>
      </c>
      <c r="O701" t="e">
        <v>#DIV/0!</v>
      </c>
    </row>
    <row r="702" spans="1:15" x14ac:dyDescent="0.3">
      <c r="A702" s="13" t="s">
        <v>48</v>
      </c>
      <c r="B702" s="12" t="s">
        <v>30</v>
      </c>
      <c r="C702" s="12" t="s">
        <v>32</v>
      </c>
      <c r="D702">
        <v>36</v>
      </c>
      <c r="E702">
        <v>51</v>
      </c>
      <c r="F702">
        <v>12</v>
      </c>
      <c r="G702" t="b">
        <v>0</v>
      </c>
      <c r="H702">
        <v>29.91</v>
      </c>
      <c r="I702">
        <v>105715</v>
      </c>
      <c r="J702">
        <v>3.4</v>
      </c>
      <c r="K702">
        <v>1.3</v>
      </c>
      <c r="L702">
        <v>0</v>
      </c>
      <c r="M702">
        <v>0</v>
      </c>
      <c r="N702">
        <v>15</v>
      </c>
      <c r="O702" t="e">
        <v>#DIV/0!</v>
      </c>
    </row>
    <row r="703" spans="1:15" x14ac:dyDescent="0.3">
      <c r="A703" s="13" t="s">
        <v>48</v>
      </c>
      <c r="B703" s="12" t="s">
        <v>30</v>
      </c>
      <c r="C703" s="12" t="s">
        <v>32</v>
      </c>
      <c r="D703">
        <v>40</v>
      </c>
      <c r="E703">
        <v>52</v>
      </c>
      <c r="F703">
        <v>12</v>
      </c>
      <c r="G703" t="b">
        <v>1</v>
      </c>
      <c r="H703">
        <v>29.91</v>
      </c>
      <c r="I703">
        <v>105715</v>
      </c>
      <c r="J703">
        <v>3.4</v>
      </c>
      <c r="K703">
        <v>1.3</v>
      </c>
      <c r="L703">
        <v>0</v>
      </c>
      <c r="M703">
        <v>0</v>
      </c>
      <c r="N703">
        <v>12</v>
      </c>
      <c r="O703" t="e">
        <v>#DIV/0!</v>
      </c>
    </row>
    <row r="704" spans="1:15" x14ac:dyDescent="0.3">
      <c r="A704" s="13" t="s">
        <v>48</v>
      </c>
      <c r="B704" s="12" t="s">
        <v>30</v>
      </c>
      <c r="C704" s="12" t="s">
        <v>32</v>
      </c>
      <c r="D704">
        <v>40</v>
      </c>
      <c r="E704">
        <v>1</v>
      </c>
      <c r="F704">
        <v>12</v>
      </c>
      <c r="G704" t="b">
        <v>1</v>
      </c>
      <c r="H704">
        <v>29.91</v>
      </c>
      <c r="I704">
        <v>105715</v>
      </c>
      <c r="J704">
        <v>3.4</v>
      </c>
      <c r="K704">
        <v>1.3</v>
      </c>
      <c r="L704">
        <v>0</v>
      </c>
      <c r="M704">
        <v>24</v>
      </c>
      <c r="N704">
        <v>13</v>
      </c>
      <c r="O704" t="e">
        <v>#DIV/0!</v>
      </c>
    </row>
    <row r="705" spans="1:15" x14ac:dyDescent="0.3">
      <c r="A705" s="13" t="s">
        <v>48</v>
      </c>
      <c r="B705" s="12" t="s">
        <v>30</v>
      </c>
      <c r="C705" s="12" t="s">
        <v>32</v>
      </c>
      <c r="D705">
        <v>40</v>
      </c>
      <c r="E705">
        <v>2</v>
      </c>
      <c r="F705">
        <v>1</v>
      </c>
      <c r="G705" t="b">
        <v>1</v>
      </c>
      <c r="H705">
        <v>29.91</v>
      </c>
      <c r="I705">
        <v>133692</v>
      </c>
      <c r="J705">
        <v>3.4</v>
      </c>
      <c r="K705">
        <v>1.5</v>
      </c>
      <c r="L705">
        <v>24</v>
      </c>
      <c r="M705">
        <v>0</v>
      </c>
      <c r="N705">
        <v>14</v>
      </c>
      <c r="O705">
        <v>0</v>
      </c>
    </row>
    <row r="706" spans="1:15" x14ac:dyDescent="0.3">
      <c r="A706" s="13" t="s">
        <v>48</v>
      </c>
      <c r="B706" s="12" t="s">
        <v>30</v>
      </c>
      <c r="C706" s="12" t="s">
        <v>32</v>
      </c>
      <c r="D706">
        <v>40</v>
      </c>
      <c r="E706">
        <v>3</v>
      </c>
      <c r="F706">
        <v>1</v>
      </c>
      <c r="G706" t="b">
        <v>0</v>
      </c>
      <c r="H706">
        <v>29.91</v>
      </c>
      <c r="I706">
        <v>133692</v>
      </c>
      <c r="J706">
        <v>3.4</v>
      </c>
      <c r="K706">
        <v>1.5</v>
      </c>
      <c r="L706">
        <v>0</v>
      </c>
      <c r="M706">
        <v>96</v>
      </c>
      <c r="N706">
        <v>15</v>
      </c>
      <c r="O706" t="e">
        <v>#DIV/0!</v>
      </c>
    </row>
    <row r="707" spans="1:15" x14ac:dyDescent="0.3">
      <c r="A707" s="13" t="s">
        <v>48</v>
      </c>
      <c r="B707" s="12" t="s">
        <v>30</v>
      </c>
      <c r="C707" s="12" t="s">
        <v>32</v>
      </c>
      <c r="D707">
        <v>40</v>
      </c>
      <c r="E707">
        <v>4</v>
      </c>
      <c r="F707">
        <v>1</v>
      </c>
      <c r="G707" t="b">
        <v>0</v>
      </c>
      <c r="H707">
        <v>29.91</v>
      </c>
      <c r="I707">
        <v>133692</v>
      </c>
      <c r="J707">
        <v>3.4</v>
      </c>
      <c r="K707">
        <v>1.5</v>
      </c>
      <c r="L707">
        <v>24</v>
      </c>
      <c r="M707">
        <v>24</v>
      </c>
      <c r="N707">
        <v>16</v>
      </c>
      <c r="O707">
        <v>1</v>
      </c>
    </row>
    <row r="708" spans="1:15" x14ac:dyDescent="0.3">
      <c r="A708" s="13" t="s">
        <v>48</v>
      </c>
      <c r="B708" s="12" t="s">
        <v>30</v>
      </c>
      <c r="C708" s="12" t="s">
        <v>32</v>
      </c>
      <c r="D708">
        <v>44</v>
      </c>
      <c r="E708">
        <v>5</v>
      </c>
      <c r="F708">
        <v>1</v>
      </c>
      <c r="G708" t="b">
        <v>0</v>
      </c>
      <c r="H708">
        <v>29.91</v>
      </c>
      <c r="I708">
        <v>133692</v>
      </c>
      <c r="J708">
        <v>3.4</v>
      </c>
      <c r="K708">
        <v>1.5</v>
      </c>
      <c r="L708">
        <v>0</v>
      </c>
      <c r="M708">
        <v>96</v>
      </c>
      <c r="N708">
        <v>13</v>
      </c>
      <c r="O708" t="e">
        <v>#DIV/0!</v>
      </c>
    </row>
    <row r="709" spans="1:15" x14ac:dyDescent="0.3">
      <c r="A709" s="13" t="s">
        <v>48</v>
      </c>
      <c r="B709" s="12" t="s">
        <v>30</v>
      </c>
      <c r="C709" s="12" t="s">
        <v>32</v>
      </c>
      <c r="D709">
        <v>44</v>
      </c>
      <c r="E709">
        <v>6</v>
      </c>
      <c r="F709">
        <v>2</v>
      </c>
      <c r="G709" t="b">
        <v>0</v>
      </c>
      <c r="H709">
        <v>29.91</v>
      </c>
      <c r="I709">
        <v>137922</v>
      </c>
      <c r="J709">
        <v>3.15</v>
      </c>
      <c r="K709">
        <v>1.6</v>
      </c>
      <c r="L709">
        <v>48</v>
      </c>
      <c r="M709">
        <v>96</v>
      </c>
      <c r="N709">
        <v>14</v>
      </c>
      <c r="O709">
        <v>2</v>
      </c>
    </row>
    <row r="710" spans="1:15" x14ac:dyDescent="0.3">
      <c r="A710" s="13" t="s">
        <v>48</v>
      </c>
      <c r="B710" s="12" t="s">
        <v>30</v>
      </c>
      <c r="C710" s="12" t="s">
        <v>32</v>
      </c>
      <c r="D710">
        <v>44</v>
      </c>
      <c r="E710">
        <v>7</v>
      </c>
      <c r="F710">
        <v>2</v>
      </c>
      <c r="G710" t="b">
        <v>0</v>
      </c>
      <c r="H710">
        <v>29.91</v>
      </c>
      <c r="I710">
        <v>137922</v>
      </c>
      <c r="J710">
        <v>3.15</v>
      </c>
      <c r="K710">
        <v>1.6</v>
      </c>
      <c r="L710">
        <v>0</v>
      </c>
      <c r="M710">
        <v>120</v>
      </c>
      <c r="N710">
        <v>15</v>
      </c>
      <c r="O710" t="e">
        <v>#DIV/0!</v>
      </c>
    </row>
    <row r="711" spans="1:15" x14ac:dyDescent="0.3">
      <c r="A711" s="13" t="s">
        <v>48</v>
      </c>
      <c r="B711" s="12" t="s">
        <v>30</v>
      </c>
      <c r="C711" s="12" t="s">
        <v>32</v>
      </c>
      <c r="D711">
        <v>44</v>
      </c>
      <c r="E711">
        <v>8</v>
      </c>
      <c r="F711">
        <v>2</v>
      </c>
      <c r="G711" t="b">
        <v>0</v>
      </c>
      <c r="H711">
        <v>29.91</v>
      </c>
      <c r="I711">
        <v>137922</v>
      </c>
      <c r="J711">
        <v>3.15</v>
      </c>
      <c r="K711">
        <v>1.6</v>
      </c>
      <c r="L711">
        <v>24</v>
      </c>
      <c r="M711">
        <v>72</v>
      </c>
      <c r="N711">
        <v>16</v>
      </c>
      <c r="O711">
        <v>3</v>
      </c>
    </row>
    <row r="712" spans="1:15" x14ac:dyDescent="0.3">
      <c r="A712" s="13" t="s">
        <v>48</v>
      </c>
      <c r="B712" s="12" t="s">
        <v>30</v>
      </c>
      <c r="C712" s="12" t="s">
        <v>32</v>
      </c>
      <c r="D712">
        <v>49</v>
      </c>
      <c r="E712">
        <v>9</v>
      </c>
      <c r="F712">
        <v>2</v>
      </c>
      <c r="G712" t="b">
        <v>0</v>
      </c>
      <c r="H712">
        <v>29.91</v>
      </c>
      <c r="I712">
        <v>137922</v>
      </c>
      <c r="J712">
        <v>3.15</v>
      </c>
      <c r="K712">
        <v>1.6</v>
      </c>
      <c r="L712">
        <v>0</v>
      </c>
      <c r="M712">
        <v>0</v>
      </c>
      <c r="N712">
        <v>12</v>
      </c>
      <c r="O712" t="e">
        <v>#DIV/0!</v>
      </c>
    </row>
    <row r="713" spans="1:15" x14ac:dyDescent="0.3">
      <c r="A713" s="13" t="s">
        <v>48</v>
      </c>
      <c r="B713" s="12" t="s">
        <v>30</v>
      </c>
      <c r="C713" s="12" t="s">
        <v>32</v>
      </c>
      <c r="D713">
        <v>49</v>
      </c>
      <c r="E713">
        <v>10</v>
      </c>
      <c r="F713">
        <v>3</v>
      </c>
      <c r="G713" t="b">
        <v>0</v>
      </c>
      <c r="H713">
        <v>29.91</v>
      </c>
      <c r="I713">
        <v>172223</v>
      </c>
      <c r="J713">
        <v>3.15</v>
      </c>
      <c r="K713">
        <v>1.9</v>
      </c>
      <c r="L713">
        <v>24</v>
      </c>
      <c r="M713">
        <v>0</v>
      </c>
      <c r="N713">
        <v>13</v>
      </c>
      <c r="O713">
        <v>0</v>
      </c>
    </row>
    <row r="714" spans="1:15" x14ac:dyDescent="0.3">
      <c r="A714" s="13" t="s">
        <v>48</v>
      </c>
      <c r="B714" s="12" t="s">
        <v>30</v>
      </c>
      <c r="C714" s="12" t="s">
        <v>32</v>
      </c>
      <c r="D714">
        <v>49</v>
      </c>
      <c r="E714">
        <v>11</v>
      </c>
      <c r="F714">
        <v>3</v>
      </c>
      <c r="G714" t="b">
        <v>0</v>
      </c>
      <c r="H714">
        <v>29.91</v>
      </c>
      <c r="I714">
        <v>172223</v>
      </c>
      <c r="J714">
        <v>2.9</v>
      </c>
      <c r="K714">
        <v>1.9</v>
      </c>
      <c r="L714">
        <v>0</v>
      </c>
      <c r="M714">
        <v>24</v>
      </c>
      <c r="N714">
        <v>14</v>
      </c>
      <c r="O714" t="e">
        <v>#DIV/0!</v>
      </c>
    </row>
    <row r="715" spans="1:15" x14ac:dyDescent="0.3">
      <c r="A715" s="13" t="s">
        <v>48</v>
      </c>
      <c r="B715" s="12" t="s">
        <v>30</v>
      </c>
      <c r="C715" s="12" t="s">
        <v>32</v>
      </c>
      <c r="D715">
        <v>49</v>
      </c>
      <c r="E715">
        <v>12</v>
      </c>
      <c r="F715">
        <v>3</v>
      </c>
      <c r="G715" t="b">
        <v>0</v>
      </c>
      <c r="H715">
        <v>29.91</v>
      </c>
      <c r="I715">
        <v>172223</v>
      </c>
      <c r="J715">
        <v>2.9</v>
      </c>
      <c r="K715">
        <v>1.9</v>
      </c>
      <c r="L715">
        <v>24</v>
      </c>
      <c r="M715">
        <v>0</v>
      </c>
      <c r="N715">
        <v>15</v>
      </c>
      <c r="O715">
        <v>0</v>
      </c>
    </row>
    <row r="716" spans="1:15" x14ac:dyDescent="0.3">
      <c r="A716" s="13" t="s">
        <v>48</v>
      </c>
      <c r="B716" s="12" t="s">
        <v>30</v>
      </c>
      <c r="C716" s="12" t="s">
        <v>32</v>
      </c>
      <c r="D716">
        <v>49</v>
      </c>
      <c r="E716">
        <v>13</v>
      </c>
      <c r="F716">
        <v>3</v>
      </c>
      <c r="G716" t="b">
        <v>0</v>
      </c>
      <c r="H716">
        <v>29.91</v>
      </c>
      <c r="I716">
        <v>172223</v>
      </c>
      <c r="J716">
        <v>2.9</v>
      </c>
      <c r="K716">
        <v>1.9</v>
      </c>
      <c r="L716">
        <v>24</v>
      </c>
      <c r="M716">
        <v>0</v>
      </c>
      <c r="N716">
        <v>16</v>
      </c>
      <c r="O716">
        <v>0</v>
      </c>
    </row>
    <row r="717" spans="1:15" x14ac:dyDescent="0.3">
      <c r="A717" s="13" t="s">
        <v>48</v>
      </c>
      <c r="B717" s="12" t="s">
        <v>30</v>
      </c>
      <c r="C717" s="12" t="s">
        <v>32</v>
      </c>
      <c r="D717">
        <v>2</v>
      </c>
      <c r="E717">
        <v>14</v>
      </c>
      <c r="F717">
        <v>3</v>
      </c>
      <c r="G717" t="b">
        <v>0</v>
      </c>
      <c r="H717">
        <v>29.91</v>
      </c>
      <c r="I717">
        <v>172223</v>
      </c>
      <c r="J717">
        <v>2.9</v>
      </c>
      <c r="K717">
        <v>1.9</v>
      </c>
      <c r="L717">
        <v>24</v>
      </c>
      <c r="M717">
        <v>48</v>
      </c>
      <c r="N717">
        <v>12</v>
      </c>
      <c r="O717">
        <v>2</v>
      </c>
    </row>
    <row r="718" spans="1:15" x14ac:dyDescent="0.3">
      <c r="A718" s="13" t="s">
        <v>48</v>
      </c>
      <c r="B718" s="12" t="s">
        <v>30</v>
      </c>
      <c r="C718" s="12" t="s">
        <v>32</v>
      </c>
      <c r="D718">
        <v>2</v>
      </c>
      <c r="E718">
        <v>15</v>
      </c>
      <c r="F718">
        <v>4</v>
      </c>
      <c r="G718" t="b">
        <v>0</v>
      </c>
      <c r="H718">
        <v>29.91</v>
      </c>
      <c r="I718">
        <v>139084</v>
      </c>
      <c r="J718">
        <v>2.9</v>
      </c>
      <c r="K718">
        <v>1.9</v>
      </c>
      <c r="L718">
        <v>0</v>
      </c>
      <c r="M718">
        <v>24</v>
      </c>
      <c r="N718">
        <v>13</v>
      </c>
      <c r="O718" t="e">
        <v>#DIV/0!</v>
      </c>
    </row>
    <row r="719" spans="1:15" x14ac:dyDescent="0.3">
      <c r="A719" s="13" t="s">
        <v>48</v>
      </c>
      <c r="B719" s="12" t="s">
        <v>30</v>
      </c>
      <c r="C719" s="12" t="s">
        <v>32</v>
      </c>
      <c r="D719">
        <v>2</v>
      </c>
      <c r="E719">
        <v>16</v>
      </c>
      <c r="F719">
        <v>4</v>
      </c>
      <c r="G719" t="b">
        <v>0</v>
      </c>
      <c r="H719">
        <v>29.91</v>
      </c>
      <c r="I719">
        <v>139084</v>
      </c>
      <c r="J719">
        <v>2.9</v>
      </c>
      <c r="K719">
        <v>1.9</v>
      </c>
      <c r="L719">
        <v>24</v>
      </c>
      <c r="M719">
        <v>48</v>
      </c>
      <c r="N719">
        <v>14</v>
      </c>
      <c r="O719">
        <v>2</v>
      </c>
    </row>
    <row r="720" spans="1:15" x14ac:dyDescent="0.3">
      <c r="A720" s="13" t="s">
        <v>48</v>
      </c>
      <c r="B720" s="12" t="s">
        <v>30</v>
      </c>
      <c r="C720" s="12" t="s">
        <v>32</v>
      </c>
      <c r="D720">
        <v>2</v>
      </c>
      <c r="E720">
        <v>17</v>
      </c>
      <c r="F720">
        <v>4</v>
      </c>
      <c r="G720" t="b">
        <v>1</v>
      </c>
      <c r="H720">
        <v>29.91</v>
      </c>
      <c r="I720">
        <v>139084</v>
      </c>
      <c r="J720">
        <v>2.65</v>
      </c>
      <c r="K720">
        <v>1.9</v>
      </c>
      <c r="L720">
        <v>0</v>
      </c>
      <c r="M720">
        <v>144</v>
      </c>
      <c r="N720">
        <v>15</v>
      </c>
      <c r="O720" t="e">
        <v>#DIV/0!</v>
      </c>
    </row>
    <row r="721" spans="1:15" x14ac:dyDescent="0.3">
      <c r="A721" s="13" t="s">
        <v>48</v>
      </c>
      <c r="B721" s="12" t="s">
        <v>30</v>
      </c>
      <c r="C721" s="12" t="s">
        <v>32</v>
      </c>
      <c r="D721">
        <v>6</v>
      </c>
      <c r="E721">
        <v>18</v>
      </c>
      <c r="F721">
        <v>4</v>
      </c>
      <c r="G721" t="b">
        <v>1</v>
      </c>
      <c r="H721">
        <v>29.91</v>
      </c>
      <c r="I721">
        <v>139084</v>
      </c>
      <c r="J721">
        <v>2.65</v>
      </c>
      <c r="K721">
        <v>1.9</v>
      </c>
      <c r="L721">
        <v>0</v>
      </c>
      <c r="M721">
        <v>72</v>
      </c>
      <c r="N721">
        <v>12</v>
      </c>
      <c r="O721" t="e">
        <v>#DIV/0!</v>
      </c>
    </row>
    <row r="722" spans="1:15" x14ac:dyDescent="0.3">
      <c r="A722" s="13" t="s">
        <v>48</v>
      </c>
      <c r="B722" s="12" t="s">
        <v>30</v>
      </c>
      <c r="C722" s="12" t="s">
        <v>32</v>
      </c>
      <c r="D722">
        <v>5</v>
      </c>
      <c r="E722">
        <v>19</v>
      </c>
      <c r="F722">
        <v>5</v>
      </c>
      <c r="G722" t="b">
        <v>0</v>
      </c>
      <c r="H722">
        <v>29.91</v>
      </c>
      <c r="I722">
        <v>139390</v>
      </c>
      <c r="J722">
        <v>2.65</v>
      </c>
      <c r="K722">
        <v>1.6</v>
      </c>
      <c r="L722">
        <v>24</v>
      </c>
      <c r="M722">
        <v>48</v>
      </c>
      <c r="N722">
        <v>14</v>
      </c>
      <c r="O722">
        <v>2</v>
      </c>
    </row>
    <row r="723" spans="1:15" x14ac:dyDescent="0.3">
      <c r="A723" s="13" t="s">
        <v>48</v>
      </c>
      <c r="B723" s="12" t="s">
        <v>30</v>
      </c>
      <c r="C723" s="12" t="s">
        <v>32</v>
      </c>
      <c r="D723">
        <v>5</v>
      </c>
      <c r="E723">
        <v>20</v>
      </c>
      <c r="F723">
        <v>5</v>
      </c>
      <c r="G723" t="b">
        <v>0</v>
      </c>
      <c r="H723">
        <v>29.91</v>
      </c>
      <c r="I723">
        <v>139390</v>
      </c>
      <c r="J723">
        <v>2.65</v>
      </c>
      <c r="K723">
        <v>1.6</v>
      </c>
      <c r="L723">
        <v>24</v>
      </c>
      <c r="M723">
        <v>24</v>
      </c>
      <c r="N723">
        <v>15</v>
      </c>
      <c r="O723">
        <v>1</v>
      </c>
    </row>
    <row r="724" spans="1:15" x14ac:dyDescent="0.3">
      <c r="A724" s="13" t="s">
        <v>48</v>
      </c>
      <c r="B724" s="12" t="s">
        <v>30</v>
      </c>
      <c r="C724" s="12" t="s">
        <v>32</v>
      </c>
      <c r="D724">
        <v>5</v>
      </c>
      <c r="E724">
        <v>21</v>
      </c>
      <c r="F724">
        <v>5</v>
      </c>
      <c r="G724" t="b">
        <v>0</v>
      </c>
      <c r="H724">
        <v>29.91</v>
      </c>
      <c r="I724">
        <v>139390</v>
      </c>
      <c r="J724">
        <v>2.65</v>
      </c>
      <c r="K724">
        <v>1.6</v>
      </c>
      <c r="L724">
        <v>24</v>
      </c>
      <c r="M724">
        <v>72</v>
      </c>
      <c r="N724">
        <v>16</v>
      </c>
      <c r="O724">
        <v>3</v>
      </c>
    </row>
    <row r="725" spans="1:15" x14ac:dyDescent="0.3">
      <c r="A725" s="13" t="s">
        <v>48</v>
      </c>
      <c r="B725" s="12" t="s">
        <v>30</v>
      </c>
      <c r="C725" s="12" t="s">
        <v>32</v>
      </c>
      <c r="D725">
        <v>9</v>
      </c>
      <c r="E725">
        <v>22</v>
      </c>
      <c r="F725">
        <v>5</v>
      </c>
      <c r="G725" t="b">
        <v>0</v>
      </c>
      <c r="H725">
        <v>29.91</v>
      </c>
      <c r="I725">
        <v>139390</v>
      </c>
      <c r="J725">
        <v>2.65</v>
      </c>
      <c r="K725">
        <v>1.6</v>
      </c>
      <c r="L725">
        <v>0</v>
      </c>
      <c r="M725">
        <v>72</v>
      </c>
      <c r="N725">
        <v>13</v>
      </c>
      <c r="O725" t="e">
        <v>#DIV/0!</v>
      </c>
    </row>
    <row r="726" spans="1:15" x14ac:dyDescent="0.3">
      <c r="A726" s="13" t="s">
        <v>48</v>
      </c>
      <c r="B726" s="12" t="s">
        <v>30</v>
      </c>
      <c r="C726" s="12" t="s">
        <v>32</v>
      </c>
      <c r="D726">
        <v>9</v>
      </c>
      <c r="E726">
        <v>23</v>
      </c>
      <c r="F726">
        <v>5</v>
      </c>
      <c r="G726" t="b">
        <v>1</v>
      </c>
      <c r="H726">
        <v>29.91</v>
      </c>
      <c r="I726">
        <v>139390</v>
      </c>
      <c r="J726">
        <v>2.4</v>
      </c>
      <c r="K726">
        <v>1.6</v>
      </c>
      <c r="L726">
        <v>24</v>
      </c>
      <c r="M726">
        <v>48</v>
      </c>
      <c r="N726">
        <v>14</v>
      </c>
      <c r="O726">
        <v>2</v>
      </c>
    </row>
    <row r="727" spans="1:15" x14ac:dyDescent="0.3">
      <c r="A727" s="13" t="s">
        <v>48</v>
      </c>
      <c r="B727" s="12" t="s">
        <v>30</v>
      </c>
      <c r="C727" s="12" t="s">
        <v>32</v>
      </c>
      <c r="D727">
        <v>9</v>
      </c>
      <c r="E727">
        <v>24</v>
      </c>
      <c r="F727">
        <v>6</v>
      </c>
      <c r="G727" t="b">
        <v>0</v>
      </c>
      <c r="H727">
        <v>29.91</v>
      </c>
      <c r="I727">
        <v>132191</v>
      </c>
      <c r="J727">
        <v>2.4</v>
      </c>
      <c r="K727">
        <v>1.7</v>
      </c>
      <c r="L727">
        <v>0</v>
      </c>
      <c r="M727">
        <v>24</v>
      </c>
      <c r="N727">
        <v>15</v>
      </c>
      <c r="O727" t="e">
        <v>#DIV/0!</v>
      </c>
    </row>
    <row r="728" spans="1:15" x14ac:dyDescent="0.3">
      <c r="A728" s="13" t="s">
        <v>48</v>
      </c>
      <c r="B728" s="12" t="s">
        <v>30</v>
      </c>
      <c r="C728" s="12" t="s">
        <v>32</v>
      </c>
      <c r="D728">
        <v>9</v>
      </c>
      <c r="E728">
        <v>25</v>
      </c>
      <c r="F728">
        <v>6</v>
      </c>
      <c r="G728" t="b">
        <v>0</v>
      </c>
      <c r="H728">
        <v>29.91</v>
      </c>
      <c r="I728">
        <v>132191</v>
      </c>
      <c r="J728">
        <v>2.4</v>
      </c>
      <c r="K728">
        <v>1.7</v>
      </c>
      <c r="L728">
        <v>48</v>
      </c>
      <c r="M728">
        <v>72</v>
      </c>
      <c r="N728">
        <v>16</v>
      </c>
      <c r="O728">
        <v>1.5</v>
      </c>
    </row>
    <row r="729" spans="1:15" x14ac:dyDescent="0.3">
      <c r="A729" s="13" t="s">
        <v>48</v>
      </c>
      <c r="B729" s="12" t="s">
        <v>30</v>
      </c>
      <c r="C729" s="12" t="s">
        <v>32</v>
      </c>
      <c r="D729">
        <v>10</v>
      </c>
      <c r="E729">
        <v>26</v>
      </c>
      <c r="F729">
        <v>6</v>
      </c>
      <c r="G729" t="b">
        <v>0</v>
      </c>
      <c r="H729">
        <v>29.91</v>
      </c>
      <c r="I729">
        <v>132191</v>
      </c>
      <c r="J729">
        <v>2.4</v>
      </c>
      <c r="K729">
        <v>1.7</v>
      </c>
      <c r="L729">
        <v>48</v>
      </c>
      <c r="M729">
        <v>72</v>
      </c>
      <c r="N729">
        <v>16</v>
      </c>
      <c r="O729">
        <v>1.5</v>
      </c>
    </row>
    <row r="730" spans="1:15" x14ac:dyDescent="0.3">
      <c r="A730" s="13" t="s">
        <v>33</v>
      </c>
      <c r="B730" s="12" t="s">
        <v>30</v>
      </c>
      <c r="C730" s="12" t="s">
        <v>30</v>
      </c>
      <c r="D730">
        <v>9</v>
      </c>
      <c r="E730">
        <v>27</v>
      </c>
      <c r="F730">
        <v>7</v>
      </c>
      <c r="G730" t="b">
        <v>0</v>
      </c>
      <c r="H730">
        <v>29.84</v>
      </c>
      <c r="I730">
        <v>124806</v>
      </c>
      <c r="J730">
        <v>4.5</v>
      </c>
      <c r="K730">
        <v>1.3</v>
      </c>
      <c r="L730">
        <v>2913</v>
      </c>
      <c r="M730">
        <v>3250</v>
      </c>
      <c r="N730">
        <v>18</v>
      </c>
      <c r="O730">
        <v>1.1156882938551322</v>
      </c>
    </row>
    <row r="731" spans="1:15" x14ac:dyDescent="0.3">
      <c r="A731" s="13" t="s">
        <v>33</v>
      </c>
      <c r="B731" s="12" t="s">
        <v>30</v>
      </c>
      <c r="C731" s="12" t="s">
        <v>30</v>
      </c>
      <c r="D731">
        <v>10</v>
      </c>
      <c r="E731">
        <v>28</v>
      </c>
      <c r="F731">
        <v>7</v>
      </c>
      <c r="G731" t="b">
        <v>0</v>
      </c>
      <c r="H731">
        <v>29.84</v>
      </c>
      <c r="I731">
        <v>124806</v>
      </c>
      <c r="J731">
        <v>4.5</v>
      </c>
      <c r="K731">
        <v>1.3</v>
      </c>
      <c r="L731">
        <v>2748</v>
      </c>
      <c r="M731">
        <v>3000</v>
      </c>
      <c r="N731">
        <v>18</v>
      </c>
      <c r="O731">
        <v>1.0917030567685591</v>
      </c>
    </row>
    <row r="732" spans="1:15" x14ac:dyDescent="0.3">
      <c r="A732" s="13" t="s">
        <v>33</v>
      </c>
      <c r="B732" s="12" t="s">
        <v>30</v>
      </c>
      <c r="C732" s="12" t="s">
        <v>30</v>
      </c>
      <c r="D732">
        <v>10</v>
      </c>
      <c r="E732">
        <v>29</v>
      </c>
      <c r="F732">
        <v>7</v>
      </c>
      <c r="G732" t="b">
        <v>0</v>
      </c>
      <c r="H732">
        <v>29.84</v>
      </c>
      <c r="I732">
        <v>124806</v>
      </c>
      <c r="J732">
        <v>4.5</v>
      </c>
      <c r="K732">
        <v>1.3</v>
      </c>
      <c r="L732">
        <v>2304</v>
      </c>
      <c r="M732">
        <v>0</v>
      </c>
      <c r="N732">
        <v>19</v>
      </c>
      <c r="O732">
        <v>0</v>
      </c>
    </row>
    <row r="733" spans="1:15" x14ac:dyDescent="0.3">
      <c r="A733" s="13" t="s">
        <v>33</v>
      </c>
      <c r="B733" s="12" t="s">
        <v>30</v>
      </c>
      <c r="C733" s="12" t="s">
        <v>30</v>
      </c>
      <c r="D733">
        <v>12</v>
      </c>
      <c r="E733">
        <v>30</v>
      </c>
      <c r="F733">
        <v>7</v>
      </c>
      <c r="G733" t="b">
        <v>0</v>
      </c>
      <c r="H733">
        <v>29.84</v>
      </c>
      <c r="I733">
        <v>124806</v>
      </c>
      <c r="J733">
        <v>4.5</v>
      </c>
      <c r="K733">
        <v>1.3</v>
      </c>
      <c r="L733">
        <v>3399</v>
      </c>
      <c r="M733">
        <v>0</v>
      </c>
      <c r="N733">
        <v>18</v>
      </c>
      <c r="O733">
        <v>0</v>
      </c>
    </row>
    <row r="734" spans="1:15" x14ac:dyDescent="0.3">
      <c r="A734" s="13" t="s">
        <v>33</v>
      </c>
      <c r="B734" s="12" t="s">
        <v>30</v>
      </c>
      <c r="C734" s="12" t="s">
        <v>30</v>
      </c>
      <c r="D734">
        <v>14</v>
      </c>
      <c r="E734">
        <v>31</v>
      </c>
      <c r="F734">
        <v>7</v>
      </c>
      <c r="G734" t="b">
        <v>0</v>
      </c>
      <c r="H734">
        <v>29.84</v>
      </c>
      <c r="I734">
        <v>124806</v>
      </c>
      <c r="J734">
        <v>4.5</v>
      </c>
      <c r="K734">
        <v>1.3</v>
      </c>
      <c r="L734">
        <v>3402</v>
      </c>
      <c r="M734">
        <v>0</v>
      </c>
      <c r="N734">
        <v>17</v>
      </c>
      <c r="O734">
        <v>0</v>
      </c>
    </row>
    <row r="735" spans="1:15" x14ac:dyDescent="0.3">
      <c r="A735" s="13" t="s">
        <v>33</v>
      </c>
      <c r="B735" s="12" t="s">
        <v>30</v>
      </c>
      <c r="C735" s="12" t="s">
        <v>30</v>
      </c>
      <c r="D735">
        <v>13</v>
      </c>
      <c r="E735">
        <v>32</v>
      </c>
      <c r="F735">
        <v>8</v>
      </c>
      <c r="G735" t="b">
        <v>1</v>
      </c>
      <c r="H735">
        <v>29.84</v>
      </c>
      <c r="I735">
        <v>69121</v>
      </c>
      <c r="J735">
        <v>4.5</v>
      </c>
      <c r="K735">
        <v>1.1000000000000001</v>
      </c>
      <c r="L735">
        <v>3159</v>
      </c>
      <c r="M735">
        <v>946</v>
      </c>
      <c r="N735">
        <v>19</v>
      </c>
      <c r="O735">
        <v>0.29946185501741057</v>
      </c>
    </row>
    <row r="736" spans="1:15" x14ac:dyDescent="0.3">
      <c r="A736" s="13" t="s">
        <v>33</v>
      </c>
      <c r="B736" s="12" t="s">
        <v>30</v>
      </c>
      <c r="C736" s="12" t="s">
        <v>30</v>
      </c>
      <c r="D736">
        <v>14</v>
      </c>
      <c r="E736">
        <v>33</v>
      </c>
      <c r="F736">
        <v>8</v>
      </c>
      <c r="G736" t="b">
        <v>1</v>
      </c>
      <c r="H736">
        <v>29.84</v>
      </c>
      <c r="I736">
        <v>69121</v>
      </c>
      <c r="J736">
        <v>4.5</v>
      </c>
      <c r="K736">
        <v>1.1000000000000001</v>
      </c>
      <c r="L736">
        <v>3354</v>
      </c>
      <c r="M736">
        <v>50</v>
      </c>
      <c r="N736">
        <v>19</v>
      </c>
      <c r="O736">
        <v>1.4907573047107931E-2</v>
      </c>
    </row>
    <row r="737" spans="1:15" x14ac:dyDescent="0.3">
      <c r="A737" s="13" t="s">
        <v>33</v>
      </c>
      <c r="B737" s="12" t="s">
        <v>30</v>
      </c>
      <c r="C737" s="12" t="s">
        <v>30</v>
      </c>
      <c r="D737">
        <v>16</v>
      </c>
      <c r="E737">
        <v>34</v>
      </c>
      <c r="F737">
        <v>8</v>
      </c>
      <c r="G737" t="b">
        <v>0</v>
      </c>
      <c r="H737">
        <v>29.84</v>
      </c>
      <c r="I737">
        <v>69121</v>
      </c>
      <c r="J737">
        <v>4.5</v>
      </c>
      <c r="K737">
        <v>1.1000000000000001</v>
      </c>
      <c r="L737">
        <v>2817</v>
      </c>
      <c r="M737">
        <v>2200</v>
      </c>
      <c r="N737">
        <v>18</v>
      </c>
      <c r="O737">
        <v>0.78097266595669157</v>
      </c>
    </row>
    <row r="738" spans="1:15" x14ac:dyDescent="0.3">
      <c r="A738" s="13" t="s">
        <v>33</v>
      </c>
      <c r="B738" s="12" t="s">
        <v>30</v>
      </c>
      <c r="C738" s="12" t="s">
        <v>30</v>
      </c>
      <c r="D738">
        <v>19</v>
      </c>
      <c r="E738">
        <v>35</v>
      </c>
      <c r="F738">
        <v>8</v>
      </c>
      <c r="G738" t="b">
        <v>0</v>
      </c>
      <c r="H738">
        <v>29.84</v>
      </c>
      <c r="I738">
        <v>69121</v>
      </c>
      <c r="J738">
        <v>4.5</v>
      </c>
      <c r="K738">
        <v>1.1000000000000001</v>
      </c>
      <c r="L738">
        <v>3261</v>
      </c>
      <c r="M738">
        <v>2700</v>
      </c>
      <c r="N738">
        <v>16</v>
      </c>
      <c r="O738">
        <v>0.82796688132474705</v>
      </c>
    </row>
    <row r="739" spans="1:15" x14ac:dyDescent="0.3">
      <c r="A739" s="13" t="s">
        <v>33</v>
      </c>
      <c r="B739" s="12" t="s">
        <v>30</v>
      </c>
      <c r="C739" s="12" t="s">
        <v>30</v>
      </c>
      <c r="D739">
        <v>21</v>
      </c>
      <c r="E739">
        <v>36</v>
      </c>
      <c r="F739">
        <v>9</v>
      </c>
      <c r="G739" t="b">
        <v>0</v>
      </c>
      <c r="H739">
        <v>29.84</v>
      </c>
      <c r="I739">
        <v>121666</v>
      </c>
      <c r="J739">
        <v>4.5</v>
      </c>
      <c r="K739">
        <v>0.7</v>
      </c>
      <c r="L739">
        <v>2691</v>
      </c>
      <c r="M739">
        <v>1550</v>
      </c>
      <c r="N739">
        <v>15</v>
      </c>
      <c r="O739">
        <v>0.57599405425492378</v>
      </c>
    </row>
    <row r="740" spans="1:15" x14ac:dyDescent="0.3">
      <c r="A740" s="13" t="s">
        <v>33</v>
      </c>
      <c r="B740" s="12" t="s">
        <v>30</v>
      </c>
      <c r="C740" s="12" t="s">
        <v>30</v>
      </c>
      <c r="D740">
        <v>21</v>
      </c>
      <c r="E740">
        <v>37</v>
      </c>
      <c r="F740">
        <v>9</v>
      </c>
      <c r="G740" t="b">
        <v>0</v>
      </c>
      <c r="H740">
        <v>29.84</v>
      </c>
      <c r="I740">
        <v>121666</v>
      </c>
      <c r="J740">
        <v>4.5</v>
      </c>
      <c r="K740">
        <v>0.7</v>
      </c>
      <c r="L740">
        <v>3261</v>
      </c>
      <c r="M740">
        <v>2350</v>
      </c>
      <c r="N740">
        <v>16</v>
      </c>
      <c r="O740">
        <v>0.72063784115302054</v>
      </c>
    </row>
    <row r="741" spans="1:15" x14ac:dyDescent="0.3">
      <c r="A741" s="13" t="s">
        <v>33</v>
      </c>
      <c r="B741" s="12" t="s">
        <v>30</v>
      </c>
      <c r="C741" s="12" t="s">
        <v>30</v>
      </c>
      <c r="D741">
        <v>22</v>
      </c>
      <c r="E741">
        <v>38</v>
      </c>
      <c r="F741">
        <v>9</v>
      </c>
      <c r="G741" t="b">
        <v>0</v>
      </c>
      <c r="H741">
        <v>29.84</v>
      </c>
      <c r="I741">
        <v>121666</v>
      </c>
      <c r="J741">
        <v>3.9</v>
      </c>
      <c r="K741">
        <v>0.7</v>
      </c>
      <c r="L741">
        <v>3387</v>
      </c>
      <c r="M741">
        <v>2750</v>
      </c>
      <c r="N741">
        <v>16</v>
      </c>
      <c r="O741">
        <v>0.81192795984647181</v>
      </c>
    </row>
    <row r="742" spans="1:15" x14ac:dyDescent="0.3">
      <c r="A742" s="13" t="s">
        <v>33</v>
      </c>
      <c r="B742" s="12" t="s">
        <v>30</v>
      </c>
      <c r="C742" s="12" t="s">
        <v>30</v>
      </c>
      <c r="D742">
        <v>22</v>
      </c>
      <c r="E742">
        <v>39</v>
      </c>
      <c r="F742">
        <v>9</v>
      </c>
      <c r="G742" t="b">
        <v>0</v>
      </c>
      <c r="H742">
        <v>29.84</v>
      </c>
      <c r="I742">
        <v>121666</v>
      </c>
      <c r="J742">
        <v>3.9</v>
      </c>
      <c r="K742">
        <v>0.7</v>
      </c>
      <c r="L742">
        <v>2643</v>
      </c>
      <c r="M742">
        <v>2600</v>
      </c>
      <c r="N742">
        <v>17</v>
      </c>
      <c r="O742">
        <v>0.98373060915626187</v>
      </c>
    </row>
    <row r="743" spans="1:15" x14ac:dyDescent="0.3">
      <c r="A743" s="13" t="s">
        <v>33</v>
      </c>
      <c r="B743" s="12" t="s">
        <v>30</v>
      </c>
      <c r="C743" s="12" t="s">
        <v>30</v>
      </c>
      <c r="D743">
        <v>24</v>
      </c>
      <c r="E743">
        <v>40</v>
      </c>
      <c r="F743">
        <v>9</v>
      </c>
      <c r="G743" t="b">
        <v>0</v>
      </c>
      <c r="H743">
        <v>29.84</v>
      </c>
      <c r="I743">
        <v>121666</v>
      </c>
      <c r="J743">
        <v>3.9</v>
      </c>
      <c r="K743">
        <v>0.7</v>
      </c>
      <c r="L743">
        <v>2646</v>
      </c>
      <c r="M743">
        <v>1950</v>
      </c>
      <c r="N743">
        <v>16</v>
      </c>
      <c r="O743">
        <v>0.7369614512471655</v>
      </c>
    </row>
    <row r="744" spans="1:15" x14ac:dyDescent="0.3">
      <c r="A744" s="13" t="s">
        <v>33</v>
      </c>
      <c r="B744" s="12" t="s">
        <v>30</v>
      </c>
      <c r="C744" s="12" t="s">
        <v>30</v>
      </c>
      <c r="D744">
        <v>24</v>
      </c>
      <c r="E744">
        <v>41</v>
      </c>
      <c r="F744">
        <v>10</v>
      </c>
      <c r="G744" t="b">
        <v>0</v>
      </c>
      <c r="H744">
        <v>29.84</v>
      </c>
      <c r="I744">
        <v>126488</v>
      </c>
      <c r="J744">
        <v>3.9</v>
      </c>
      <c r="K744">
        <v>0.9</v>
      </c>
      <c r="L744">
        <v>3189</v>
      </c>
      <c r="M744">
        <v>3200</v>
      </c>
      <c r="N744">
        <v>17</v>
      </c>
      <c r="O744">
        <v>1.0034493571652556</v>
      </c>
    </row>
    <row r="745" spans="1:15" x14ac:dyDescent="0.3">
      <c r="A745" s="13" t="s">
        <v>33</v>
      </c>
      <c r="B745" s="12" t="s">
        <v>30</v>
      </c>
      <c r="C745" s="12" t="s">
        <v>30</v>
      </c>
      <c r="D745">
        <v>24</v>
      </c>
      <c r="E745">
        <v>42</v>
      </c>
      <c r="F745">
        <v>10</v>
      </c>
      <c r="G745" t="b">
        <v>0</v>
      </c>
      <c r="H745">
        <v>29.84</v>
      </c>
      <c r="I745">
        <v>126488</v>
      </c>
      <c r="J745">
        <v>3.9</v>
      </c>
      <c r="K745">
        <v>0.9</v>
      </c>
      <c r="L745">
        <v>2646</v>
      </c>
      <c r="M745">
        <v>0</v>
      </c>
      <c r="N745">
        <v>18</v>
      </c>
      <c r="O745">
        <v>0</v>
      </c>
    </row>
    <row r="746" spans="1:15" x14ac:dyDescent="0.3">
      <c r="A746" s="13" t="s">
        <v>33</v>
      </c>
      <c r="B746" s="12" t="s">
        <v>30</v>
      </c>
      <c r="C746" s="12" t="s">
        <v>30</v>
      </c>
      <c r="D746">
        <v>24</v>
      </c>
      <c r="E746">
        <v>43</v>
      </c>
      <c r="F746">
        <v>10</v>
      </c>
      <c r="G746" t="b">
        <v>0</v>
      </c>
      <c r="H746">
        <v>29.84</v>
      </c>
      <c r="I746">
        <v>126488</v>
      </c>
      <c r="J746">
        <v>3.65</v>
      </c>
      <c r="K746">
        <v>0.9</v>
      </c>
      <c r="L746">
        <v>2718</v>
      </c>
      <c r="M746">
        <v>0</v>
      </c>
      <c r="N746">
        <v>19</v>
      </c>
      <c r="O746">
        <v>0</v>
      </c>
    </row>
    <row r="747" spans="1:15" x14ac:dyDescent="0.3">
      <c r="A747" s="13" t="s">
        <v>33</v>
      </c>
      <c r="B747" s="12" t="s">
        <v>30</v>
      </c>
      <c r="C747" s="12" t="s">
        <v>30</v>
      </c>
      <c r="D747">
        <v>27</v>
      </c>
      <c r="E747">
        <v>44</v>
      </c>
      <c r="F747">
        <v>10</v>
      </c>
      <c r="G747" t="b">
        <v>1</v>
      </c>
      <c r="H747">
        <v>29.84</v>
      </c>
      <c r="I747">
        <v>126488</v>
      </c>
      <c r="J747">
        <v>3.65</v>
      </c>
      <c r="K747">
        <v>0.9</v>
      </c>
      <c r="L747">
        <v>0</v>
      </c>
      <c r="M747">
        <v>0</v>
      </c>
      <c r="N747">
        <v>17</v>
      </c>
      <c r="O747" t="e">
        <v>#DIV/0!</v>
      </c>
    </row>
    <row r="748" spans="1:15" x14ac:dyDescent="0.3">
      <c r="A748" s="13" t="s">
        <v>33</v>
      </c>
      <c r="B748" s="12" t="s">
        <v>30</v>
      </c>
      <c r="C748" s="12" t="s">
        <v>30</v>
      </c>
      <c r="D748">
        <v>28</v>
      </c>
      <c r="E748">
        <v>45</v>
      </c>
      <c r="F748">
        <v>11</v>
      </c>
      <c r="G748" t="b">
        <v>0</v>
      </c>
      <c r="H748">
        <v>29.84</v>
      </c>
      <c r="I748">
        <v>124251</v>
      </c>
      <c r="J748">
        <v>3.65</v>
      </c>
      <c r="K748">
        <v>1.3</v>
      </c>
      <c r="L748">
        <v>2238</v>
      </c>
      <c r="M748">
        <v>0</v>
      </c>
      <c r="N748">
        <v>17</v>
      </c>
      <c r="O748">
        <v>0</v>
      </c>
    </row>
    <row r="749" spans="1:15" x14ac:dyDescent="0.3">
      <c r="A749" s="13" t="s">
        <v>33</v>
      </c>
      <c r="B749" s="12" t="s">
        <v>30</v>
      </c>
      <c r="C749" s="12" t="s">
        <v>30</v>
      </c>
      <c r="D749">
        <v>28</v>
      </c>
      <c r="E749">
        <v>46</v>
      </c>
      <c r="F749">
        <v>11</v>
      </c>
      <c r="G749" t="b">
        <v>0</v>
      </c>
      <c r="H749">
        <v>29.84</v>
      </c>
      <c r="I749">
        <v>124251</v>
      </c>
      <c r="J749">
        <v>3.65</v>
      </c>
      <c r="K749">
        <v>1.3</v>
      </c>
      <c r="L749">
        <v>3354</v>
      </c>
      <c r="M749">
        <v>0</v>
      </c>
      <c r="N749">
        <v>18</v>
      </c>
      <c r="O749">
        <v>0</v>
      </c>
    </row>
    <row r="750" spans="1:15" x14ac:dyDescent="0.3">
      <c r="A750" s="13" t="s">
        <v>33</v>
      </c>
      <c r="B750" s="12" t="s">
        <v>30</v>
      </c>
      <c r="C750" s="12" t="s">
        <v>30</v>
      </c>
      <c r="D750">
        <v>26</v>
      </c>
      <c r="E750">
        <v>47</v>
      </c>
      <c r="F750">
        <v>11</v>
      </c>
      <c r="G750" t="b">
        <v>0</v>
      </c>
      <c r="H750">
        <v>29.84</v>
      </c>
      <c r="I750">
        <v>124251</v>
      </c>
      <c r="J750">
        <v>3.65</v>
      </c>
      <c r="K750">
        <v>1.3</v>
      </c>
      <c r="L750">
        <v>3354</v>
      </c>
      <c r="M750">
        <v>1500</v>
      </c>
      <c r="N750">
        <v>21</v>
      </c>
      <c r="O750">
        <v>0.44722719141323791</v>
      </c>
    </row>
    <row r="751" spans="1:15" x14ac:dyDescent="0.3">
      <c r="A751" s="13" t="s">
        <v>33</v>
      </c>
      <c r="B751" s="12" t="s">
        <v>30</v>
      </c>
      <c r="C751" s="12" t="s">
        <v>30</v>
      </c>
      <c r="D751">
        <v>25</v>
      </c>
      <c r="E751">
        <v>48</v>
      </c>
      <c r="F751">
        <v>11</v>
      </c>
      <c r="G751" t="b">
        <v>0</v>
      </c>
      <c r="H751">
        <v>29.84</v>
      </c>
      <c r="I751">
        <v>124251</v>
      </c>
      <c r="J751">
        <v>3.65</v>
      </c>
      <c r="K751">
        <v>1.3</v>
      </c>
      <c r="L751">
        <v>3105</v>
      </c>
      <c r="M751">
        <v>1500</v>
      </c>
      <c r="N751">
        <v>23</v>
      </c>
      <c r="O751">
        <v>0.48309178743961351</v>
      </c>
    </row>
    <row r="752" spans="1:15" x14ac:dyDescent="0.3">
      <c r="A752" s="13" t="s">
        <v>33</v>
      </c>
      <c r="B752" s="12" t="s">
        <v>30</v>
      </c>
      <c r="C752" s="12" t="s">
        <v>30</v>
      </c>
      <c r="D752">
        <v>25</v>
      </c>
      <c r="E752">
        <v>49</v>
      </c>
      <c r="F752">
        <v>12</v>
      </c>
      <c r="G752" t="b">
        <v>1</v>
      </c>
      <c r="H752">
        <v>29.84</v>
      </c>
      <c r="I752">
        <v>105715</v>
      </c>
      <c r="J752">
        <v>3.65</v>
      </c>
      <c r="K752">
        <v>1.3</v>
      </c>
      <c r="L752">
        <v>2793</v>
      </c>
      <c r="M752">
        <v>1500</v>
      </c>
      <c r="N752">
        <v>24</v>
      </c>
      <c r="O752">
        <v>0.53705692803437166</v>
      </c>
    </row>
    <row r="753" spans="1:15" x14ac:dyDescent="0.3">
      <c r="A753" s="13" t="s">
        <v>33</v>
      </c>
      <c r="B753" s="12" t="s">
        <v>30</v>
      </c>
      <c r="C753" s="12" t="s">
        <v>30</v>
      </c>
      <c r="D753">
        <v>26</v>
      </c>
      <c r="E753">
        <v>50</v>
      </c>
      <c r="F753">
        <v>12</v>
      </c>
      <c r="G753" t="b">
        <v>0</v>
      </c>
      <c r="H753">
        <v>29.84</v>
      </c>
      <c r="I753">
        <v>105715</v>
      </c>
      <c r="J753">
        <v>3.4</v>
      </c>
      <c r="K753">
        <v>1.3</v>
      </c>
      <c r="L753">
        <v>3354</v>
      </c>
      <c r="M753">
        <v>0</v>
      </c>
      <c r="N753">
        <v>24</v>
      </c>
      <c r="O753">
        <v>0</v>
      </c>
    </row>
    <row r="754" spans="1:15" x14ac:dyDescent="0.3">
      <c r="A754" s="13" t="s">
        <v>33</v>
      </c>
      <c r="B754" s="12" t="s">
        <v>30</v>
      </c>
      <c r="C754" s="12" t="s">
        <v>30</v>
      </c>
      <c r="D754">
        <v>28</v>
      </c>
      <c r="E754">
        <v>51</v>
      </c>
      <c r="F754">
        <v>12</v>
      </c>
      <c r="G754" t="b">
        <v>0</v>
      </c>
      <c r="H754">
        <v>29.84</v>
      </c>
      <c r="I754">
        <v>105715</v>
      </c>
      <c r="J754">
        <v>3.4</v>
      </c>
      <c r="K754">
        <v>1.3</v>
      </c>
      <c r="L754">
        <v>3357</v>
      </c>
      <c r="M754">
        <v>526</v>
      </c>
      <c r="N754">
        <v>23</v>
      </c>
      <c r="O754">
        <v>0.15668751861781352</v>
      </c>
    </row>
    <row r="755" spans="1:15" x14ac:dyDescent="0.3">
      <c r="A755" s="13" t="s">
        <v>33</v>
      </c>
      <c r="B755" s="12" t="s">
        <v>30</v>
      </c>
      <c r="C755" s="12" t="s">
        <v>30</v>
      </c>
      <c r="D755">
        <v>28</v>
      </c>
      <c r="E755">
        <v>52</v>
      </c>
      <c r="F755">
        <v>12</v>
      </c>
      <c r="G755" t="b">
        <v>1</v>
      </c>
      <c r="H755">
        <v>29.84</v>
      </c>
      <c r="I755">
        <v>105715</v>
      </c>
      <c r="J755">
        <v>3.4</v>
      </c>
      <c r="K755">
        <v>1.3</v>
      </c>
      <c r="L755">
        <v>3351</v>
      </c>
      <c r="M755">
        <v>2436</v>
      </c>
      <c r="N755">
        <v>24</v>
      </c>
      <c r="O755">
        <v>0.72694717994628466</v>
      </c>
    </row>
    <row r="756" spans="1:15" x14ac:dyDescent="0.3">
      <c r="A756" s="13" t="s">
        <v>33</v>
      </c>
      <c r="B756" s="12" t="s">
        <v>30</v>
      </c>
      <c r="C756" s="12" t="s">
        <v>30</v>
      </c>
      <c r="D756">
        <v>37</v>
      </c>
      <c r="E756">
        <v>1</v>
      </c>
      <c r="F756">
        <v>12</v>
      </c>
      <c r="G756" t="b">
        <v>1</v>
      </c>
      <c r="H756">
        <v>29.84</v>
      </c>
      <c r="I756">
        <v>105715</v>
      </c>
      <c r="J756">
        <v>3.4</v>
      </c>
      <c r="K756">
        <v>1.3</v>
      </c>
      <c r="L756">
        <v>2400</v>
      </c>
      <c r="M756">
        <v>1400</v>
      </c>
      <c r="N756">
        <v>16</v>
      </c>
      <c r="O756">
        <v>0.58333333333333337</v>
      </c>
    </row>
    <row r="757" spans="1:15" x14ac:dyDescent="0.3">
      <c r="A757" s="13" t="s">
        <v>33</v>
      </c>
      <c r="B757" s="12" t="s">
        <v>30</v>
      </c>
      <c r="C757" s="12" t="s">
        <v>30</v>
      </c>
      <c r="D757">
        <v>36</v>
      </c>
      <c r="E757">
        <v>2</v>
      </c>
      <c r="F757">
        <v>1</v>
      </c>
      <c r="G757" t="b">
        <v>1</v>
      </c>
      <c r="H757">
        <v>29.84</v>
      </c>
      <c r="I757">
        <v>133692</v>
      </c>
      <c r="J757">
        <v>3.4</v>
      </c>
      <c r="K757">
        <v>1.5</v>
      </c>
      <c r="L757">
        <v>59503</v>
      </c>
      <c r="M757">
        <v>0</v>
      </c>
      <c r="N757">
        <v>18</v>
      </c>
      <c r="O757">
        <v>0</v>
      </c>
    </row>
    <row r="758" spans="1:15" x14ac:dyDescent="0.3">
      <c r="A758" s="13" t="s">
        <v>33</v>
      </c>
      <c r="B758" s="12" t="s">
        <v>30</v>
      </c>
      <c r="C758" s="12" t="s">
        <v>30</v>
      </c>
      <c r="D758">
        <v>38</v>
      </c>
      <c r="E758">
        <v>3</v>
      </c>
      <c r="F758">
        <v>1</v>
      </c>
      <c r="G758" t="b">
        <v>0</v>
      </c>
      <c r="H758">
        <v>29.84</v>
      </c>
      <c r="I758">
        <v>133692</v>
      </c>
      <c r="J758">
        <v>3.4</v>
      </c>
      <c r="K758">
        <v>1.5</v>
      </c>
      <c r="L758">
        <v>-13863</v>
      </c>
      <c r="M758">
        <v>450</v>
      </c>
      <c r="N758">
        <v>17</v>
      </c>
      <c r="O758">
        <v>-3.2460506383899586E-2</v>
      </c>
    </row>
    <row r="759" spans="1:15" x14ac:dyDescent="0.3">
      <c r="A759" s="13" t="s">
        <v>33</v>
      </c>
      <c r="B759" s="12" t="s">
        <v>30</v>
      </c>
      <c r="C759" s="12" t="s">
        <v>30</v>
      </c>
      <c r="D759">
        <v>39</v>
      </c>
      <c r="E759">
        <v>4</v>
      </c>
      <c r="F759">
        <v>1</v>
      </c>
      <c r="G759" t="b">
        <v>0</v>
      </c>
      <c r="H759">
        <v>29.84</v>
      </c>
      <c r="I759">
        <v>133692</v>
      </c>
      <c r="J759">
        <v>3.4</v>
      </c>
      <c r="K759">
        <v>1.5</v>
      </c>
      <c r="L759">
        <v>2439</v>
      </c>
      <c r="M759">
        <v>3100</v>
      </c>
      <c r="N759">
        <v>17</v>
      </c>
      <c r="O759">
        <v>1.2710127101271014</v>
      </c>
    </row>
    <row r="760" spans="1:15" x14ac:dyDescent="0.3">
      <c r="A760" s="13" t="s">
        <v>33</v>
      </c>
      <c r="B760" s="12" t="s">
        <v>30</v>
      </c>
      <c r="C760" s="12" t="s">
        <v>30</v>
      </c>
      <c r="D760">
        <v>39</v>
      </c>
      <c r="E760">
        <v>5</v>
      </c>
      <c r="F760">
        <v>1</v>
      </c>
      <c r="G760" t="b">
        <v>0</v>
      </c>
      <c r="H760">
        <v>29.84</v>
      </c>
      <c r="I760">
        <v>133692</v>
      </c>
      <c r="J760">
        <v>3.4</v>
      </c>
      <c r="K760">
        <v>1.5</v>
      </c>
      <c r="L760">
        <v>2340</v>
      </c>
      <c r="M760">
        <v>2850</v>
      </c>
      <c r="N760">
        <v>18</v>
      </c>
      <c r="O760">
        <v>1.2179487179487178</v>
      </c>
    </row>
    <row r="761" spans="1:15" x14ac:dyDescent="0.3">
      <c r="A761" s="13" t="s">
        <v>33</v>
      </c>
      <c r="B761" s="12" t="s">
        <v>30</v>
      </c>
      <c r="C761" s="12" t="s">
        <v>30</v>
      </c>
      <c r="D761">
        <v>39</v>
      </c>
      <c r="E761">
        <v>6</v>
      </c>
      <c r="F761">
        <v>2</v>
      </c>
      <c r="G761" t="b">
        <v>0</v>
      </c>
      <c r="H761">
        <v>29.84</v>
      </c>
      <c r="I761">
        <v>137922</v>
      </c>
      <c r="J761">
        <v>3.15</v>
      </c>
      <c r="K761">
        <v>1.6</v>
      </c>
      <c r="L761">
        <v>2352</v>
      </c>
      <c r="M761">
        <v>0</v>
      </c>
      <c r="N761">
        <v>19</v>
      </c>
      <c r="O761">
        <v>0</v>
      </c>
    </row>
    <row r="762" spans="1:15" x14ac:dyDescent="0.3">
      <c r="A762" s="13" t="s">
        <v>33</v>
      </c>
      <c r="B762" s="12" t="s">
        <v>30</v>
      </c>
      <c r="C762" s="12" t="s">
        <v>30</v>
      </c>
      <c r="D762">
        <v>40</v>
      </c>
      <c r="E762">
        <v>7</v>
      </c>
      <c r="F762">
        <v>2</v>
      </c>
      <c r="G762" t="b">
        <v>0</v>
      </c>
      <c r="H762">
        <v>29.84</v>
      </c>
      <c r="I762">
        <v>137922</v>
      </c>
      <c r="J762">
        <v>3.15</v>
      </c>
      <c r="K762">
        <v>1.6</v>
      </c>
      <c r="L762">
        <v>1902</v>
      </c>
      <c r="M762">
        <v>0</v>
      </c>
      <c r="N762">
        <v>19</v>
      </c>
      <c r="O762">
        <v>0</v>
      </c>
    </row>
    <row r="763" spans="1:15" x14ac:dyDescent="0.3">
      <c r="A763" s="13" t="s">
        <v>33</v>
      </c>
      <c r="B763" s="12" t="s">
        <v>30</v>
      </c>
      <c r="C763" s="12" t="s">
        <v>30</v>
      </c>
      <c r="D763">
        <v>41</v>
      </c>
      <c r="E763">
        <v>8</v>
      </c>
      <c r="F763">
        <v>2</v>
      </c>
      <c r="G763" t="b">
        <v>0</v>
      </c>
      <c r="H763">
        <v>29.84</v>
      </c>
      <c r="I763">
        <v>137922</v>
      </c>
      <c r="J763">
        <v>3.15</v>
      </c>
      <c r="K763">
        <v>1.6</v>
      </c>
      <c r="L763">
        <v>957</v>
      </c>
      <c r="M763">
        <v>0</v>
      </c>
      <c r="N763">
        <v>19</v>
      </c>
      <c r="O763">
        <v>0</v>
      </c>
    </row>
    <row r="764" spans="1:15" x14ac:dyDescent="0.3">
      <c r="A764" s="13" t="s">
        <v>33</v>
      </c>
      <c r="B764" s="12" t="s">
        <v>30</v>
      </c>
      <c r="C764" s="12" t="s">
        <v>30</v>
      </c>
      <c r="D764">
        <v>41</v>
      </c>
      <c r="E764">
        <v>9</v>
      </c>
      <c r="F764">
        <v>2</v>
      </c>
      <c r="G764" t="b">
        <v>0</v>
      </c>
      <c r="H764">
        <v>29.84</v>
      </c>
      <c r="I764">
        <v>137922</v>
      </c>
      <c r="J764">
        <v>3.15</v>
      </c>
      <c r="K764">
        <v>1.6</v>
      </c>
      <c r="L764">
        <v>2088</v>
      </c>
      <c r="M764">
        <v>0</v>
      </c>
      <c r="N764">
        <v>20</v>
      </c>
      <c r="O764">
        <v>0</v>
      </c>
    </row>
    <row r="765" spans="1:15" x14ac:dyDescent="0.3">
      <c r="A765" s="13" t="s">
        <v>33</v>
      </c>
      <c r="B765" s="12" t="s">
        <v>30</v>
      </c>
      <c r="C765" s="12" t="s">
        <v>30</v>
      </c>
      <c r="D765">
        <v>42</v>
      </c>
      <c r="E765">
        <v>10</v>
      </c>
      <c r="F765">
        <v>3</v>
      </c>
      <c r="G765" t="b">
        <v>0</v>
      </c>
      <c r="H765">
        <v>29.84</v>
      </c>
      <c r="I765">
        <v>172223</v>
      </c>
      <c r="J765">
        <v>3.15</v>
      </c>
      <c r="K765">
        <v>1.9</v>
      </c>
      <c r="L765">
        <v>2001</v>
      </c>
      <c r="M765">
        <v>1050</v>
      </c>
      <c r="N765">
        <v>20</v>
      </c>
      <c r="O765">
        <v>0.52473763118440775</v>
      </c>
    </row>
    <row r="766" spans="1:15" x14ac:dyDescent="0.3">
      <c r="A766" s="13" t="s">
        <v>33</v>
      </c>
      <c r="B766" s="12" t="s">
        <v>30</v>
      </c>
      <c r="C766" s="12" t="s">
        <v>30</v>
      </c>
      <c r="D766">
        <v>42</v>
      </c>
      <c r="E766">
        <v>11</v>
      </c>
      <c r="F766">
        <v>3</v>
      </c>
      <c r="G766" t="b">
        <v>0</v>
      </c>
      <c r="H766">
        <v>29.84</v>
      </c>
      <c r="I766">
        <v>172223</v>
      </c>
      <c r="J766">
        <v>2.9</v>
      </c>
      <c r="K766">
        <v>1.9</v>
      </c>
      <c r="L766">
        <v>2004</v>
      </c>
      <c r="M766">
        <v>1100</v>
      </c>
      <c r="N766">
        <v>21</v>
      </c>
      <c r="O766">
        <v>0.5489021956087824</v>
      </c>
    </row>
    <row r="767" spans="1:15" x14ac:dyDescent="0.3">
      <c r="A767" s="13" t="s">
        <v>33</v>
      </c>
      <c r="B767" s="12" t="s">
        <v>30</v>
      </c>
      <c r="C767" s="12" t="s">
        <v>30</v>
      </c>
      <c r="D767">
        <v>42</v>
      </c>
      <c r="E767">
        <v>12</v>
      </c>
      <c r="F767">
        <v>3</v>
      </c>
      <c r="G767" t="b">
        <v>0</v>
      </c>
      <c r="H767">
        <v>29.84</v>
      </c>
      <c r="I767">
        <v>172223</v>
      </c>
      <c r="J767">
        <v>2.9</v>
      </c>
      <c r="K767">
        <v>1.9</v>
      </c>
      <c r="L767">
        <v>2775</v>
      </c>
      <c r="M767">
        <v>1700</v>
      </c>
      <c r="N767">
        <v>22</v>
      </c>
      <c r="O767">
        <v>0.61261261261261257</v>
      </c>
    </row>
    <row r="768" spans="1:15" x14ac:dyDescent="0.3">
      <c r="A768" s="13" t="s">
        <v>33</v>
      </c>
      <c r="B768" s="12" t="s">
        <v>30</v>
      </c>
      <c r="C768" s="12" t="s">
        <v>30</v>
      </c>
      <c r="D768">
        <v>46</v>
      </c>
      <c r="E768">
        <v>13</v>
      </c>
      <c r="F768">
        <v>3</v>
      </c>
      <c r="G768" t="b">
        <v>0</v>
      </c>
      <c r="H768">
        <v>29.84</v>
      </c>
      <c r="I768">
        <v>172223</v>
      </c>
      <c r="J768">
        <v>2.9</v>
      </c>
      <c r="K768">
        <v>1.9</v>
      </c>
      <c r="L768">
        <v>2142</v>
      </c>
      <c r="M768">
        <v>1644</v>
      </c>
      <c r="N768">
        <v>19</v>
      </c>
      <c r="O768">
        <v>0.7675070028011205</v>
      </c>
    </row>
    <row r="769" spans="1:15" x14ac:dyDescent="0.3">
      <c r="A769" s="13" t="s">
        <v>33</v>
      </c>
      <c r="B769" s="12" t="s">
        <v>30</v>
      </c>
      <c r="C769" s="12" t="s">
        <v>30</v>
      </c>
      <c r="D769">
        <v>47</v>
      </c>
      <c r="E769">
        <v>14</v>
      </c>
      <c r="F769">
        <v>3</v>
      </c>
      <c r="G769" t="b">
        <v>0</v>
      </c>
      <c r="H769">
        <v>29.84</v>
      </c>
      <c r="I769">
        <v>172223</v>
      </c>
      <c r="J769">
        <v>2.9</v>
      </c>
      <c r="K769">
        <v>1.9</v>
      </c>
      <c r="L769">
        <v>1662</v>
      </c>
      <c r="M769">
        <v>1650</v>
      </c>
      <c r="N769">
        <v>19</v>
      </c>
      <c r="O769">
        <v>0.99277978339350181</v>
      </c>
    </row>
    <row r="770" spans="1:15" x14ac:dyDescent="0.3">
      <c r="A770" s="13" t="s">
        <v>33</v>
      </c>
      <c r="B770" s="12" t="s">
        <v>30</v>
      </c>
      <c r="C770" s="12" t="s">
        <v>30</v>
      </c>
      <c r="D770">
        <v>49</v>
      </c>
      <c r="E770">
        <v>15</v>
      </c>
      <c r="F770">
        <v>4</v>
      </c>
      <c r="G770" t="b">
        <v>0</v>
      </c>
      <c r="H770">
        <v>29.84</v>
      </c>
      <c r="I770">
        <v>139084</v>
      </c>
      <c r="J770">
        <v>2.9</v>
      </c>
      <c r="K770">
        <v>1.9</v>
      </c>
      <c r="L770">
        <v>2433</v>
      </c>
      <c r="M770">
        <v>0</v>
      </c>
      <c r="N770">
        <v>18</v>
      </c>
      <c r="O770">
        <v>0</v>
      </c>
    </row>
    <row r="771" spans="1:15" x14ac:dyDescent="0.3">
      <c r="A771" s="13" t="s">
        <v>33</v>
      </c>
      <c r="B771" s="12" t="s">
        <v>30</v>
      </c>
      <c r="C771" s="12" t="s">
        <v>30</v>
      </c>
      <c r="D771">
        <v>49</v>
      </c>
      <c r="E771">
        <v>16</v>
      </c>
      <c r="F771">
        <v>4</v>
      </c>
      <c r="G771" t="b">
        <v>0</v>
      </c>
      <c r="H771">
        <v>29.84</v>
      </c>
      <c r="I771">
        <v>139084</v>
      </c>
      <c r="J771">
        <v>2.9</v>
      </c>
      <c r="K771">
        <v>1.9</v>
      </c>
      <c r="L771">
        <v>2442</v>
      </c>
      <c r="M771">
        <v>0</v>
      </c>
      <c r="N771">
        <v>19</v>
      </c>
      <c r="O771">
        <v>0</v>
      </c>
    </row>
    <row r="772" spans="1:15" x14ac:dyDescent="0.3">
      <c r="A772" s="13" t="s">
        <v>33</v>
      </c>
      <c r="B772" s="12" t="s">
        <v>30</v>
      </c>
      <c r="C772" s="12" t="s">
        <v>30</v>
      </c>
      <c r="D772">
        <v>0</v>
      </c>
      <c r="E772">
        <v>17</v>
      </c>
      <c r="F772">
        <v>4</v>
      </c>
      <c r="G772" t="b">
        <v>1</v>
      </c>
      <c r="H772">
        <v>29.84</v>
      </c>
      <c r="I772">
        <v>139084</v>
      </c>
      <c r="J772">
        <v>2.65</v>
      </c>
      <c r="K772">
        <v>1.9</v>
      </c>
      <c r="L772">
        <v>2280</v>
      </c>
      <c r="M772">
        <v>0</v>
      </c>
      <c r="N772">
        <v>17</v>
      </c>
      <c r="O772">
        <v>0</v>
      </c>
    </row>
    <row r="773" spans="1:15" x14ac:dyDescent="0.3">
      <c r="A773" s="13" t="s">
        <v>33</v>
      </c>
      <c r="B773" s="12" t="s">
        <v>30</v>
      </c>
      <c r="C773" s="12" t="s">
        <v>30</v>
      </c>
      <c r="D773">
        <v>50</v>
      </c>
      <c r="E773">
        <v>18</v>
      </c>
      <c r="F773">
        <v>4</v>
      </c>
      <c r="G773" t="b">
        <v>1</v>
      </c>
      <c r="H773">
        <v>29.84</v>
      </c>
      <c r="I773">
        <v>139084</v>
      </c>
      <c r="J773">
        <v>2.65</v>
      </c>
      <c r="K773">
        <v>1.9</v>
      </c>
      <c r="L773">
        <v>1989</v>
      </c>
      <c r="M773">
        <v>506</v>
      </c>
      <c r="N773">
        <v>20</v>
      </c>
      <c r="O773">
        <v>0.25439919557566615</v>
      </c>
    </row>
    <row r="774" spans="1:15" x14ac:dyDescent="0.3">
      <c r="A774" s="13" t="s">
        <v>33</v>
      </c>
      <c r="B774" s="12" t="s">
        <v>30</v>
      </c>
      <c r="C774" s="12" t="s">
        <v>30</v>
      </c>
      <c r="D774">
        <v>1</v>
      </c>
      <c r="E774">
        <v>19</v>
      </c>
      <c r="F774">
        <v>5</v>
      </c>
      <c r="G774" t="b">
        <v>0</v>
      </c>
      <c r="H774">
        <v>29.84</v>
      </c>
      <c r="I774">
        <v>139390</v>
      </c>
      <c r="J774">
        <v>2.65</v>
      </c>
      <c r="K774">
        <v>1.6</v>
      </c>
      <c r="L774">
        <v>2094</v>
      </c>
      <c r="M774">
        <v>850</v>
      </c>
      <c r="N774">
        <v>18</v>
      </c>
      <c r="O774">
        <v>0.40592168099331422</v>
      </c>
    </row>
    <row r="775" spans="1:15" x14ac:dyDescent="0.3">
      <c r="A775" s="13" t="s">
        <v>33</v>
      </c>
      <c r="B775" s="12" t="s">
        <v>30</v>
      </c>
      <c r="C775" s="12" t="s">
        <v>30</v>
      </c>
      <c r="D775">
        <v>3</v>
      </c>
      <c r="E775">
        <v>20</v>
      </c>
      <c r="F775">
        <v>5</v>
      </c>
      <c r="G775" t="b">
        <v>0</v>
      </c>
      <c r="H775">
        <v>29.84</v>
      </c>
      <c r="I775">
        <v>139390</v>
      </c>
      <c r="J775">
        <v>2.65</v>
      </c>
      <c r="K775">
        <v>1.6</v>
      </c>
      <c r="L775">
        <v>1626</v>
      </c>
      <c r="M775">
        <v>1200</v>
      </c>
      <c r="N775">
        <v>17</v>
      </c>
      <c r="O775">
        <v>0.73800738007380073</v>
      </c>
    </row>
    <row r="776" spans="1:15" x14ac:dyDescent="0.3">
      <c r="A776" s="13" t="s">
        <v>33</v>
      </c>
      <c r="B776" s="12" t="s">
        <v>30</v>
      </c>
      <c r="C776" s="12" t="s">
        <v>30</v>
      </c>
      <c r="D776">
        <v>3</v>
      </c>
      <c r="E776">
        <v>21</v>
      </c>
      <c r="F776">
        <v>5</v>
      </c>
      <c r="G776" t="b">
        <v>0</v>
      </c>
      <c r="H776">
        <v>29.84</v>
      </c>
      <c r="I776">
        <v>139390</v>
      </c>
      <c r="J776">
        <v>2.65</v>
      </c>
      <c r="K776">
        <v>1.6</v>
      </c>
      <c r="L776">
        <v>1620</v>
      </c>
      <c r="M776">
        <v>1350</v>
      </c>
      <c r="N776">
        <v>18</v>
      </c>
      <c r="O776">
        <v>0.83333333333333337</v>
      </c>
    </row>
    <row r="777" spans="1:15" x14ac:dyDescent="0.3">
      <c r="A777" s="13" t="s">
        <v>33</v>
      </c>
      <c r="B777" s="12" t="s">
        <v>30</v>
      </c>
      <c r="C777" s="12" t="s">
        <v>30</v>
      </c>
      <c r="D777">
        <v>4</v>
      </c>
      <c r="E777">
        <v>22</v>
      </c>
      <c r="F777">
        <v>5</v>
      </c>
      <c r="G777" t="b">
        <v>0</v>
      </c>
      <c r="H777">
        <v>29.84</v>
      </c>
      <c r="I777">
        <v>139390</v>
      </c>
      <c r="J777">
        <v>2.65</v>
      </c>
      <c r="K777">
        <v>1.6</v>
      </c>
      <c r="L777">
        <v>2439</v>
      </c>
      <c r="M777">
        <v>1500</v>
      </c>
      <c r="N777">
        <v>18</v>
      </c>
      <c r="O777">
        <v>0.61500615006150061</v>
      </c>
    </row>
    <row r="778" spans="1:15" x14ac:dyDescent="0.3">
      <c r="A778" s="13" t="s">
        <v>33</v>
      </c>
      <c r="B778" s="12" t="s">
        <v>30</v>
      </c>
      <c r="C778" s="12" t="s">
        <v>30</v>
      </c>
      <c r="D778">
        <v>4</v>
      </c>
      <c r="E778">
        <v>23</v>
      </c>
      <c r="F778">
        <v>5</v>
      </c>
      <c r="G778" t="b">
        <v>1</v>
      </c>
      <c r="H778">
        <v>29.84</v>
      </c>
      <c r="I778">
        <v>139390</v>
      </c>
      <c r="J778">
        <v>2.4</v>
      </c>
      <c r="K778">
        <v>1.6</v>
      </c>
      <c r="L778">
        <v>2430</v>
      </c>
      <c r="M778">
        <v>1300</v>
      </c>
      <c r="N778">
        <v>19</v>
      </c>
      <c r="O778">
        <v>0.53497942386831276</v>
      </c>
    </row>
    <row r="779" spans="1:15" x14ac:dyDescent="0.3">
      <c r="A779" s="13" t="s">
        <v>33</v>
      </c>
      <c r="B779" s="12" t="s">
        <v>30</v>
      </c>
      <c r="C779" s="12" t="s">
        <v>30</v>
      </c>
      <c r="D779">
        <v>6</v>
      </c>
      <c r="E779">
        <v>24</v>
      </c>
      <c r="F779">
        <v>6</v>
      </c>
      <c r="G779" t="b">
        <v>0</v>
      </c>
      <c r="H779">
        <v>29.84</v>
      </c>
      <c r="I779">
        <v>132191</v>
      </c>
      <c r="J779">
        <v>2.4</v>
      </c>
      <c r="K779">
        <v>1.7</v>
      </c>
      <c r="L779">
        <v>1959</v>
      </c>
      <c r="M779">
        <v>2000</v>
      </c>
      <c r="N779">
        <v>18</v>
      </c>
      <c r="O779">
        <v>1.0209290454313424</v>
      </c>
    </row>
    <row r="780" spans="1:15" x14ac:dyDescent="0.3">
      <c r="A780" s="13" t="s">
        <v>33</v>
      </c>
      <c r="B780" s="12" t="s">
        <v>30</v>
      </c>
      <c r="C780" s="12" t="s">
        <v>30</v>
      </c>
      <c r="D780">
        <v>8</v>
      </c>
      <c r="E780">
        <v>25</v>
      </c>
      <c r="F780">
        <v>6</v>
      </c>
      <c r="G780" t="b">
        <v>0</v>
      </c>
      <c r="H780">
        <v>29.84</v>
      </c>
      <c r="I780">
        <v>132191</v>
      </c>
      <c r="J780">
        <v>2.4</v>
      </c>
      <c r="K780">
        <v>1.7</v>
      </c>
      <c r="L780">
        <v>1683</v>
      </c>
      <c r="M780">
        <v>2500</v>
      </c>
      <c r="N780">
        <v>17</v>
      </c>
      <c r="O780">
        <v>1.4854426619132501</v>
      </c>
    </row>
    <row r="781" spans="1:15" x14ac:dyDescent="0.3">
      <c r="A781" s="13" t="s">
        <v>33</v>
      </c>
      <c r="B781" s="12" t="s">
        <v>30</v>
      </c>
      <c r="C781" s="12" t="s">
        <v>30</v>
      </c>
      <c r="D781">
        <v>9</v>
      </c>
      <c r="E781">
        <v>26</v>
      </c>
      <c r="F781">
        <v>6</v>
      </c>
      <c r="G781" t="b">
        <v>0</v>
      </c>
      <c r="H781">
        <v>29.84</v>
      </c>
      <c r="I781">
        <v>132191</v>
      </c>
      <c r="J781">
        <v>2.4</v>
      </c>
      <c r="K781">
        <v>1.7</v>
      </c>
      <c r="L781">
        <v>1683</v>
      </c>
      <c r="M781">
        <v>2500</v>
      </c>
      <c r="N781">
        <v>17</v>
      </c>
      <c r="O781">
        <v>1.4854426619132501</v>
      </c>
    </row>
    <row r="782" spans="1:15" x14ac:dyDescent="0.3">
      <c r="A782" s="13" t="s">
        <v>41</v>
      </c>
      <c r="B782" s="12" t="s">
        <v>30</v>
      </c>
      <c r="C782" s="12" t="s">
        <v>33</v>
      </c>
      <c r="D782">
        <v>11</v>
      </c>
      <c r="E782">
        <v>27</v>
      </c>
      <c r="F782">
        <v>7</v>
      </c>
      <c r="G782" t="b">
        <v>0</v>
      </c>
      <c r="H782">
        <v>21.19</v>
      </c>
      <c r="I782">
        <v>124806</v>
      </c>
      <c r="J782">
        <v>4.5</v>
      </c>
      <c r="K782">
        <v>1.3</v>
      </c>
      <c r="L782">
        <v>87</v>
      </c>
      <c r="M782">
        <v>600</v>
      </c>
      <c r="N782">
        <v>16</v>
      </c>
      <c r="O782">
        <v>6.8965517241379306</v>
      </c>
    </row>
    <row r="783" spans="1:15" x14ac:dyDescent="0.3">
      <c r="A783" s="13" t="s">
        <v>41</v>
      </c>
      <c r="B783" s="12" t="s">
        <v>30</v>
      </c>
      <c r="C783" s="12" t="s">
        <v>33</v>
      </c>
      <c r="D783">
        <v>9</v>
      </c>
      <c r="E783">
        <v>28</v>
      </c>
      <c r="F783">
        <v>7</v>
      </c>
      <c r="G783" t="b">
        <v>0</v>
      </c>
      <c r="H783">
        <v>21.19</v>
      </c>
      <c r="I783">
        <v>124806</v>
      </c>
      <c r="J783">
        <v>4.5</v>
      </c>
      <c r="K783">
        <v>1.3</v>
      </c>
      <c r="L783">
        <v>87</v>
      </c>
      <c r="M783">
        <v>520</v>
      </c>
      <c r="N783">
        <v>19</v>
      </c>
      <c r="O783">
        <v>5.9770114942528734</v>
      </c>
    </row>
    <row r="784" spans="1:15" x14ac:dyDescent="0.3">
      <c r="A784" s="13" t="s">
        <v>41</v>
      </c>
      <c r="B784" s="12" t="s">
        <v>30</v>
      </c>
      <c r="C784" s="12" t="s">
        <v>33</v>
      </c>
      <c r="D784">
        <v>9</v>
      </c>
      <c r="E784">
        <v>29</v>
      </c>
      <c r="F784">
        <v>7</v>
      </c>
      <c r="G784" t="b">
        <v>0</v>
      </c>
      <c r="H784">
        <v>21.19</v>
      </c>
      <c r="I784">
        <v>124806</v>
      </c>
      <c r="J784">
        <v>4.5</v>
      </c>
      <c r="K784">
        <v>1.3</v>
      </c>
      <c r="L784">
        <v>87</v>
      </c>
      <c r="M784">
        <v>680</v>
      </c>
      <c r="N784">
        <v>20</v>
      </c>
      <c r="O784">
        <v>7.8160919540229887</v>
      </c>
    </row>
    <row r="785" spans="1:15" x14ac:dyDescent="0.3">
      <c r="A785" s="13" t="s">
        <v>41</v>
      </c>
      <c r="B785" s="12" t="s">
        <v>30</v>
      </c>
      <c r="C785" s="12" t="s">
        <v>33</v>
      </c>
      <c r="D785">
        <v>9</v>
      </c>
      <c r="E785">
        <v>30</v>
      </c>
      <c r="F785">
        <v>7</v>
      </c>
      <c r="G785" t="b">
        <v>0</v>
      </c>
      <c r="H785">
        <v>21.19</v>
      </c>
      <c r="I785">
        <v>124806</v>
      </c>
      <c r="J785">
        <v>4.5</v>
      </c>
      <c r="K785">
        <v>1.3</v>
      </c>
      <c r="L785">
        <v>87</v>
      </c>
      <c r="M785">
        <v>240</v>
      </c>
      <c r="N785">
        <v>21</v>
      </c>
      <c r="O785">
        <v>2.7586206896551726</v>
      </c>
    </row>
    <row r="786" spans="1:15" x14ac:dyDescent="0.3">
      <c r="A786" s="13" t="s">
        <v>41</v>
      </c>
      <c r="B786" s="12" t="s">
        <v>30</v>
      </c>
      <c r="C786" s="12" t="s">
        <v>33</v>
      </c>
      <c r="D786">
        <v>23</v>
      </c>
      <c r="E786">
        <v>31</v>
      </c>
      <c r="F786">
        <v>7</v>
      </c>
      <c r="G786" t="b">
        <v>0</v>
      </c>
      <c r="H786">
        <v>21.19</v>
      </c>
      <c r="I786">
        <v>124806</v>
      </c>
      <c r="J786">
        <v>4.5</v>
      </c>
      <c r="K786">
        <v>1.3</v>
      </c>
      <c r="L786">
        <v>564</v>
      </c>
      <c r="M786">
        <v>450</v>
      </c>
      <c r="N786">
        <v>8</v>
      </c>
      <c r="O786">
        <v>0.7978723404255319</v>
      </c>
    </row>
    <row r="787" spans="1:15" x14ac:dyDescent="0.3">
      <c r="A787" s="13" t="s">
        <v>41</v>
      </c>
      <c r="B787" s="12" t="s">
        <v>30</v>
      </c>
      <c r="C787" s="12" t="s">
        <v>33</v>
      </c>
      <c r="D787">
        <v>23</v>
      </c>
      <c r="E787">
        <v>32</v>
      </c>
      <c r="F787">
        <v>8</v>
      </c>
      <c r="G787" t="b">
        <v>1</v>
      </c>
      <c r="H787">
        <v>21.19</v>
      </c>
      <c r="I787">
        <v>69121</v>
      </c>
      <c r="J787">
        <v>4.5</v>
      </c>
      <c r="K787">
        <v>1.1000000000000001</v>
      </c>
      <c r="L787">
        <v>562</v>
      </c>
      <c r="M787">
        <v>320</v>
      </c>
      <c r="N787">
        <v>9</v>
      </c>
      <c r="O787">
        <v>0.56939501779359436</v>
      </c>
    </row>
    <row r="788" spans="1:15" x14ac:dyDescent="0.3">
      <c r="A788" s="13" t="s">
        <v>41</v>
      </c>
      <c r="B788" s="12" t="s">
        <v>30</v>
      </c>
      <c r="C788" s="12" t="s">
        <v>33</v>
      </c>
      <c r="D788">
        <v>19</v>
      </c>
      <c r="E788">
        <v>33</v>
      </c>
      <c r="F788">
        <v>8</v>
      </c>
      <c r="G788" t="b">
        <v>1</v>
      </c>
      <c r="H788">
        <v>21.19</v>
      </c>
      <c r="I788">
        <v>69121</v>
      </c>
      <c r="J788">
        <v>4.5</v>
      </c>
      <c r="K788">
        <v>1.1000000000000001</v>
      </c>
      <c r="L788">
        <v>562</v>
      </c>
      <c r="M788">
        <v>1120</v>
      </c>
      <c r="N788">
        <v>14</v>
      </c>
      <c r="O788">
        <v>1.9928825622775801</v>
      </c>
    </row>
    <row r="789" spans="1:15" x14ac:dyDescent="0.3">
      <c r="A789" s="13" t="s">
        <v>41</v>
      </c>
      <c r="B789" s="12" t="s">
        <v>30</v>
      </c>
      <c r="C789" s="12" t="s">
        <v>33</v>
      </c>
      <c r="D789">
        <v>20</v>
      </c>
      <c r="E789">
        <v>34</v>
      </c>
      <c r="F789">
        <v>8</v>
      </c>
      <c r="G789" t="b">
        <v>0</v>
      </c>
      <c r="H789">
        <v>21.19</v>
      </c>
      <c r="I789">
        <v>69121</v>
      </c>
      <c r="J789">
        <v>4.5</v>
      </c>
      <c r="K789">
        <v>1.1000000000000001</v>
      </c>
      <c r="L789">
        <v>562</v>
      </c>
      <c r="M789">
        <v>1760</v>
      </c>
      <c r="N789">
        <v>14</v>
      </c>
      <c r="O789">
        <v>3.1316725978647688</v>
      </c>
    </row>
    <row r="790" spans="1:15" x14ac:dyDescent="0.3">
      <c r="A790" s="13" t="s">
        <v>41</v>
      </c>
      <c r="B790" s="12" t="s">
        <v>30</v>
      </c>
      <c r="C790" s="12" t="s">
        <v>33</v>
      </c>
      <c r="D790">
        <v>21</v>
      </c>
      <c r="E790">
        <v>35</v>
      </c>
      <c r="F790">
        <v>8</v>
      </c>
      <c r="G790" t="b">
        <v>0</v>
      </c>
      <c r="H790">
        <v>21.19</v>
      </c>
      <c r="I790">
        <v>69121</v>
      </c>
      <c r="J790">
        <v>4.5</v>
      </c>
      <c r="K790">
        <v>1.1000000000000001</v>
      </c>
      <c r="L790">
        <v>554</v>
      </c>
      <c r="M790">
        <v>680</v>
      </c>
      <c r="N790">
        <v>14</v>
      </c>
      <c r="O790">
        <v>1.227436823104693</v>
      </c>
    </row>
    <row r="791" spans="1:15" x14ac:dyDescent="0.3">
      <c r="A791" s="13" t="s">
        <v>41</v>
      </c>
      <c r="B791" s="12" t="s">
        <v>30</v>
      </c>
      <c r="C791" s="12" t="s">
        <v>33</v>
      </c>
      <c r="D791">
        <v>23</v>
      </c>
      <c r="E791">
        <v>36</v>
      </c>
      <c r="F791">
        <v>9</v>
      </c>
      <c r="G791" t="b">
        <v>0</v>
      </c>
      <c r="H791">
        <v>21.19</v>
      </c>
      <c r="I791">
        <v>121666</v>
      </c>
      <c r="J791">
        <v>4.5</v>
      </c>
      <c r="K791">
        <v>0.7</v>
      </c>
      <c r="L791">
        <v>378</v>
      </c>
      <c r="M791">
        <v>440</v>
      </c>
      <c r="N791">
        <v>13</v>
      </c>
      <c r="O791">
        <v>1.164021164021164</v>
      </c>
    </row>
    <row r="792" spans="1:15" x14ac:dyDescent="0.3">
      <c r="A792" s="13" t="s">
        <v>41</v>
      </c>
      <c r="B792" s="12" t="s">
        <v>30</v>
      </c>
      <c r="C792" s="12" t="s">
        <v>33</v>
      </c>
      <c r="D792">
        <v>20</v>
      </c>
      <c r="E792">
        <v>37</v>
      </c>
      <c r="F792">
        <v>9</v>
      </c>
      <c r="G792" t="b">
        <v>0</v>
      </c>
      <c r="H792">
        <v>21.19</v>
      </c>
      <c r="I792">
        <v>121666</v>
      </c>
      <c r="J792">
        <v>4.5</v>
      </c>
      <c r="K792">
        <v>0.7</v>
      </c>
      <c r="L792">
        <v>374</v>
      </c>
      <c r="M792">
        <v>0</v>
      </c>
      <c r="N792">
        <v>17</v>
      </c>
      <c r="O792">
        <v>0</v>
      </c>
    </row>
    <row r="793" spans="1:15" x14ac:dyDescent="0.3">
      <c r="A793" s="13" t="s">
        <v>41</v>
      </c>
      <c r="B793" s="12" t="s">
        <v>30</v>
      </c>
      <c r="C793" s="12" t="s">
        <v>33</v>
      </c>
      <c r="D793">
        <v>20</v>
      </c>
      <c r="E793">
        <v>38</v>
      </c>
      <c r="F793">
        <v>9</v>
      </c>
      <c r="G793" t="b">
        <v>0</v>
      </c>
      <c r="H793">
        <v>21.19</v>
      </c>
      <c r="I793">
        <v>121666</v>
      </c>
      <c r="J793">
        <v>3.9</v>
      </c>
      <c r="K793">
        <v>0.7</v>
      </c>
      <c r="L793">
        <v>374</v>
      </c>
      <c r="M793">
        <v>240</v>
      </c>
      <c r="N793">
        <v>18</v>
      </c>
      <c r="O793">
        <v>0.64171122994652408</v>
      </c>
    </row>
    <row r="794" spans="1:15" x14ac:dyDescent="0.3">
      <c r="A794" s="13" t="s">
        <v>41</v>
      </c>
      <c r="B794" s="12" t="s">
        <v>30</v>
      </c>
      <c r="C794" s="12" t="s">
        <v>33</v>
      </c>
      <c r="D794">
        <v>20</v>
      </c>
      <c r="E794">
        <v>39</v>
      </c>
      <c r="F794">
        <v>9</v>
      </c>
      <c r="G794" t="b">
        <v>0</v>
      </c>
      <c r="H794">
        <v>21.19</v>
      </c>
      <c r="I794">
        <v>121666</v>
      </c>
      <c r="J794">
        <v>3.9</v>
      </c>
      <c r="K794">
        <v>0.7</v>
      </c>
      <c r="L794">
        <v>374</v>
      </c>
      <c r="M794">
        <v>0</v>
      </c>
      <c r="N794">
        <v>19</v>
      </c>
      <c r="O794">
        <v>0</v>
      </c>
    </row>
    <row r="795" spans="1:15" x14ac:dyDescent="0.3">
      <c r="A795" s="13" t="s">
        <v>41</v>
      </c>
      <c r="B795" s="12" t="s">
        <v>30</v>
      </c>
      <c r="C795" s="12" t="s">
        <v>33</v>
      </c>
      <c r="D795">
        <v>21</v>
      </c>
      <c r="E795">
        <v>40</v>
      </c>
      <c r="F795">
        <v>9</v>
      </c>
      <c r="G795" t="b">
        <v>0</v>
      </c>
      <c r="H795">
        <v>21.19</v>
      </c>
      <c r="I795">
        <v>121666</v>
      </c>
      <c r="J795">
        <v>3.9</v>
      </c>
      <c r="K795">
        <v>0.7</v>
      </c>
      <c r="L795">
        <v>220</v>
      </c>
      <c r="M795">
        <v>520</v>
      </c>
      <c r="N795">
        <v>19</v>
      </c>
      <c r="O795">
        <v>2.3636363636363638</v>
      </c>
    </row>
    <row r="796" spans="1:15" x14ac:dyDescent="0.3">
      <c r="A796" s="13" t="s">
        <v>41</v>
      </c>
      <c r="B796" s="12" t="s">
        <v>30</v>
      </c>
      <c r="C796" s="12" t="s">
        <v>33</v>
      </c>
      <c r="D796">
        <v>21</v>
      </c>
      <c r="E796">
        <v>41</v>
      </c>
      <c r="F796">
        <v>10</v>
      </c>
      <c r="G796" t="b">
        <v>0</v>
      </c>
      <c r="H796">
        <v>21.19</v>
      </c>
      <c r="I796">
        <v>126488</v>
      </c>
      <c r="J796">
        <v>3.9</v>
      </c>
      <c r="K796">
        <v>0.9</v>
      </c>
      <c r="L796">
        <v>220</v>
      </c>
      <c r="M796">
        <v>280</v>
      </c>
      <c r="N796">
        <v>20</v>
      </c>
      <c r="O796">
        <v>1.2727272727272727</v>
      </c>
    </row>
    <row r="797" spans="1:15" x14ac:dyDescent="0.3">
      <c r="A797" s="13" t="s">
        <v>41</v>
      </c>
      <c r="B797" s="12" t="s">
        <v>30</v>
      </c>
      <c r="C797" s="12" t="s">
        <v>33</v>
      </c>
      <c r="D797">
        <v>21</v>
      </c>
      <c r="E797">
        <v>42</v>
      </c>
      <c r="F797">
        <v>10</v>
      </c>
      <c r="G797" t="b">
        <v>0</v>
      </c>
      <c r="H797">
        <v>21.19</v>
      </c>
      <c r="I797">
        <v>126488</v>
      </c>
      <c r="J797">
        <v>3.9</v>
      </c>
      <c r="K797">
        <v>0.9</v>
      </c>
      <c r="L797">
        <v>220</v>
      </c>
      <c r="M797">
        <v>520</v>
      </c>
      <c r="N797">
        <v>21</v>
      </c>
      <c r="O797">
        <v>2.3636363636363638</v>
      </c>
    </row>
    <row r="798" spans="1:15" x14ac:dyDescent="0.3">
      <c r="A798" s="13" t="s">
        <v>41</v>
      </c>
      <c r="B798" s="12" t="s">
        <v>30</v>
      </c>
      <c r="C798" s="12" t="s">
        <v>33</v>
      </c>
      <c r="D798">
        <v>21</v>
      </c>
      <c r="E798">
        <v>43</v>
      </c>
      <c r="F798">
        <v>10</v>
      </c>
      <c r="G798" t="b">
        <v>0</v>
      </c>
      <c r="H798">
        <v>21.19</v>
      </c>
      <c r="I798">
        <v>126488</v>
      </c>
      <c r="J798">
        <v>3.65</v>
      </c>
      <c r="K798">
        <v>0.9</v>
      </c>
      <c r="L798">
        <v>220</v>
      </c>
      <c r="M798">
        <v>480</v>
      </c>
      <c r="N798">
        <v>22</v>
      </c>
      <c r="O798">
        <v>2.1818181818181817</v>
      </c>
    </row>
    <row r="799" spans="1:15" x14ac:dyDescent="0.3">
      <c r="A799" s="13" t="s">
        <v>41</v>
      </c>
      <c r="B799" s="12" t="s">
        <v>30</v>
      </c>
      <c r="C799" s="12" t="s">
        <v>33</v>
      </c>
      <c r="D799">
        <v>21</v>
      </c>
      <c r="E799">
        <v>44</v>
      </c>
      <c r="F799">
        <v>10</v>
      </c>
      <c r="G799" t="b">
        <v>1</v>
      </c>
      <c r="H799">
        <v>21.19</v>
      </c>
      <c r="I799">
        <v>126488</v>
      </c>
      <c r="J799">
        <v>3.65</v>
      </c>
      <c r="K799">
        <v>0.9</v>
      </c>
      <c r="L799">
        <v>570</v>
      </c>
      <c r="M799">
        <v>560</v>
      </c>
      <c r="N799">
        <v>23</v>
      </c>
      <c r="O799">
        <v>0.98245614035087714</v>
      </c>
    </row>
    <row r="800" spans="1:15" x14ac:dyDescent="0.3">
      <c r="A800" s="13" t="s">
        <v>41</v>
      </c>
      <c r="B800" s="12" t="s">
        <v>30</v>
      </c>
      <c r="C800" s="12" t="s">
        <v>33</v>
      </c>
      <c r="D800">
        <v>21</v>
      </c>
      <c r="E800">
        <v>45</v>
      </c>
      <c r="F800">
        <v>11</v>
      </c>
      <c r="G800" t="b">
        <v>0</v>
      </c>
      <c r="H800">
        <v>21.19</v>
      </c>
      <c r="I800">
        <v>124251</v>
      </c>
      <c r="J800">
        <v>3.65</v>
      </c>
      <c r="K800">
        <v>1.3</v>
      </c>
      <c r="L800">
        <v>570</v>
      </c>
      <c r="M800">
        <v>560</v>
      </c>
      <c r="N800">
        <v>24</v>
      </c>
      <c r="O800">
        <v>0.98245614035087714</v>
      </c>
    </row>
    <row r="801" spans="1:15" x14ac:dyDescent="0.3">
      <c r="A801" s="13" t="s">
        <v>41</v>
      </c>
      <c r="B801" s="12" t="s">
        <v>30</v>
      </c>
      <c r="C801" s="12" t="s">
        <v>33</v>
      </c>
      <c r="D801">
        <v>21</v>
      </c>
      <c r="E801">
        <v>46</v>
      </c>
      <c r="F801">
        <v>11</v>
      </c>
      <c r="G801" t="b">
        <v>0</v>
      </c>
      <c r="H801">
        <v>21.19</v>
      </c>
      <c r="I801">
        <v>124251</v>
      </c>
      <c r="J801">
        <v>3.65</v>
      </c>
      <c r="K801">
        <v>1.3</v>
      </c>
      <c r="L801">
        <v>570</v>
      </c>
      <c r="M801">
        <v>1320</v>
      </c>
      <c r="N801">
        <v>25</v>
      </c>
      <c r="O801">
        <v>2.3157894736842106</v>
      </c>
    </row>
    <row r="802" spans="1:15" x14ac:dyDescent="0.3">
      <c r="A802" s="13" t="s">
        <v>41</v>
      </c>
      <c r="B802" s="12" t="s">
        <v>30</v>
      </c>
      <c r="C802" s="12" t="s">
        <v>33</v>
      </c>
      <c r="D802">
        <v>21</v>
      </c>
      <c r="E802">
        <v>47</v>
      </c>
      <c r="F802">
        <v>11</v>
      </c>
      <c r="G802" t="b">
        <v>0</v>
      </c>
      <c r="H802">
        <v>21.19</v>
      </c>
      <c r="I802">
        <v>124251</v>
      </c>
      <c r="J802">
        <v>3.65</v>
      </c>
      <c r="K802">
        <v>1.3</v>
      </c>
      <c r="L802">
        <v>570</v>
      </c>
      <c r="M802">
        <v>880</v>
      </c>
      <c r="N802">
        <v>26</v>
      </c>
      <c r="O802">
        <v>1.5438596491228069</v>
      </c>
    </row>
    <row r="803" spans="1:15" x14ac:dyDescent="0.3">
      <c r="A803" s="13" t="s">
        <v>41</v>
      </c>
      <c r="B803" s="12" t="s">
        <v>30</v>
      </c>
      <c r="C803" s="12" t="s">
        <v>33</v>
      </c>
      <c r="D803">
        <v>26</v>
      </c>
      <c r="E803">
        <v>48</v>
      </c>
      <c r="F803">
        <v>11</v>
      </c>
      <c r="G803" t="b">
        <v>0</v>
      </c>
      <c r="H803">
        <v>21.19</v>
      </c>
      <c r="I803">
        <v>124251</v>
      </c>
      <c r="J803">
        <v>3.65</v>
      </c>
      <c r="K803">
        <v>1.3</v>
      </c>
      <c r="L803">
        <v>144</v>
      </c>
      <c r="M803">
        <v>0</v>
      </c>
      <c r="N803">
        <v>22</v>
      </c>
      <c r="O803">
        <v>0</v>
      </c>
    </row>
    <row r="804" spans="1:15" x14ac:dyDescent="0.3">
      <c r="A804" s="13" t="s">
        <v>41</v>
      </c>
      <c r="B804" s="12" t="s">
        <v>30</v>
      </c>
      <c r="C804" s="12" t="s">
        <v>33</v>
      </c>
      <c r="D804">
        <v>26</v>
      </c>
      <c r="E804">
        <v>49</v>
      </c>
      <c r="F804">
        <v>12</v>
      </c>
      <c r="G804" t="b">
        <v>1</v>
      </c>
      <c r="H804">
        <v>21.19</v>
      </c>
      <c r="I804">
        <v>105715</v>
      </c>
      <c r="J804">
        <v>3.65</v>
      </c>
      <c r="K804">
        <v>1.3</v>
      </c>
      <c r="L804">
        <v>144</v>
      </c>
      <c r="M804">
        <v>520</v>
      </c>
      <c r="N804">
        <v>23</v>
      </c>
      <c r="O804">
        <v>3.6111111111111112</v>
      </c>
    </row>
    <row r="805" spans="1:15" x14ac:dyDescent="0.3">
      <c r="A805" s="13" t="s">
        <v>41</v>
      </c>
      <c r="B805" s="12" t="s">
        <v>30</v>
      </c>
      <c r="C805" s="12" t="s">
        <v>33</v>
      </c>
      <c r="D805">
        <v>25</v>
      </c>
      <c r="E805">
        <v>50</v>
      </c>
      <c r="F805">
        <v>12</v>
      </c>
      <c r="G805" t="b">
        <v>0</v>
      </c>
      <c r="H805">
        <v>21.19</v>
      </c>
      <c r="I805">
        <v>105715</v>
      </c>
      <c r="J805">
        <v>3.4</v>
      </c>
      <c r="K805">
        <v>1.3</v>
      </c>
      <c r="L805">
        <v>144</v>
      </c>
      <c r="M805">
        <v>1320</v>
      </c>
      <c r="N805">
        <v>25</v>
      </c>
      <c r="O805">
        <v>9.1666666666666661</v>
      </c>
    </row>
    <row r="806" spans="1:15" x14ac:dyDescent="0.3">
      <c r="A806" s="13" t="s">
        <v>41</v>
      </c>
      <c r="B806" s="12" t="s">
        <v>30</v>
      </c>
      <c r="C806" s="12" t="s">
        <v>33</v>
      </c>
      <c r="D806">
        <v>26</v>
      </c>
      <c r="E806">
        <v>51</v>
      </c>
      <c r="F806">
        <v>12</v>
      </c>
      <c r="G806" t="b">
        <v>0</v>
      </c>
      <c r="H806">
        <v>21.19</v>
      </c>
      <c r="I806">
        <v>105715</v>
      </c>
      <c r="J806">
        <v>3.4</v>
      </c>
      <c r="K806">
        <v>1.3</v>
      </c>
      <c r="L806">
        <v>144</v>
      </c>
      <c r="M806">
        <v>0</v>
      </c>
      <c r="N806">
        <v>25</v>
      </c>
      <c r="O806">
        <v>0</v>
      </c>
    </row>
    <row r="807" spans="1:15" x14ac:dyDescent="0.3">
      <c r="A807" s="13" t="s">
        <v>41</v>
      </c>
      <c r="B807" s="12" t="s">
        <v>30</v>
      </c>
      <c r="C807" s="12" t="s">
        <v>33</v>
      </c>
      <c r="D807">
        <v>27</v>
      </c>
      <c r="E807">
        <v>52</v>
      </c>
      <c r="F807">
        <v>12</v>
      </c>
      <c r="G807" t="b">
        <v>1</v>
      </c>
      <c r="H807">
        <v>21.19</v>
      </c>
      <c r="I807">
        <v>105715</v>
      </c>
      <c r="J807">
        <v>3.4</v>
      </c>
      <c r="K807">
        <v>1.3</v>
      </c>
      <c r="L807">
        <v>144</v>
      </c>
      <c r="M807">
        <v>0</v>
      </c>
      <c r="N807">
        <v>25</v>
      </c>
      <c r="O807">
        <v>0</v>
      </c>
    </row>
    <row r="808" spans="1:15" x14ac:dyDescent="0.3">
      <c r="A808" s="13" t="s">
        <v>41</v>
      </c>
      <c r="B808" s="12" t="s">
        <v>30</v>
      </c>
      <c r="C808" s="12" t="s">
        <v>33</v>
      </c>
      <c r="D808">
        <v>28</v>
      </c>
      <c r="E808">
        <v>1</v>
      </c>
      <c r="F808">
        <v>12</v>
      </c>
      <c r="G808" t="b">
        <v>1</v>
      </c>
      <c r="H808">
        <v>21.19</v>
      </c>
      <c r="I808">
        <v>105715</v>
      </c>
      <c r="J808">
        <v>3.4</v>
      </c>
      <c r="K808">
        <v>1.3</v>
      </c>
      <c r="L808">
        <v>280</v>
      </c>
      <c r="M808">
        <v>1240</v>
      </c>
      <c r="N808">
        <v>25</v>
      </c>
      <c r="O808">
        <v>4.4285714285714288</v>
      </c>
    </row>
    <row r="809" spans="1:15" x14ac:dyDescent="0.3">
      <c r="A809" s="13" t="s">
        <v>41</v>
      </c>
      <c r="B809" s="12" t="s">
        <v>30</v>
      </c>
      <c r="C809" s="12" t="s">
        <v>33</v>
      </c>
      <c r="D809">
        <v>28</v>
      </c>
      <c r="E809">
        <v>2</v>
      </c>
      <c r="F809">
        <v>1</v>
      </c>
      <c r="G809" t="b">
        <v>1</v>
      </c>
      <c r="H809">
        <v>21.19</v>
      </c>
      <c r="I809">
        <v>133692</v>
      </c>
      <c r="J809">
        <v>3.4</v>
      </c>
      <c r="K809">
        <v>1.5</v>
      </c>
      <c r="L809">
        <v>280</v>
      </c>
      <c r="M809">
        <v>960</v>
      </c>
      <c r="N809">
        <v>26</v>
      </c>
      <c r="O809">
        <v>3.4285714285714284</v>
      </c>
    </row>
    <row r="810" spans="1:15" x14ac:dyDescent="0.3">
      <c r="A810" s="13" t="s">
        <v>41</v>
      </c>
      <c r="B810" s="12" t="s">
        <v>30</v>
      </c>
      <c r="C810" s="12" t="s">
        <v>33</v>
      </c>
      <c r="D810">
        <v>29</v>
      </c>
      <c r="E810">
        <v>3</v>
      </c>
      <c r="F810">
        <v>1</v>
      </c>
      <c r="G810" t="b">
        <v>0</v>
      </c>
      <c r="H810">
        <v>21.19</v>
      </c>
      <c r="I810">
        <v>133692</v>
      </c>
      <c r="J810">
        <v>3.4</v>
      </c>
      <c r="K810">
        <v>1.5</v>
      </c>
      <c r="L810">
        <v>280</v>
      </c>
      <c r="M810">
        <v>1320</v>
      </c>
      <c r="N810">
        <v>26</v>
      </c>
      <c r="O810">
        <v>4.7142857142857144</v>
      </c>
    </row>
    <row r="811" spans="1:15" x14ac:dyDescent="0.3">
      <c r="A811" s="13" t="s">
        <v>41</v>
      </c>
      <c r="B811" s="12" t="s">
        <v>30</v>
      </c>
      <c r="C811" s="12" t="s">
        <v>33</v>
      </c>
      <c r="D811">
        <v>29</v>
      </c>
      <c r="E811">
        <v>4</v>
      </c>
      <c r="F811">
        <v>1</v>
      </c>
      <c r="G811" t="b">
        <v>0</v>
      </c>
      <c r="H811">
        <v>21.19</v>
      </c>
      <c r="I811">
        <v>133692</v>
      </c>
      <c r="J811">
        <v>3.4</v>
      </c>
      <c r="K811">
        <v>1.5</v>
      </c>
      <c r="L811">
        <v>280</v>
      </c>
      <c r="M811">
        <v>160</v>
      </c>
      <c r="N811">
        <v>27</v>
      </c>
      <c r="O811">
        <v>0.5714285714285714</v>
      </c>
    </row>
    <row r="812" spans="1:15" x14ac:dyDescent="0.3">
      <c r="A812" s="13" t="s">
        <v>41</v>
      </c>
      <c r="B812" s="12" t="s">
        <v>30</v>
      </c>
      <c r="C812" s="12" t="s">
        <v>33</v>
      </c>
      <c r="D812">
        <v>37</v>
      </c>
      <c r="E812">
        <v>5</v>
      </c>
      <c r="F812">
        <v>1</v>
      </c>
      <c r="G812" t="b">
        <v>0</v>
      </c>
      <c r="H812">
        <v>21.19</v>
      </c>
      <c r="I812">
        <v>133692</v>
      </c>
      <c r="J812">
        <v>3.4</v>
      </c>
      <c r="K812">
        <v>1.5</v>
      </c>
      <c r="L812">
        <v>380</v>
      </c>
      <c r="M812">
        <v>1640</v>
      </c>
      <c r="N812">
        <v>20</v>
      </c>
      <c r="O812">
        <v>4.3157894736842106</v>
      </c>
    </row>
    <row r="813" spans="1:15" x14ac:dyDescent="0.3">
      <c r="A813" s="13" t="s">
        <v>41</v>
      </c>
      <c r="B813" s="12" t="s">
        <v>30</v>
      </c>
      <c r="C813" s="12" t="s">
        <v>33</v>
      </c>
      <c r="D813">
        <v>37</v>
      </c>
      <c r="E813">
        <v>6</v>
      </c>
      <c r="F813">
        <v>2</v>
      </c>
      <c r="G813" t="b">
        <v>0</v>
      </c>
      <c r="H813">
        <v>21.19</v>
      </c>
      <c r="I813">
        <v>137922</v>
      </c>
      <c r="J813">
        <v>3.15</v>
      </c>
      <c r="K813">
        <v>1.6</v>
      </c>
      <c r="L813">
        <v>380</v>
      </c>
      <c r="M813">
        <v>0</v>
      </c>
      <c r="N813">
        <v>21</v>
      </c>
      <c r="O813">
        <v>0</v>
      </c>
    </row>
    <row r="814" spans="1:15" x14ac:dyDescent="0.3">
      <c r="A814" s="13" t="s">
        <v>41</v>
      </c>
      <c r="B814" s="12" t="s">
        <v>30</v>
      </c>
      <c r="C814" s="12" t="s">
        <v>33</v>
      </c>
      <c r="D814">
        <v>37</v>
      </c>
      <c r="E814">
        <v>7</v>
      </c>
      <c r="F814">
        <v>2</v>
      </c>
      <c r="G814" t="b">
        <v>0</v>
      </c>
      <c r="H814">
        <v>21.19</v>
      </c>
      <c r="I814">
        <v>137922</v>
      </c>
      <c r="J814">
        <v>3.15</v>
      </c>
      <c r="K814">
        <v>1.6</v>
      </c>
      <c r="L814">
        <v>380</v>
      </c>
      <c r="M814">
        <v>80</v>
      </c>
      <c r="N814">
        <v>22</v>
      </c>
      <c r="O814">
        <v>0.21052631578947367</v>
      </c>
    </row>
    <row r="815" spans="1:15" x14ac:dyDescent="0.3">
      <c r="A815" s="13" t="s">
        <v>41</v>
      </c>
      <c r="B815" s="12" t="s">
        <v>30</v>
      </c>
      <c r="C815" s="12" t="s">
        <v>33</v>
      </c>
      <c r="D815">
        <v>37</v>
      </c>
      <c r="E815">
        <v>8</v>
      </c>
      <c r="F815">
        <v>2</v>
      </c>
      <c r="G815" t="b">
        <v>0</v>
      </c>
      <c r="H815">
        <v>21.19</v>
      </c>
      <c r="I815">
        <v>137922</v>
      </c>
      <c r="J815">
        <v>3.15</v>
      </c>
      <c r="K815">
        <v>1.6</v>
      </c>
      <c r="L815">
        <v>380</v>
      </c>
      <c r="M815">
        <v>80</v>
      </c>
      <c r="N815">
        <v>23</v>
      </c>
      <c r="O815">
        <v>0.21052631578947367</v>
      </c>
    </row>
    <row r="816" spans="1:15" x14ac:dyDescent="0.3">
      <c r="A816" s="13" t="s">
        <v>41</v>
      </c>
      <c r="B816" s="12" t="s">
        <v>30</v>
      </c>
      <c r="C816" s="12" t="s">
        <v>33</v>
      </c>
      <c r="D816">
        <v>38</v>
      </c>
      <c r="E816">
        <v>9</v>
      </c>
      <c r="F816">
        <v>2</v>
      </c>
      <c r="G816" t="b">
        <v>0</v>
      </c>
      <c r="H816">
        <v>21.19</v>
      </c>
      <c r="I816">
        <v>137922</v>
      </c>
      <c r="J816">
        <v>3.15</v>
      </c>
      <c r="K816">
        <v>1.6</v>
      </c>
      <c r="L816">
        <v>320</v>
      </c>
      <c r="M816">
        <v>480</v>
      </c>
      <c r="N816">
        <v>23</v>
      </c>
      <c r="O816">
        <v>1.5</v>
      </c>
    </row>
    <row r="817" spans="1:15" x14ac:dyDescent="0.3">
      <c r="A817" s="13" t="s">
        <v>41</v>
      </c>
      <c r="B817" s="12" t="s">
        <v>30</v>
      </c>
      <c r="C817" s="12" t="s">
        <v>33</v>
      </c>
      <c r="D817">
        <v>38</v>
      </c>
      <c r="E817">
        <v>10</v>
      </c>
      <c r="F817">
        <v>3</v>
      </c>
      <c r="G817" t="b">
        <v>0</v>
      </c>
      <c r="H817">
        <v>21.19</v>
      </c>
      <c r="I817">
        <v>172223</v>
      </c>
      <c r="J817">
        <v>3.15</v>
      </c>
      <c r="K817">
        <v>1.9</v>
      </c>
      <c r="L817">
        <v>320</v>
      </c>
      <c r="M817">
        <v>1040</v>
      </c>
      <c r="N817">
        <v>24</v>
      </c>
      <c r="O817">
        <v>3.25</v>
      </c>
    </row>
    <row r="818" spans="1:15" x14ac:dyDescent="0.3">
      <c r="A818" s="13" t="s">
        <v>41</v>
      </c>
      <c r="B818" s="12" t="s">
        <v>30</v>
      </c>
      <c r="C818" s="12" t="s">
        <v>33</v>
      </c>
      <c r="D818">
        <v>38</v>
      </c>
      <c r="E818">
        <v>11</v>
      </c>
      <c r="F818">
        <v>3</v>
      </c>
      <c r="G818" t="b">
        <v>0</v>
      </c>
      <c r="H818">
        <v>21.19</v>
      </c>
      <c r="I818">
        <v>172223</v>
      </c>
      <c r="J818">
        <v>2.9</v>
      </c>
      <c r="K818">
        <v>1.9</v>
      </c>
      <c r="L818">
        <v>320</v>
      </c>
      <c r="M818">
        <v>160</v>
      </c>
      <c r="N818">
        <v>25</v>
      </c>
      <c r="O818">
        <v>0.5</v>
      </c>
    </row>
    <row r="819" spans="1:15" x14ac:dyDescent="0.3">
      <c r="A819" s="13" t="s">
        <v>41</v>
      </c>
      <c r="B819" s="12" t="s">
        <v>30</v>
      </c>
      <c r="C819" s="12" t="s">
        <v>33</v>
      </c>
      <c r="D819">
        <v>39</v>
      </c>
      <c r="E819">
        <v>12</v>
      </c>
      <c r="F819">
        <v>3</v>
      </c>
      <c r="G819" t="b">
        <v>0</v>
      </c>
      <c r="H819">
        <v>21.19</v>
      </c>
      <c r="I819">
        <v>172223</v>
      </c>
      <c r="J819">
        <v>2.9</v>
      </c>
      <c r="K819">
        <v>1.9</v>
      </c>
      <c r="L819">
        <v>320</v>
      </c>
      <c r="M819">
        <v>680</v>
      </c>
      <c r="N819">
        <v>25</v>
      </c>
      <c r="O819">
        <v>2.125</v>
      </c>
    </row>
    <row r="820" spans="1:15" x14ac:dyDescent="0.3">
      <c r="A820" s="13" t="s">
        <v>41</v>
      </c>
      <c r="B820" s="12" t="s">
        <v>30</v>
      </c>
      <c r="C820" s="12" t="s">
        <v>33</v>
      </c>
      <c r="D820">
        <v>44</v>
      </c>
      <c r="E820">
        <v>13</v>
      </c>
      <c r="F820">
        <v>3</v>
      </c>
      <c r="G820" t="b">
        <v>0</v>
      </c>
      <c r="H820">
        <v>21.19</v>
      </c>
      <c r="I820">
        <v>172223</v>
      </c>
      <c r="J820">
        <v>2.9</v>
      </c>
      <c r="K820">
        <v>1.9</v>
      </c>
      <c r="L820">
        <v>510</v>
      </c>
      <c r="M820">
        <v>640</v>
      </c>
      <c r="N820">
        <v>21</v>
      </c>
      <c r="O820">
        <v>1.2549019607843137</v>
      </c>
    </row>
    <row r="821" spans="1:15" x14ac:dyDescent="0.3">
      <c r="A821" s="13" t="s">
        <v>41</v>
      </c>
      <c r="B821" s="12" t="s">
        <v>30</v>
      </c>
      <c r="C821" s="12" t="s">
        <v>33</v>
      </c>
      <c r="D821">
        <v>45</v>
      </c>
      <c r="E821">
        <v>14</v>
      </c>
      <c r="F821">
        <v>3</v>
      </c>
      <c r="G821" t="b">
        <v>0</v>
      </c>
      <c r="H821">
        <v>21.19</v>
      </c>
      <c r="I821">
        <v>172223</v>
      </c>
      <c r="J821">
        <v>2.9</v>
      </c>
      <c r="K821">
        <v>1.9</v>
      </c>
      <c r="L821">
        <v>510</v>
      </c>
      <c r="M821">
        <v>760</v>
      </c>
      <c r="N821">
        <v>21</v>
      </c>
      <c r="O821">
        <v>1.4901960784313726</v>
      </c>
    </row>
    <row r="822" spans="1:15" x14ac:dyDescent="0.3">
      <c r="A822" s="13" t="s">
        <v>41</v>
      </c>
      <c r="B822" s="12" t="s">
        <v>30</v>
      </c>
      <c r="C822" s="12" t="s">
        <v>33</v>
      </c>
      <c r="D822">
        <v>46</v>
      </c>
      <c r="E822">
        <v>15</v>
      </c>
      <c r="F822">
        <v>4</v>
      </c>
      <c r="G822" t="b">
        <v>0</v>
      </c>
      <c r="H822">
        <v>21.19</v>
      </c>
      <c r="I822">
        <v>139084</v>
      </c>
      <c r="J822">
        <v>2.9</v>
      </c>
      <c r="K822">
        <v>1.9</v>
      </c>
      <c r="L822">
        <v>510</v>
      </c>
      <c r="M822">
        <v>880</v>
      </c>
      <c r="N822">
        <v>21</v>
      </c>
      <c r="O822">
        <v>1.7254901960784315</v>
      </c>
    </row>
    <row r="823" spans="1:15" x14ac:dyDescent="0.3">
      <c r="A823" s="13" t="s">
        <v>41</v>
      </c>
      <c r="B823" s="12" t="s">
        <v>30</v>
      </c>
      <c r="C823" s="12" t="s">
        <v>33</v>
      </c>
      <c r="D823">
        <v>47</v>
      </c>
      <c r="E823">
        <v>16</v>
      </c>
      <c r="F823">
        <v>4</v>
      </c>
      <c r="G823" t="b">
        <v>0</v>
      </c>
      <c r="H823">
        <v>21.19</v>
      </c>
      <c r="I823">
        <v>139084</v>
      </c>
      <c r="J823">
        <v>2.9</v>
      </c>
      <c r="K823">
        <v>1.9</v>
      </c>
      <c r="L823">
        <v>510</v>
      </c>
      <c r="M823">
        <v>720</v>
      </c>
      <c r="N823">
        <v>21</v>
      </c>
      <c r="O823">
        <v>1.411764705882353</v>
      </c>
    </row>
    <row r="824" spans="1:15" x14ac:dyDescent="0.3">
      <c r="A824" s="13" t="s">
        <v>41</v>
      </c>
      <c r="B824" s="12" t="s">
        <v>30</v>
      </c>
      <c r="C824" s="12" t="s">
        <v>33</v>
      </c>
      <c r="D824">
        <v>1</v>
      </c>
      <c r="E824">
        <v>17</v>
      </c>
      <c r="F824">
        <v>4</v>
      </c>
      <c r="G824" t="b">
        <v>1</v>
      </c>
      <c r="H824">
        <v>21.19</v>
      </c>
      <c r="I824">
        <v>139084</v>
      </c>
      <c r="J824">
        <v>2.65</v>
      </c>
      <c r="K824">
        <v>1.9</v>
      </c>
      <c r="L824">
        <v>450</v>
      </c>
      <c r="M824">
        <v>920</v>
      </c>
      <c r="N824">
        <v>16</v>
      </c>
      <c r="O824">
        <v>2.0444444444444443</v>
      </c>
    </row>
    <row r="825" spans="1:15" x14ac:dyDescent="0.3">
      <c r="A825" s="13" t="s">
        <v>41</v>
      </c>
      <c r="B825" s="12" t="s">
        <v>30</v>
      </c>
      <c r="C825" s="12" t="s">
        <v>33</v>
      </c>
      <c r="D825">
        <v>1</v>
      </c>
      <c r="E825">
        <v>18</v>
      </c>
      <c r="F825">
        <v>4</v>
      </c>
      <c r="G825" t="b">
        <v>1</v>
      </c>
      <c r="H825">
        <v>21.19</v>
      </c>
      <c r="I825">
        <v>139084</v>
      </c>
      <c r="J825">
        <v>2.65</v>
      </c>
      <c r="K825">
        <v>1.9</v>
      </c>
      <c r="L825">
        <v>420</v>
      </c>
      <c r="M825">
        <v>600</v>
      </c>
      <c r="N825">
        <v>17</v>
      </c>
      <c r="O825">
        <v>1.4285714285714286</v>
      </c>
    </row>
    <row r="826" spans="1:15" x14ac:dyDescent="0.3">
      <c r="A826" s="13" t="s">
        <v>41</v>
      </c>
      <c r="B826" s="12" t="s">
        <v>30</v>
      </c>
      <c r="C826" s="12" t="s">
        <v>33</v>
      </c>
      <c r="D826">
        <v>2</v>
      </c>
      <c r="E826">
        <v>19</v>
      </c>
      <c r="F826">
        <v>5</v>
      </c>
      <c r="G826" t="b">
        <v>0</v>
      </c>
      <c r="H826">
        <v>21.19</v>
      </c>
      <c r="I826">
        <v>139390</v>
      </c>
      <c r="J826">
        <v>2.65</v>
      </c>
      <c r="K826">
        <v>1.6</v>
      </c>
      <c r="L826">
        <v>420</v>
      </c>
      <c r="M826">
        <v>560</v>
      </c>
      <c r="N826">
        <v>17</v>
      </c>
      <c r="O826">
        <v>1.3333333333333333</v>
      </c>
    </row>
    <row r="827" spans="1:15" x14ac:dyDescent="0.3">
      <c r="A827" s="13" t="s">
        <v>41</v>
      </c>
      <c r="B827" s="12" t="s">
        <v>30</v>
      </c>
      <c r="C827" s="12" t="s">
        <v>33</v>
      </c>
      <c r="D827">
        <v>2</v>
      </c>
      <c r="E827">
        <v>20</v>
      </c>
      <c r="F827">
        <v>5</v>
      </c>
      <c r="G827" t="b">
        <v>0</v>
      </c>
      <c r="H827">
        <v>21.19</v>
      </c>
      <c r="I827">
        <v>139390</v>
      </c>
      <c r="J827">
        <v>2.65</v>
      </c>
      <c r="K827">
        <v>1.6</v>
      </c>
      <c r="L827">
        <v>420</v>
      </c>
      <c r="M827">
        <v>0</v>
      </c>
      <c r="N827">
        <v>18</v>
      </c>
      <c r="O827">
        <v>0</v>
      </c>
    </row>
    <row r="828" spans="1:15" x14ac:dyDescent="0.3">
      <c r="A828" s="13" t="s">
        <v>41</v>
      </c>
      <c r="B828" s="12" t="s">
        <v>30</v>
      </c>
      <c r="C828" s="12" t="s">
        <v>33</v>
      </c>
      <c r="D828">
        <v>2</v>
      </c>
      <c r="E828">
        <v>21</v>
      </c>
      <c r="F828">
        <v>5</v>
      </c>
      <c r="G828" t="b">
        <v>0</v>
      </c>
      <c r="H828">
        <v>21.19</v>
      </c>
      <c r="I828">
        <v>139390</v>
      </c>
      <c r="J828">
        <v>2.65</v>
      </c>
      <c r="K828">
        <v>1.6</v>
      </c>
      <c r="L828">
        <v>420</v>
      </c>
      <c r="M828">
        <v>400</v>
      </c>
      <c r="N828">
        <v>19</v>
      </c>
      <c r="O828">
        <v>0.95238095238095233</v>
      </c>
    </row>
    <row r="829" spans="1:15" x14ac:dyDescent="0.3">
      <c r="A829" s="13" t="s">
        <v>41</v>
      </c>
      <c r="B829" s="12" t="s">
        <v>30</v>
      </c>
      <c r="C829" s="12" t="s">
        <v>33</v>
      </c>
      <c r="D829">
        <v>6</v>
      </c>
      <c r="E829">
        <v>22</v>
      </c>
      <c r="F829">
        <v>5</v>
      </c>
      <c r="G829" t="b">
        <v>0</v>
      </c>
      <c r="H829">
        <v>21.19</v>
      </c>
      <c r="I829">
        <v>139390</v>
      </c>
      <c r="J829">
        <v>2.65</v>
      </c>
      <c r="K829">
        <v>1.6</v>
      </c>
      <c r="L829">
        <v>448</v>
      </c>
      <c r="M829">
        <v>1240</v>
      </c>
      <c r="N829">
        <v>16</v>
      </c>
      <c r="O829">
        <v>2.7678571428571428</v>
      </c>
    </row>
    <row r="830" spans="1:15" x14ac:dyDescent="0.3">
      <c r="A830" s="13" t="s">
        <v>41</v>
      </c>
      <c r="B830" s="12" t="s">
        <v>30</v>
      </c>
      <c r="C830" s="12" t="s">
        <v>33</v>
      </c>
      <c r="D830">
        <v>6</v>
      </c>
      <c r="E830">
        <v>23</v>
      </c>
      <c r="F830">
        <v>5</v>
      </c>
      <c r="G830" t="b">
        <v>1</v>
      </c>
      <c r="H830">
        <v>21.19</v>
      </c>
      <c r="I830">
        <v>139390</v>
      </c>
      <c r="J830">
        <v>2.4</v>
      </c>
      <c r="K830">
        <v>1.6</v>
      </c>
      <c r="L830">
        <v>448</v>
      </c>
      <c r="M830">
        <v>760</v>
      </c>
      <c r="N830">
        <v>17</v>
      </c>
      <c r="O830">
        <v>1.6964285714285714</v>
      </c>
    </row>
    <row r="831" spans="1:15" x14ac:dyDescent="0.3">
      <c r="A831" s="13" t="s">
        <v>41</v>
      </c>
      <c r="B831" s="12" t="s">
        <v>30</v>
      </c>
      <c r="C831" s="12" t="s">
        <v>33</v>
      </c>
      <c r="D831">
        <v>6</v>
      </c>
      <c r="E831">
        <v>24</v>
      </c>
      <c r="F831">
        <v>6</v>
      </c>
      <c r="G831" t="b">
        <v>0</v>
      </c>
      <c r="H831">
        <v>21.19</v>
      </c>
      <c r="I831">
        <v>132191</v>
      </c>
      <c r="J831">
        <v>2.4</v>
      </c>
      <c r="K831">
        <v>1.7</v>
      </c>
      <c r="L831">
        <v>448</v>
      </c>
      <c r="M831">
        <v>640</v>
      </c>
      <c r="N831">
        <v>18</v>
      </c>
      <c r="O831">
        <v>1.4285714285714286</v>
      </c>
    </row>
    <row r="832" spans="1:15" x14ac:dyDescent="0.3">
      <c r="A832" s="13" t="s">
        <v>41</v>
      </c>
      <c r="B832" s="12" t="s">
        <v>30</v>
      </c>
      <c r="C832" s="12" t="s">
        <v>33</v>
      </c>
      <c r="D832">
        <v>6</v>
      </c>
      <c r="E832">
        <v>25</v>
      </c>
      <c r="F832">
        <v>6</v>
      </c>
      <c r="G832" t="b">
        <v>0</v>
      </c>
      <c r="H832">
        <v>21.19</v>
      </c>
      <c r="I832">
        <v>132191</v>
      </c>
      <c r="J832">
        <v>2.4</v>
      </c>
      <c r="K832">
        <v>1.7</v>
      </c>
      <c r="L832">
        <v>448</v>
      </c>
      <c r="M832">
        <v>760</v>
      </c>
      <c r="N832">
        <v>19</v>
      </c>
      <c r="O832">
        <v>1.6964285714285714</v>
      </c>
    </row>
    <row r="833" spans="1:15" x14ac:dyDescent="0.3">
      <c r="A833" s="13" t="s">
        <v>41</v>
      </c>
      <c r="B833" s="12" t="s">
        <v>30</v>
      </c>
      <c r="C833" s="12" t="s">
        <v>33</v>
      </c>
      <c r="D833">
        <v>7</v>
      </c>
      <c r="E833">
        <v>26</v>
      </c>
      <c r="F833">
        <v>6</v>
      </c>
      <c r="G833" t="b">
        <v>0</v>
      </c>
      <c r="H833">
        <v>21.19</v>
      </c>
      <c r="I833">
        <v>132191</v>
      </c>
      <c r="J833">
        <v>2.4</v>
      </c>
      <c r="K833">
        <v>1.7</v>
      </c>
      <c r="L833">
        <v>448</v>
      </c>
      <c r="M833">
        <v>760</v>
      </c>
      <c r="N833">
        <v>19</v>
      </c>
      <c r="O833">
        <v>1.6964285714285714</v>
      </c>
    </row>
    <row r="834" spans="1:15" x14ac:dyDescent="0.3">
      <c r="A834" s="13" t="s">
        <v>42</v>
      </c>
      <c r="B834" s="12" t="s">
        <v>30</v>
      </c>
      <c r="C834" s="12" t="s">
        <v>33</v>
      </c>
      <c r="D834">
        <v>11</v>
      </c>
      <c r="E834">
        <v>27</v>
      </c>
      <c r="F834">
        <v>7</v>
      </c>
      <c r="G834" t="b">
        <v>0</v>
      </c>
      <c r="H834">
        <v>21.19</v>
      </c>
      <c r="I834">
        <v>124806</v>
      </c>
      <c r="J834">
        <v>4.5</v>
      </c>
      <c r="K834">
        <v>1.3</v>
      </c>
      <c r="L834">
        <v>91</v>
      </c>
      <c r="M834">
        <v>600</v>
      </c>
      <c r="N834">
        <v>16</v>
      </c>
      <c r="O834">
        <v>6.5934065934065931</v>
      </c>
    </row>
    <row r="835" spans="1:15" x14ac:dyDescent="0.3">
      <c r="A835" s="13" t="s">
        <v>42</v>
      </c>
      <c r="B835" s="12" t="s">
        <v>30</v>
      </c>
      <c r="C835" s="12" t="s">
        <v>33</v>
      </c>
      <c r="D835">
        <v>9</v>
      </c>
      <c r="E835">
        <v>28</v>
      </c>
      <c r="F835">
        <v>7</v>
      </c>
      <c r="G835" t="b">
        <v>0</v>
      </c>
      <c r="H835">
        <v>21.19</v>
      </c>
      <c r="I835">
        <v>124806</v>
      </c>
      <c r="J835">
        <v>4.5</v>
      </c>
      <c r="K835">
        <v>1.3</v>
      </c>
      <c r="L835">
        <v>91</v>
      </c>
      <c r="M835">
        <v>520</v>
      </c>
      <c r="N835">
        <v>19</v>
      </c>
      <c r="O835">
        <v>5.7142857142857144</v>
      </c>
    </row>
    <row r="836" spans="1:15" x14ac:dyDescent="0.3">
      <c r="A836" s="13" t="s">
        <v>42</v>
      </c>
      <c r="B836" s="12" t="s">
        <v>30</v>
      </c>
      <c r="C836" s="12" t="s">
        <v>33</v>
      </c>
      <c r="D836">
        <v>9</v>
      </c>
      <c r="E836">
        <v>29</v>
      </c>
      <c r="F836">
        <v>7</v>
      </c>
      <c r="G836" t="b">
        <v>0</v>
      </c>
      <c r="H836">
        <v>21.19</v>
      </c>
      <c r="I836">
        <v>124806</v>
      </c>
      <c r="J836">
        <v>4.5</v>
      </c>
      <c r="K836">
        <v>1.3</v>
      </c>
      <c r="L836">
        <v>91</v>
      </c>
      <c r="M836">
        <v>680</v>
      </c>
      <c r="N836">
        <v>20</v>
      </c>
      <c r="O836">
        <v>7.4725274725274726</v>
      </c>
    </row>
    <row r="837" spans="1:15" x14ac:dyDescent="0.3">
      <c r="A837" s="13" t="s">
        <v>42</v>
      </c>
      <c r="B837" s="12" t="s">
        <v>30</v>
      </c>
      <c r="C837" s="12" t="s">
        <v>33</v>
      </c>
      <c r="D837">
        <v>9</v>
      </c>
      <c r="E837">
        <v>30</v>
      </c>
      <c r="F837">
        <v>7</v>
      </c>
      <c r="G837" t="b">
        <v>0</v>
      </c>
      <c r="H837">
        <v>21.19</v>
      </c>
      <c r="I837">
        <v>124806</v>
      </c>
      <c r="J837">
        <v>4.5</v>
      </c>
      <c r="K837">
        <v>1.3</v>
      </c>
      <c r="L837">
        <v>91</v>
      </c>
      <c r="M837">
        <v>240</v>
      </c>
      <c r="N837">
        <v>21</v>
      </c>
      <c r="O837">
        <v>2.6373626373626373</v>
      </c>
    </row>
    <row r="838" spans="1:15" x14ac:dyDescent="0.3">
      <c r="A838" s="13" t="s">
        <v>42</v>
      </c>
      <c r="B838" s="12" t="s">
        <v>30</v>
      </c>
      <c r="C838" s="12" t="s">
        <v>33</v>
      </c>
      <c r="D838">
        <v>23</v>
      </c>
      <c r="E838">
        <v>31</v>
      </c>
      <c r="F838">
        <v>7</v>
      </c>
      <c r="G838" t="b">
        <v>0</v>
      </c>
      <c r="H838">
        <v>21.19</v>
      </c>
      <c r="I838">
        <v>124806</v>
      </c>
      <c r="J838">
        <v>4.5</v>
      </c>
      <c r="K838">
        <v>1.3</v>
      </c>
      <c r="L838">
        <v>581</v>
      </c>
      <c r="M838">
        <v>450</v>
      </c>
      <c r="N838">
        <v>8</v>
      </c>
      <c r="O838">
        <v>0.77452667814113596</v>
      </c>
    </row>
    <row r="839" spans="1:15" x14ac:dyDescent="0.3">
      <c r="A839" s="13" t="s">
        <v>42</v>
      </c>
      <c r="B839" s="12" t="s">
        <v>30</v>
      </c>
      <c r="C839" s="12" t="s">
        <v>33</v>
      </c>
      <c r="D839">
        <v>23</v>
      </c>
      <c r="E839">
        <v>32</v>
      </c>
      <c r="F839">
        <v>8</v>
      </c>
      <c r="G839" t="b">
        <v>1</v>
      </c>
      <c r="H839">
        <v>21.19</v>
      </c>
      <c r="I839">
        <v>69121</v>
      </c>
      <c r="J839">
        <v>4.5</v>
      </c>
      <c r="K839">
        <v>1.1000000000000001</v>
      </c>
      <c r="L839">
        <v>581</v>
      </c>
      <c r="M839">
        <v>320</v>
      </c>
      <c r="N839">
        <v>9</v>
      </c>
      <c r="O839">
        <v>0.55077452667814109</v>
      </c>
    </row>
    <row r="840" spans="1:15" x14ac:dyDescent="0.3">
      <c r="A840" s="13" t="s">
        <v>42</v>
      </c>
      <c r="B840" s="12" t="s">
        <v>30</v>
      </c>
      <c r="C840" s="12" t="s">
        <v>33</v>
      </c>
      <c r="D840">
        <v>15</v>
      </c>
      <c r="E840">
        <v>33</v>
      </c>
      <c r="F840">
        <v>8</v>
      </c>
      <c r="G840" t="b">
        <v>1</v>
      </c>
      <c r="H840">
        <v>21.19</v>
      </c>
      <c r="I840">
        <v>69121</v>
      </c>
      <c r="J840">
        <v>4.5</v>
      </c>
      <c r="K840">
        <v>1.1000000000000001</v>
      </c>
      <c r="L840">
        <v>581</v>
      </c>
      <c r="M840">
        <v>680</v>
      </c>
      <c r="N840">
        <v>18</v>
      </c>
      <c r="O840">
        <v>1.1703958691910499</v>
      </c>
    </row>
    <row r="841" spans="1:15" x14ac:dyDescent="0.3">
      <c r="A841" s="13" t="s">
        <v>42</v>
      </c>
      <c r="B841" s="12" t="s">
        <v>30</v>
      </c>
      <c r="C841" s="12" t="s">
        <v>33</v>
      </c>
      <c r="D841">
        <v>17</v>
      </c>
      <c r="E841">
        <v>34</v>
      </c>
      <c r="F841">
        <v>8</v>
      </c>
      <c r="G841" t="b">
        <v>0</v>
      </c>
      <c r="H841">
        <v>21.19</v>
      </c>
      <c r="I841">
        <v>69121</v>
      </c>
      <c r="J841">
        <v>4.5</v>
      </c>
      <c r="K841">
        <v>1.1000000000000001</v>
      </c>
      <c r="L841">
        <v>581</v>
      </c>
      <c r="M841">
        <v>1080</v>
      </c>
      <c r="N841">
        <v>17</v>
      </c>
      <c r="O841">
        <v>1.8588640275387263</v>
      </c>
    </row>
    <row r="842" spans="1:15" x14ac:dyDescent="0.3">
      <c r="A842" s="13" t="s">
        <v>42</v>
      </c>
      <c r="B842" s="12" t="s">
        <v>30</v>
      </c>
      <c r="C842" s="12" t="s">
        <v>33</v>
      </c>
      <c r="D842">
        <v>20</v>
      </c>
      <c r="E842">
        <v>35</v>
      </c>
      <c r="F842">
        <v>8</v>
      </c>
      <c r="G842" t="b">
        <v>0</v>
      </c>
      <c r="H842">
        <v>21.19</v>
      </c>
      <c r="I842">
        <v>69121</v>
      </c>
      <c r="J842">
        <v>4.5</v>
      </c>
      <c r="K842">
        <v>1.1000000000000001</v>
      </c>
      <c r="L842">
        <v>570</v>
      </c>
      <c r="M842">
        <v>680</v>
      </c>
      <c r="N842">
        <v>15</v>
      </c>
      <c r="O842">
        <v>1.1929824561403508</v>
      </c>
    </row>
    <row r="843" spans="1:15" x14ac:dyDescent="0.3">
      <c r="A843" s="13" t="s">
        <v>42</v>
      </c>
      <c r="B843" s="12" t="s">
        <v>30</v>
      </c>
      <c r="C843" s="12" t="s">
        <v>33</v>
      </c>
      <c r="D843">
        <v>20</v>
      </c>
      <c r="E843">
        <v>36</v>
      </c>
      <c r="F843">
        <v>9</v>
      </c>
      <c r="G843" t="b">
        <v>0</v>
      </c>
      <c r="H843">
        <v>21.19</v>
      </c>
      <c r="I843">
        <v>121666</v>
      </c>
      <c r="J843">
        <v>4.5</v>
      </c>
      <c r="K843">
        <v>0.7</v>
      </c>
      <c r="L843">
        <v>378</v>
      </c>
      <c r="M843">
        <v>360</v>
      </c>
      <c r="N843">
        <v>16</v>
      </c>
      <c r="O843">
        <v>0.95238095238095233</v>
      </c>
    </row>
    <row r="844" spans="1:15" x14ac:dyDescent="0.3">
      <c r="A844" s="13" t="s">
        <v>42</v>
      </c>
      <c r="B844" s="12" t="s">
        <v>30</v>
      </c>
      <c r="C844" s="12" t="s">
        <v>33</v>
      </c>
      <c r="D844">
        <v>20</v>
      </c>
      <c r="E844">
        <v>37</v>
      </c>
      <c r="F844">
        <v>9</v>
      </c>
      <c r="G844" t="b">
        <v>0</v>
      </c>
      <c r="H844">
        <v>21.19</v>
      </c>
      <c r="I844">
        <v>121666</v>
      </c>
      <c r="J844">
        <v>4.5</v>
      </c>
      <c r="K844">
        <v>0.7</v>
      </c>
      <c r="L844">
        <v>374</v>
      </c>
      <c r="M844">
        <v>40</v>
      </c>
      <c r="N844">
        <v>17</v>
      </c>
      <c r="O844">
        <v>0.10695187165775401</v>
      </c>
    </row>
    <row r="845" spans="1:15" x14ac:dyDescent="0.3">
      <c r="A845" s="13" t="s">
        <v>42</v>
      </c>
      <c r="B845" s="12" t="s">
        <v>30</v>
      </c>
      <c r="C845" s="12" t="s">
        <v>33</v>
      </c>
      <c r="D845">
        <v>20</v>
      </c>
      <c r="E845">
        <v>38</v>
      </c>
      <c r="F845">
        <v>9</v>
      </c>
      <c r="G845" t="b">
        <v>0</v>
      </c>
      <c r="H845">
        <v>21.19</v>
      </c>
      <c r="I845">
        <v>121666</v>
      </c>
      <c r="J845">
        <v>3.9</v>
      </c>
      <c r="K845">
        <v>0.7</v>
      </c>
      <c r="L845">
        <v>374</v>
      </c>
      <c r="M845">
        <v>280</v>
      </c>
      <c r="N845">
        <v>18</v>
      </c>
      <c r="O845">
        <v>0.74866310160427807</v>
      </c>
    </row>
    <row r="846" spans="1:15" x14ac:dyDescent="0.3">
      <c r="A846" s="13" t="s">
        <v>42</v>
      </c>
      <c r="B846" s="12" t="s">
        <v>30</v>
      </c>
      <c r="C846" s="12" t="s">
        <v>33</v>
      </c>
      <c r="D846">
        <v>20</v>
      </c>
      <c r="E846">
        <v>39</v>
      </c>
      <c r="F846">
        <v>9</v>
      </c>
      <c r="G846" t="b">
        <v>0</v>
      </c>
      <c r="H846">
        <v>21.19</v>
      </c>
      <c r="I846">
        <v>121666</v>
      </c>
      <c r="J846">
        <v>3.9</v>
      </c>
      <c r="K846">
        <v>0.7</v>
      </c>
      <c r="L846">
        <v>374</v>
      </c>
      <c r="M846">
        <v>360</v>
      </c>
      <c r="N846">
        <v>19</v>
      </c>
      <c r="O846">
        <v>0.96256684491978606</v>
      </c>
    </row>
    <row r="847" spans="1:15" x14ac:dyDescent="0.3">
      <c r="A847" s="13" t="s">
        <v>42</v>
      </c>
      <c r="B847" s="12" t="s">
        <v>30</v>
      </c>
      <c r="C847" s="12" t="s">
        <v>33</v>
      </c>
      <c r="D847">
        <v>21</v>
      </c>
      <c r="E847">
        <v>40</v>
      </c>
      <c r="F847">
        <v>9</v>
      </c>
      <c r="G847" t="b">
        <v>0</v>
      </c>
      <c r="H847">
        <v>21.19</v>
      </c>
      <c r="I847">
        <v>121666</v>
      </c>
      <c r="J847">
        <v>3.9</v>
      </c>
      <c r="K847">
        <v>0.7</v>
      </c>
      <c r="L847">
        <v>210</v>
      </c>
      <c r="M847">
        <v>200</v>
      </c>
      <c r="N847">
        <v>19</v>
      </c>
      <c r="O847">
        <v>0.95238095238095233</v>
      </c>
    </row>
    <row r="848" spans="1:15" x14ac:dyDescent="0.3">
      <c r="A848" s="13" t="s">
        <v>42</v>
      </c>
      <c r="B848" s="12" t="s">
        <v>30</v>
      </c>
      <c r="C848" s="12" t="s">
        <v>33</v>
      </c>
      <c r="D848">
        <v>21</v>
      </c>
      <c r="E848">
        <v>41</v>
      </c>
      <c r="F848">
        <v>10</v>
      </c>
      <c r="G848" t="b">
        <v>0</v>
      </c>
      <c r="H848">
        <v>21.19</v>
      </c>
      <c r="I848">
        <v>126488</v>
      </c>
      <c r="J848">
        <v>3.9</v>
      </c>
      <c r="K848">
        <v>0.9</v>
      </c>
      <c r="L848">
        <v>210</v>
      </c>
      <c r="M848">
        <v>240</v>
      </c>
      <c r="N848">
        <v>20</v>
      </c>
      <c r="O848">
        <v>1.1428571428571428</v>
      </c>
    </row>
    <row r="849" spans="1:15" x14ac:dyDescent="0.3">
      <c r="A849" s="13" t="s">
        <v>42</v>
      </c>
      <c r="B849" s="12" t="s">
        <v>30</v>
      </c>
      <c r="C849" s="12" t="s">
        <v>33</v>
      </c>
      <c r="D849">
        <v>21</v>
      </c>
      <c r="E849">
        <v>42</v>
      </c>
      <c r="F849">
        <v>10</v>
      </c>
      <c r="G849" t="b">
        <v>0</v>
      </c>
      <c r="H849">
        <v>21.19</v>
      </c>
      <c r="I849">
        <v>126488</v>
      </c>
      <c r="J849">
        <v>3.9</v>
      </c>
      <c r="K849">
        <v>0.9</v>
      </c>
      <c r="L849">
        <v>210</v>
      </c>
      <c r="M849">
        <v>600</v>
      </c>
      <c r="N849">
        <v>21</v>
      </c>
      <c r="O849">
        <v>2.8571428571428572</v>
      </c>
    </row>
    <row r="850" spans="1:15" x14ac:dyDescent="0.3">
      <c r="A850" s="13" t="s">
        <v>42</v>
      </c>
      <c r="B850" s="12" t="s">
        <v>30</v>
      </c>
      <c r="C850" s="12" t="s">
        <v>33</v>
      </c>
      <c r="D850">
        <v>21</v>
      </c>
      <c r="E850">
        <v>43</v>
      </c>
      <c r="F850">
        <v>10</v>
      </c>
      <c r="G850" t="b">
        <v>0</v>
      </c>
      <c r="H850">
        <v>21.19</v>
      </c>
      <c r="I850">
        <v>126488</v>
      </c>
      <c r="J850">
        <v>3.65</v>
      </c>
      <c r="K850">
        <v>0.9</v>
      </c>
      <c r="L850">
        <v>210</v>
      </c>
      <c r="M850">
        <v>400</v>
      </c>
      <c r="N850">
        <v>22</v>
      </c>
      <c r="O850">
        <v>1.9047619047619047</v>
      </c>
    </row>
    <row r="851" spans="1:15" x14ac:dyDescent="0.3">
      <c r="A851" s="13" t="s">
        <v>42</v>
      </c>
      <c r="B851" s="12" t="s">
        <v>30</v>
      </c>
      <c r="C851" s="12" t="s">
        <v>33</v>
      </c>
      <c r="D851">
        <v>21</v>
      </c>
      <c r="E851">
        <v>44</v>
      </c>
      <c r="F851">
        <v>10</v>
      </c>
      <c r="G851" t="b">
        <v>1</v>
      </c>
      <c r="H851">
        <v>21.19</v>
      </c>
      <c r="I851">
        <v>126488</v>
      </c>
      <c r="J851">
        <v>3.65</v>
      </c>
      <c r="K851">
        <v>0.9</v>
      </c>
      <c r="L851">
        <v>580</v>
      </c>
      <c r="M851">
        <v>560</v>
      </c>
      <c r="N851">
        <v>23</v>
      </c>
      <c r="O851">
        <v>0.96551724137931039</v>
      </c>
    </row>
    <row r="852" spans="1:15" x14ac:dyDescent="0.3">
      <c r="A852" s="13" t="s">
        <v>42</v>
      </c>
      <c r="B852" s="12" t="s">
        <v>30</v>
      </c>
      <c r="C852" s="12" t="s">
        <v>33</v>
      </c>
      <c r="D852">
        <v>21</v>
      </c>
      <c r="E852">
        <v>45</v>
      </c>
      <c r="F852">
        <v>11</v>
      </c>
      <c r="G852" t="b">
        <v>0</v>
      </c>
      <c r="H852">
        <v>21.19</v>
      </c>
      <c r="I852">
        <v>124251</v>
      </c>
      <c r="J852">
        <v>3.65</v>
      </c>
      <c r="K852">
        <v>1.3</v>
      </c>
      <c r="L852">
        <v>580</v>
      </c>
      <c r="M852">
        <v>560</v>
      </c>
      <c r="N852">
        <v>24</v>
      </c>
      <c r="O852">
        <v>0.96551724137931039</v>
      </c>
    </row>
    <row r="853" spans="1:15" x14ac:dyDescent="0.3">
      <c r="A853" s="13" t="s">
        <v>42</v>
      </c>
      <c r="B853" s="12" t="s">
        <v>30</v>
      </c>
      <c r="C853" s="12" t="s">
        <v>33</v>
      </c>
      <c r="D853">
        <v>21</v>
      </c>
      <c r="E853">
        <v>46</v>
      </c>
      <c r="F853">
        <v>11</v>
      </c>
      <c r="G853" t="b">
        <v>0</v>
      </c>
      <c r="H853">
        <v>21.19</v>
      </c>
      <c r="I853">
        <v>124251</v>
      </c>
      <c r="J853">
        <v>3.65</v>
      </c>
      <c r="K853">
        <v>1.3</v>
      </c>
      <c r="L853">
        <v>580</v>
      </c>
      <c r="M853">
        <v>1720</v>
      </c>
      <c r="N853">
        <v>25</v>
      </c>
      <c r="O853">
        <v>2.9655172413793105</v>
      </c>
    </row>
    <row r="854" spans="1:15" x14ac:dyDescent="0.3">
      <c r="A854" s="13" t="s">
        <v>42</v>
      </c>
      <c r="B854" s="12" t="s">
        <v>30</v>
      </c>
      <c r="C854" s="12" t="s">
        <v>33</v>
      </c>
      <c r="D854">
        <v>21</v>
      </c>
      <c r="E854">
        <v>47</v>
      </c>
      <c r="F854">
        <v>11</v>
      </c>
      <c r="G854" t="b">
        <v>0</v>
      </c>
      <c r="H854">
        <v>21.19</v>
      </c>
      <c r="I854">
        <v>124251</v>
      </c>
      <c r="J854">
        <v>3.65</v>
      </c>
      <c r="K854">
        <v>1.3</v>
      </c>
      <c r="L854">
        <v>580</v>
      </c>
      <c r="M854">
        <v>0</v>
      </c>
      <c r="N854">
        <v>26</v>
      </c>
      <c r="O854">
        <v>0</v>
      </c>
    </row>
    <row r="855" spans="1:15" x14ac:dyDescent="0.3">
      <c r="A855" s="13" t="s">
        <v>42</v>
      </c>
      <c r="B855" s="12" t="s">
        <v>30</v>
      </c>
      <c r="C855" s="12" t="s">
        <v>33</v>
      </c>
      <c r="D855">
        <v>26</v>
      </c>
      <c r="E855">
        <v>48</v>
      </c>
      <c r="F855">
        <v>11</v>
      </c>
      <c r="G855" t="b">
        <v>0</v>
      </c>
      <c r="H855">
        <v>21.19</v>
      </c>
      <c r="I855">
        <v>124251</v>
      </c>
      <c r="J855">
        <v>3.65</v>
      </c>
      <c r="K855">
        <v>1.3</v>
      </c>
      <c r="L855">
        <v>144</v>
      </c>
      <c r="M855">
        <v>0</v>
      </c>
      <c r="N855">
        <v>22</v>
      </c>
      <c r="O855">
        <v>0</v>
      </c>
    </row>
    <row r="856" spans="1:15" x14ac:dyDescent="0.3">
      <c r="A856" s="13" t="s">
        <v>42</v>
      </c>
      <c r="B856" s="12" t="s">
        <v>30</v>
      </c>
      <c r="C856" s="12" t="s">
        <v>33</v>
      </c>
      <c r="D856">
        <v>26</v>
      </c>
      <c r="E856">
        <v>49</v>
      </c>
      <c r="F856">
        <v>12</v>
      </c>
      <c r="G856" t="b">
        <v>1</v>
      </c>
      <c r="H856">
        <v>21.19</v>
      </c>
      <c r="I856">
        <v>105715</v>
      </c>
      <c r="J856">
        <v>3.65</v>
      </c>
      <c r="K856">
        <v>1.3</v>
      </c>
      <c r="L856">
        <v>144</v>
      </c>
      <c r="M856">
        <v>320</v>
      </c>
      <c r="N856">
        <v>23</v>
      </c>
      <c r="O856">
        <v>2.2222222222222223</v>
      </c>
    </row>
    <row r="857" spans="1:15" x14ac:dyDescent="0.3">
      <c r="A857" s="13" t="s">
        <v>42</v>
      </c>
      <c r="B857" s="12" t="s">
        <v>30</v>
      </c>
      <c r="C857" s="12" t="s">
        <v>33</v>
      </c>
      <c r="D857">
        <v>25</v>
      </c>
      <c r="E857">
        <v>50</v>
      </c>
      <c r="F857">
        <v>12</v>
      </c>
      <c r="G857" t="b">
        <v>0</v>
      </c>
      <c r="H857">
        <v>21.19</v>
      </c>
      <c r="I857">
        <v>105715</v>
      </c>
      <c r="J857">
        <v>3.4</v>
      </c>
      <c r="K857">
        <v>1.3</v>
      </c>
      <c r="L857">
        <v>144</v>
      </c>
      <c r="M857">
        <v>840</v>
      </c>
      <c r="N857">
        <v>25</v>
      </c>
      <c r="O857">
        <v>5.833333333333333</v>
      </c>
    </row>
    <row r="858" spans="1:15" x14ac:dyDescent="0.3">
      <c r="A858" s="13" t="s">
        <v>42</v>
      </c>
      <c r="B858" s="12" t="s">
        <v>30</v>
      </c>
      <c r="C858" s="12" t="s">
        <v>33</v>
      </c>
      <c r="D858">
        <v>26</v>
      </c>
      <c r="E858">
        <v>51</v>
      </c>
      <c r="F858">
        <v>12</v>
      </c>
      <c r="G858" t="b">
        <v>0</v>
      </c>
      <c r="H858">
        <v>21.19</v>
      </c>
      <c r="I858">
        <v>105715</v>
      </c>
      <c r="J858">
        <v>3.4</v>
      </c>
      <c r="K858">
        <v>1.3</v>
      </c>
      <c r="L858">
        <v>144</v>
      </c>
      <c r="M858">
        <v>0</v>
      </c>
      <c r="N858">
        <v>25</v>
      </c>
      <c r="O858">
        <v>0</v>
      </c>
    </row>
    <row r="859" spans="1:15" x14ac:dyDescent="0.3">
      <c r="A859" s="13" t="s">
        <v>42</v>
      </c>
      <c r="B859" s="12" t="s">
        <v>30</v>
      </c>
      <c r="C859" s="12" t="s">
        <v>33</v>
      </c>
      <c r="D859">
        <v>27</v>
      </c>
      <c r="E859">
        <v>52</v>
      </c>
      <c r="F859">
        <v>12</v>
      </c>
      <c r="G859" t="b">
        <v>1</v>
      </c>
      <c r="H859">
        <v>21.19</v>
      </c>
      <c r="I859">
        <v>105715</v>
      </c>
      <c r="J859">
        <v>3.4</v>
      </c>
      <c r="K859">
        <v>1.3</v>
      </c>
      <c r="L859">
        <v>144</v>
      </c>
      <c r="M859">
        <v>0</v>
      </c>
      <c r="N859">
        <v>25</v>
      </c>
      <c r="O859">
        <v>0</v>
      </c>
    </row>
    <row r="860" spans="1:15" x14ac:dyDescent="0.3">
      <c r="A860" s="13" t="s">
        <v>42</v>
      </c>
      <c r="B860" s="12" t="s">
        <v>30</v>
      </c>
      <c r="C860" s="12" t="s">
        <v>33</v>
      </c>
      <c r="D860">
        <v>27</v>
      </c>
      <c r="E860">
        <v>1</v>
      </c>
      <c r="F860">
        <v>12</v>
      </c>
      <c r="G860" t="b">
        <v>1</v>
      </c>
      <c r="H860">
        <v>21.19</v>
      </c>
      <c r="I860">
        <v>105715</v>
      </c>
      <c r="J860">
        <v>3.4</v>
      </c>
      <c r="K860">
        <v>1.3</v>
      </c>
      <c r="L860">
        <v>280</v>
      </c>
      <c r="M860">
        <v>1160</v>
      </c>
      <c r="N860">
        <v>26</v>
      </c>
      <c r="O860">
        <v>4.1428571428571432</v>
      </c>
    </row>
    <row r="861" spans="1:15" x14ac:dyDescent="0.3">
      <c r="A861" s="13" t="s">
        <v>42</v>
      </c>
      <c r="B861" s="12" t="s">
        <v>30</v>
      </c>
      <c r="C861" s="12" t="s">
        <v>33</v>
      </c>
      <c r="D861">
        <v>27</v>
      </c>
      <c r="E861">
        <v>2</v>
      </c>
      <c r="F861">
        <v>1</v>
      </c>
      <c r="G861" t="b">
        <v>1</v>
      </c>
      <c r="H861">
        <v>21.19</v>
      </c>
      <c r="I861">
        <v>133692</v>
      </c>
      <c r="J861">
        <v>3.4</v>
      </c>
      <c r="K861">
        <v>1.5</v>
      </c>
      <c r="L861">
        <v>280</v>
      </c>
      <c r="M861">
        <v>1000</v>
      </c>
      <c r="N861">
        <v>27</v>
      </c>
      <c r="O861">
        <v>3.5714285714285716</v>
      </c>
    </row>
    <row r="862" spans="1:15" x14ac:dyDescent="0.3">
      <c r="A862" s="13" t="s">
        <v>42</v>
      </c>
      <c r="B862" s="12" t="s">
        <v>30</v>
      </c>
      <c r="C862" s="12" t="s">
        <v>33</v>
      </c>
      <c r="D862">
        <v>28</v>
      </c>
      <c r="E862">
        <v>3</v>
      </c>
      <c r="F862">
        <v>1</v>
      </c>
      <c r="G862" t="b">
        <v>0</v>
      </c>
      <c r="H862">
        <v>21.19</v>
      </c>
      <c r="I862">
        <v>133692</v>
      </c>
      <c r="J862">
        <v>3.4</v>
      </c>
      <c r="K862">
        <v>1.5</v>
      </c>
      <c r="L862">
        <v>280</v>
      </c>
      <c r="M862">
        <v>560</v>
      </c>
      <c r="N862">
        <v>27</v>
      </c>
      <c r="O862">
        <v>2</v>
      </c>
    </row>
    <row r="863" spans="1:15" x14ac:dyDescent="0.3">
      <c r="A863" s="13" t="s">
        <v>42</v>
      </c>
      <c r="B863" s="12" t="s">
        <v>30</v>
      </c>
      <c r="C863" s="12" t="s">
        <v>33</v>
      </c>
      <c r="D863">
        <v>29</v>
      </c>
      <c r="E863">
        <v>4</v>
      </c>
      <c r="F863">
        <v>1</v>
      </c>
      <c r="G863" t="b">
        <v>0</v>
      </c>
      <c r="H863">
        <v>21.19</v>
      </c>
      <c r="I863">
        <v>133692</v>
      </c>
      <c r="J863">
        <v>3.4</v>
      </c>
      <c r="K863">
        <v>1.5</v>
      </c>
      <c r="L863">
        <v>280</v>
      </c>
      <c r="M863">
        <v>480</v>
      </c>
      <c r="N863">
        <v>27</v>
      </c>
      <c r="O863">
        <v>1.7142857142857142</v>
      </c>
    </row>
    <row r="864" spans="1:15" x14ac:dyDescent="0.3">
      <c r="A864" s="13" t="s">
        <v>42</v>
      </c>
      <c r="B864" s="12" t="s">
        <v>30</v>
      </c>
      <c r="C864" s="12" t="s">
        <v>33</v>
      </c>
      <c r="D864">
        <v>36</v>
      </c>
      <c r="E864">
        <v>5</v>
      </c>
      <c r="F864">
        <v>1</v>
      </c>
      <c r="G864" t="b">
        <v>0</v>
      </c>
      <c r="H864">
        <v>21.19</v>
      </c>
      <c r="I864">
        <v>133692</v>
      </c>
      <c r="J864">
        <v>3.4</v>
      </c>
      <c r="K864">
        <v>1.5</v>
      </c>
      <c r="L864">
        <v>380</v>
      </c>
      <c r="M864">
        <v>600</v>
      </c>
      <c r="N864">
        <v>21</v>
      </c>
      <c r="O864">
        <v>1.5789473684210527</v>
      </c>
    </row>
    <row r="865" spans="1:15" x14ac:dyDescent="0.3">
      <c r="A865" s="13" t="s">
        <v>42</v>
      </c>
      <c r="B865" s="12" t="s">
        <v>30</v>
      </c>
      <c r="C865" s="12" t="s">
        <v>33</v>
      </c>
      <c r="D865">
        <v>36</v>
      </c>
      <c r="E865">
        <v>6</v>
      </c>
      <c r="F865">
        <v>2</v>
      </c>
      <c r="G865" t="b">
        <v>0</v>
      </c>
      <c r="H865">
        <v>21.19</v>
      </c>
      <c r="I865">
        <v>137922</v>
      </c>
      <c r="J865">
        <v>3.15</v>
      </c>
      <c r="K865">
        <v>1.6</v>
      </c>
      <c r="L865">
        <v>380</v>
      </c>
      <c r="M865">
        <v>600</v>
      </c>
      <c r="N865">
        <v>22</v>
      </c>
      <c r="O865">
        <v>1.5789473684210527</v>
      </c>
    </row>
    <row r="866" spans="1:15" x14ac:dyDescent="0.3">
      <c r="A866" s="13" t="s">
        <v>42</v>
      </c>
      <c r="B866" s="12" t="s">
        <v>30</v>
      </c>
      <c r="C866" s="12" t="s">
        <v>33</v>
      </c>
      <c r="D866">
        <v>36</v>
      </c>
      <c r="E866">
        <v>7</v>
      </c>
      <c r="F866">
        <v>2</v>
      </c>
      <c r="G866" t="b">
        <v>0</v>
      </c>
      <c r="H866">
        <v>21.19</v>
      </c>
      <c r="I866">
        <v>137922</v>
      </c>
      <c r="J866">
        <v>3.15</v>
      </c>
      <c r="K866">
        <v>1.6</v>
      </c>
      <c r="L866">
        <v>380</v>
      </c>
      <c r="M866">
        <v>600</v>
      </c>
      <c r="N866">
        <v>23</v>
      </c>
      <c r="O866">
        <v>1.5789473684210527</v>
      </c>
    </row>
    <row r="867" spans="1:15" x14ac:dyDescent="0.3">
      <c r="A867" s="13" t="s">
        <v>42</v>
      </c>
      <c r="B867" s="12" t="s">
        <v>30</v>
      </c>
      <c r="C867" s="12" t="s">
        <v>33</v>
      </c>
      <c r="D867">
        <v>36</v>
      </c>
      <c r="E867">
        <v>8</v>
      </c>
      <c r="F867">
        <v>2</v>
      </c>
      <c r="G867" t="b">
        <v>0</v>
      </c>
      <c r="H867">
        <v>21.19</v>
      </c>
      <c r="I867">
        <v>137922</v>
      </c>
      <c r="J867">
        <v>3.15</v>
      </c>
      <c r="K867">
        <v>1.6</v>
      </c>
      <c r="L867">
        <v>380</v>
      </c>
      <c r="M867">
        <v>320</v>
      </c>
      <c r="N867">
        <v>24</v>
      </c>
      <c r="O867">
        <v>0.84210526315789469</v>
      </c>
    </row>
    <row r="868" spans="1:15" x14ac:dyDescent="0.3">
      <c r="A868" s="13" t="s">
        <v>42</v>
      </c>
      <c r="B868" s="12" t="s">
        <v>30</v>
      </c>
      <c r="C868" s="12" t="s">
        <v>33</v>
      </c>
      <c r="D868">
        <v>37</v>
      </c>
      <c r="E868">
        <v>9</v>
      </c>
      <c r="F868">
        <v>2</v>
      </c>
      <c r="G868" t="b">
        <v>0</v>
      </c>
      <c r="H868">
        <v>21.19</v>
      </c>
      <c r="I868">
        <v>137922</v>
      </c>
      <c r="J868">
        <v>3.15</v>
      </c>
      <c r="K868">
        <v>1.6</v>
      </c>
      <c r="L868">
        <v>392</v>
      </c>
      <c r="M868">
        <v>464</v>
      </c>
      <c r="N868">
        <v>24</v>
      </c>
      <c r="O868">
        <v>1.1836734693877551</v>
      </c>
    </row>
    <row r="869" spans="1:15" x14ac:dyDescent="0.3">
      <c r="A869" s="13" t="s">
        <v>42</v>
      </c>
      <c r="B869" s="12" t="s">
        <v>30</v>
      </c>
      <c r="C869" s="12" t="s">
        <v>33</v>
      </c>
      <c r="D869">
        <v>37</v>
      </c>
      <c r="E869">
        <v>10</v>
      </c>
      <c r="F869">
        <v>3</v>
      </c>
      <c r="G869" t="b">
        <v>0</v>
      </c>
      <c r="H869">
        <v>21.19</v>
      </c>
      <c r="I869">
        <v>172223</v>
      </c>
      <c r="J869">
        <v>3.15</v>
      </c>
      <c r="K869">
        <v>1.9</v>
      </c>
      <c r="L869">
        <v>392</v>
      </c>
      <c r="M869">
        <v>464</v>
      </c>
      <c r="N869">
        <v>25</v>
      </c>
      <c r="O869">
        <v>1.1836734693877551</v>
      </c>
    </row>
    <row r="870" spans="1:15" x14ac:dyDescent="0.3">
      <c r="A870" s="13" t="s">
        <v>42</v>
      </c>
      <c r="B870" s="12" t="s">
        <v>30</v>
      </c>
      <c r="C870" s="12" t="s">
        <v>33</v>
      </c>
      <c r="D870">
        <v>37</v>
      </c>
      <c r="E870">
        <v>11</v>
      </c>
      <c r="F870">
        <v>3</v>
      </c>
      <c r="G870" t="b">
        <v>0</v>
      </c>
      <c r="H870">
        <v>21.19</v>
      </c>
      <c r="I870">
        <v>172223</v>
      </c>
      <c r="J870">
        <v>2.9</v>
      </c>
      <c r="K870">
        <v>1.9</v>
      </c>
      <c r="L870">
        <v>392</v>
      </c>
      <c r="M870">
        <v>464</v>
      </c>
      <c r="N870">
        <v>26</v>
      </c>
      <c r="O870">
        <v>1.1836734693877551</v>
      </c>
    </row>
    <row r="871" spans="1:15" x14ac:dyDescent="0.3">
      <c r="A871" s="13" t="s">
        <v>42</v>
      </c>
      <c r="B871" s="12" t="s">
        <v>30</v>
      </c>
      <c r="C871" s="12" t="s">
        <v>33</v>
      </c>
      <c r="D871">
        <v>38</v>
      </c>
      <c r="E871">
        <v>12</v>
      </c>
      <c r="F871">
        <v>3</v>
      </c>
      <c r="G871" t="b">
        <v>0</v>
      </c>
      <c r="H871">
        <v>21.19</v>
      </c>
      <c r="I871">
        <v>172223</v>
      </c>
      <c r="J871">
        <v>2.9</v>
      </c>
      <c r="K871">
        <v>1.9</v>
      </c>
      <c r="L871">
        <v>392</v>
      </c>
      <c r="M871">
        <v>464</v>
      </c>
      <c r="N871">
        <v>26</v>
      </c>
      <c r="O871">
        <v>1.1836734693877551</v>
      </c>
    </row>
    <row r="872" spans="1:15" x14ac:dyDescent="0.3">
      <c r="A872" s="13" t="s">
        <v>42</v>
      </c>
      <c r="B872" s="12" t="s">
        <v>30</v>
      </c>
      <c r="C872" s="12" t="s">
        <v>33</v>
      </c>
      <c r="D872">
        <v>43</v>
      </c>
      <c r="E872">
        <v>13</v>
      </c>
      <c r="F872">
        <v>3</v>
      </c>
      <c r="G872" t="b">
        <v>0</v>
      </c>
      <c r="H872">
        <v>21.19</v>
      </c>
      <c r="I872">
        <v>172223</v>
      </c>
      <c r="J872">
        <v>2.9</v>
      </c>
      <c r="K872">
        <v>1.9</v>
      </c>
      <c r="L872">
        <v>510</v>
      </c>
      <c r="M872">
        <v>390</v>
      </c>
      <c r="N872">
        <v>22</v>
      </c>
      <c r="O872">
        <v>0.76470588235294112</v>
      </c>
    </row>
    <row r="873" spans="1:15" x14ac:dyDescent="0.3">
      <c r="A873" s="13" t="s">
        <v>42</v>
      </c>
      <c r="B873" s="12" t="s">
        <v>30</v>
      </c>
      <c r="C873" s="12" t="s">
        <v>33</v>
      </c>
      <c r="D873">
        <v>44</v>
      </c>
      <c r="E873">
        <v>14</v>
      </c>
      <c r="F873">
        <v>3</v>
      </c>
      <c r="G873" t="b">
        <v>0</v>
      </c>
      <c r="H873">
        <v>21.19</v>
      </c>
      <c r="I873">
        <v>172223</v>
      </c>
      <c r="J873">
        <v>2.9</v>
      </c>
      <c r="K873">
        <v>1.9</v>
      </c>
      <c r="L873">
        <v>510</v>
      </c>
      <c r="M873">
        <v>390</v>
      </c>
      <c r="N873">
        <v>22</v>
      </c>
      <c r="O873">
        <v>0.76470588235294112</v>
      </c>
    </row>
    <row r="874" spans="1:15" x14ac:dyDescent="0.3">
      <c r="A874" s="13" t="s">
        <v>42</v>
      </c>
      <c r="B874" s="12" t="s">
        <v>30</v>
      </c>
      <c r="C874" s="12" t="s">
        <v>33</v>
      </c>
      <c r="D874">
        <v>45</v>
      </c>
      <c r="E874">
        <v>15</v>
      </c>
      <c r="F874">
        <v>4</v>
      </c>
      <c r="G874" t="b">
        <v>0</v>
      </c>
      <c r="H874">
        <v>21.19</v>
      </c>
      <c r="I874">
        <v>139084</v>
      </c>
      <c r="J874">
        <v>2.9</v>
      </c>
      <c r="K874">
        <v>1.9</v>
      </c>
      <c r="L874">
        <v>510</v>
      </c>
      <c r="M874">
        <v>390</v>
      </c>
      <c r="N874">
        <v>22</v>
      </c>
      <c r="O874">
        <v>0.76470588235294112</v>
      </c>
    </row>
    <row r="875" spans="1:15" x14ac:dyDescent="0.3">
      <c r="A875" s="13" t="s">
        <v>42</v>
      </c>
      <c r="B875" s="12" t="s">
        <v>30</v>
      </c>
      <c r="C875" s="12" t="s">
        <v>33</v>
      </c>
      <c r="D875">
        <v>46</v>
      </c>
      <c r="E875">
        <v>16</v>
      </c>
      <c r="F875">
        <v>4</v>
      </c>
      <c r="G875" t="b">
        <v>0</v>
      </c>
      <c r="H875">
        <v>21.19</v>
      </c>
      <c r="I875">
        <v>139084</v>
      </c>
      <c r="J875">
        <v>2.9</v>
      </c>
      <c r="K875">
        <v>1.9</v>
      </c>
      <c r="L875">
        <v>510</v>
      </c>
      <c r="M875">
        <v>390</v>
      </c>
      <c r="N875">
        <v>22</v>
      </c>
      <c r="O875">
        <v>0.76470588235294112</v>
      </c>
    </row>
    <row r="876" spans="1:15" x14ac:dyDescent="0.3">
      <c r="A876" s="13" t="s">
        <v>42</v>
      </c>
      <c r="B876" s="12" t="s">
        <v>30</v>
      </c>
      <c r="C876" s="12" t="s">
        <v>33</v>
      </c>
      <c r="D876">
        <v>0</v>
      </c>
      <c r="E876">
        <v>17</v>
      </c>
      <c r="F876">
        <v>4</v>
      </c>
      <c r="G876" t="b">
        <v>1</v>
      </c>
      <c r="H876">
        <v>21.19</v>
      </c>
      <c r="I876">
        <v>139084</v>
      </c>
      <c r="J876">
        <v>2.65</v>
      </c>
      <c r="K876">
        <v>1.9</v>
      </c>
      <c r="L876">
        <v>450</v>
      </c>
      <c r="M876">
        <v>390</v>
      </c>
      <c r="N876">
        <v>17</v>
      </c>
      <c r="O876">
        <v>0.8666666666666667</v>
      </c>
    </row>
    <row r="877" spans="1:15" x14ac:dyDescent="0.3">
      <c r="A877" s="13" t="s">
        <v>42</v>
      </c>
      <c r="B877" s="12" t="s">
        <v>30</v>
      </c>
      <c r="C877" s="12" t="s">
        <v>33</v>
      </c>
      <c r="D877">
        <v>0</v>
      </c>
      <c r="E877">
        <v>18</v>
      </c>
      <c r="F877">
        <v>4</v>
      </c>
      <c r="G877" t="b">
        <v>1</v>
      </c>
      <c r="H877">
        <v>21.19</v>
      </c>
      <c r="I877">
        <v>139084</v>
      </c>
      <c r="J877">
        <v>2.65</v>
      </c>
      <c r="K877">
        <v>1.9</v>
      </c>
      <c r="L877">
        <v>420</v>
      </c>
      <c r="M877">
        <v>610</v>
      </c>
      <c r="N877">
        <v>18</v>
      </c>
      <c r="O877">
        <v>1.4523809523809523</v>
      </c>
    </row>
    <row r="878" spans="1:15" x14ac:dyDescent="0.3">
      <c r="A878" s="13" t="s">
        <v>42</v>
      </c>
      <c r="B878" s="12" t="s">
        <v>30</v>
      </c>
      <c r="C878" s="12" t="s">
        <v>33</v>
      </c>
      <c r="D878">
        <v>1</v>
      </c>
      <c r="E878">
        <v>19</v>
      </c>
      <c r="F878">
        <v>5</v>
      </c>
      <c r="G878" t="b">
        <v>0</v>
      </c>
      <c r="H878">
        <v>21.19</v>
      </c>
      <c r="I878">
        <v>139390</v>
      </c>
      <c r="J878">
        <v>2.65</v>
      </c>
      <c r="K878">
        <v>1.6</v>
      </c>
      <c r="L878">
        <v>420</v>
      </c>
      <c r="M878">
        <v>610</v>
      </c>
      <c r="N878">
        <v>18</v>
      </c>
      <c r="O878">
        <v>1.4523809523809523</v>
      </c>
    </row>
    <row r="879" spans="1:15" x14ac:dyDescent="0.3">
      <c r="A879" s="13" t="s">
        <v>42</v>
      </c>
      <c r="B879" s="12" t="s">
        <v>30</v>
      </c>
      <c r="C879" s="12" t="s">
        <v>33</v>
      </c>
      <c r="D879">
        <v>1</v>
      </c>
      <c r="E879">
        <v>20</v>
      </c>
      <c r="F879">
        <v>5</v>
      </c>
      <c r="G879" t="b">
        <v>0</v>
      </c>
      <c r="H879">
        <v>21.19</v>
      </c>
      <c r="I879">
        <v>139390</v>
      </c>
      <c r="J879">
        <v>2.65</v>
      </c>
      <c r="K879">
        <v>1.6</v>
      </c>
      <c r="L879">
        <v>420</v>
      </c>
      <c r="M879">
        <v>610</v>
      </c>
      <c r="N879">
        <v>19</v>
      </c>
      <c r="O879">
        <v>1.4523809523809523</v>
      </c>
    </row>
    <row r="880" spans="1:15" x14ac:dyDescent="0.3">
      <c r="A880" s="13" t="s">
        <v>42</v>
      </c>
      <c r="B880" s="12" t="s">
        <v>30</v>
      </c>
      <c r="C880" s="12" t="s">
        <v>33</v>
      </c>
      <c r="D880">
        <v>1</v>
      </c>
      <c r="E880">
        <v>21</v>
      </c>
      <c r="F880">
        <v>5</v>
      </c>
      <c r="G880" t="b">
        <v>0</v>
      </c>
      <c r="H880">
        <v>21.19</v>
      </c>
      <c r="I880">
        <v>139390</v>
      </c>
      <c r="J880">
        <v>2.65</v>
      </c>
      <c r="K880">
        <v>1.6</v>
      </c>
      <c r="L880">
        <v>420</v>
      </c>
      <c r="M880">
        <v>610</v>
      </c>
      <c r="N880">
        <v>20</v>
      </c>
      <c r="O880">
        <v>1.4523809523809523</v>
      </c>
    </row>
    <row r="881" spans="1:15" x14ac:dyDescent="0.3">
      <c r="A881" s="13" t="s">
        <v>42</v>
      </c>
      <c r="B881" s="12" t="s">
        <v>30</v>
      </c>
      <c r="C881" s="12" t="s">
        <v>33</v>
      </c>
      <c r="D881">
        <v>5</v>
      </c>
      <c r="E881">
        <v>22</v>
      </c>
      <c r="F881">
        <v>5</v>
      </c>
      <c r="G881" t="b">
        <v>0</v>
      </c>
      <c r="H881">
        <v>21.19</v>
      </c>
      <c r="I881">
        <v>139390</v>
      </c>
      <c r="J881">
        <v>2.65</v>
      </c>
      <c r="K881">
        <v>1.6</v>
      </c>
      <c r="L881">
        <v>440</v>
      </c>
      <c r="M881">
        <v>456</v>
      </c>
      <c r="N881">
        <v>17</v>
      </c>
      <c r="O881">
        <v>1.0363636363636364</v>
      </c>
    </row>
    <row r="882" spans="1:15" x14ac:dyDescent="0.3">
      <c r="A882" s="13" t="s">
        <v>42</v>
      </c>
      <c r="B882" s="12" t="s">
        <v>30</v>
      </c>
      <c r="C882" s="12" t="s">
        <v>33</v>
      </c>
      <c r="D882">
        <v>5</v>
      </c>
      <c r="E882">
        <v>23</v>
      </c>
      <c r="F882">
        <v>5</v>
      </c>
      <c r="G882" t="b">
        <v>1</v>
      </c>
      <c r="H882">
        <v>21.19</v>
      </c>
      <c r="I882">
        <v>139390</v>
      </c>
      <c r="J882">
        <v>2.4</v>
      </c>
      <c r="K882">
        <v>1.6</v>
      </c>
      <c r="L882">
        <v>440</v>
      </c>
      <c r="M882">
        <v>456</v>
      </c>
      <c r="N882">
        <v>18</v>
      </c>
      <c r="O882">
        <v>1.0363636363636364</v>
      </c>
    </row>
    <row r="883" spans="1:15" x14ac:dyDescent="0.3">
      <c r="A883" s="13" t="s">
        <v>42</v>
      </c>
      <c r="B883" s="12" t="s">
        <v>30</v>
      </c>
      <c r="C883" s="12" t="s">
        <v>33</v>
      </c>
      <c r="D883">
        <v>5</v>
      </c>
      <c r="E883">
        <v>24</v>
      </c>
      <c r="F883">
        <v>6</v>
      </c>
      <c r="G883" t="b">
        <v>0</v>
      </c>
      <c r="H883">
        <v>21.19</v>
      </c>
      <c r="I883">
        <v>132191</v>
      </c>
      <c r="J883">
        <v>2.4</v>
      </c>
      <c r="K883">
        <v>1.7</v>
      </c>
      <c r="L883">
        <v>440</v>
      </c>
      <c r="M883">
        <v>456</v>
      </c>
      <c r="N883">
        <v>19</v>
      </c>
      <c r="O883">
        <v>1.0363636363636364</v>
      </c>
    </row>
    <row r="884" spans="1:15" x14ac:dyDescent="0.3">
      <c r="A884" s="13" t="s">
        <v>42</v>
      </c>
      <c r="B884" s="12" t="s">
        <v>30</v>
      </c>
      <c r="C884" s="12" t="s">
        <v>33</v>
      </c>
      <c r="D884">
        <v>5</v>
      </c>
      <c r="E884">
        <v>25</v>
      </c>
      <c r="F884">
        <v>6</v>
      </c>
      <c r="G884" t="b">
        <v>0</v>
      </c>
      <c r="H884">
        <v>21.19</v>
      </c>
      <c r="I884">
        <v>132191</v>
      </c>
      <c r="J884">
        <v>2.4</v>
      </c>
      <c r="K884">
        <v>1.7</v>
      </c>
      <c r="L884">
        <v>440</v>
      </c>
      <c r="M884">
        <v>456</v>
      </c>
      <c r="N884">
        <v>20</v>
      </c>
      <c r="O884">
        <v>1.0363636363636364</v>
      </c>
    </row>
    <row r="885" spans="1:15" x14ac:dyDescent="0.3">
      <c r="A885" s="13" t="s">
        <v>42</v>
      </c>
      <c r="B885" s="12" t="s">
        <v>30</v>
      </c>
      <c r="C885" s="12" t="s">
        <v>33</v>
      </c>
      <c r="D885">
        <v>6</v>
      </c>
      <c r="E885">
        <v>26</v>
      </c>
      <c r="F885">
        <v>6</v>
      </c>
      <c r="G885" t="b">
        <v>0</v>
      </c>
      <c r="H885">
        <v>21.19</v>
      </c>
      <c r="I885">
        <v>132191</v>
      </c>
      <c r="J885">
        <v>2.4</v>
      </c>
      <c r="K885">
        <v>1.7</v>
      </c>
      <c r="L885">
        <v>440</v>
      </c>
      <c r="M885">
        <v>456</v>
      </c>
      <c r="N885">
        <v>20</v>
      </c>
      <c r="O885">
        <v>1.0363636363636364</v>
      </c>
    </row>
    <row r="886" spans="1:15" x14ac:dyDescent="0.3">
      <c r="A886" s="13" t="s">
        <v>38</v>
      </c>
      <c r="B886" s="12" t="s">
        <v>32</v>
      </c>
      <c r="C886" s="12" t="s">
        <v>33</v>
      </c>
      <c r="D886">
        <v>10</v>
      </c>
      <c r="E886">
        <v>27</v>
      </c>
      <c r="F886">
        <v>7</v>
      </c>
      <c r="G886" t="b">
        <v>0</v>
      </c>
      <c r="H886">
        <v>10.94</v>
      </c>
      <c r="I886">
        <v>124806</v>
      </c>
      <c r="J886">
        <v>4.5</v>
      </c>
      <c r="K886">
        <v>1.3</v>
      </c>
      <c r="L886">
        <v>753</v>
      </c>
      <c r="M886">
        <v>0</v>
      </c>
      <c r="N886">
        <v>17</v>
      </c>
      <c r="O886">
        <v>0</v>
      </c>
    </row>
    <row r="887" spans="1:15" x14ac:dyDescent="0.3">
      <c r="A887" s="13" t="s">
        <v>38</v>
      </c>
      <c r="B887" s="12" t="s">
        <v>32</v>
      </c>
      <c r="C887" s="12" t="s">
        <v>33</v>
      </c>
      <c r="D887">
        <v>11</v>
      </c>
      <c r="E887">
        <v>28</v>
      </c>
      <c r="F887">
        <v>7</v>
      </c>
      <c r="G887" t="b">
        <v>0</v>
      </c>
      <c r="H887">
        <v>10.94</v>
      </c>
      <c r="I887">
        <v>124806</v>
      </c>
      <c r="J887">
        <v>4.5</v>
      </c>
      <c r="K887">
        <v>1.3</v>
      </c>
      <c r="L887">
        <v>753</v>
      </c>
      <c r="M887">
        <v>0</v>
      </c>
      <c r="N887">
        <v>17</v>
      </c>
      <c r="O887">
        <v>0</v>
      </c>
    </row>
    <row r="888" spans="1:15" x14ac:dyDescent="0.3">
      <c r="A888" s="13" t="s">
        <v>38</v>
      </c>
      <c r="B888" s="12" t="s">
        <v>32</v>
      </c>
      <c r="C888" s="12" t="s">
        <v>33</v>
      </c>
      <c r="D888">
        <v>11</v>
      </c>
      <c r="E888">
        <v>29</v>
      </c>
      <c r="F888">
        <v>7</v>
      </c>
      <c r="G888" t="b">
        <v>0</v>
      </c>
      <c r="H888">
        <v>10.94</v>
      </c>
      <c r="I888">
        <v>124806</v>
      </c>
      <c r="J888">
        <v>4.5</v>
      </c>
      <c r="K888">
        <v>1.3</v>
      </c>
      <c r="L888">
        <v>753</v>
      </c>
      <c r="M888">
        <v>12420</v>
      </c>
      <c r="N888">
        <v>18</v>
      </c>
      <c r="O888">
        <v>16.49402390438247</v>
      </c>
    </row>
    <row r="889" spans="1:15" x14ac:dyDescent="0.3">
      <c r="A889" s="13" t="s">
        <v>38</v>
      </c>
      <c r="B889" s="12" t="s">
        <v>32</v>
      </c>
      <c r="C889" s="12" t="s">
        <v>33</v>
      </c>
      <c r="D889">
        <v>11</v>
      </c>
      <c r="E889">
        <v>30</v>
      </c>
      <c r="F889">
        <v>7</v>
      </c>
      <c r="G889" t="b">
        <v>0</v>
      </c>
      <c r="H889">
        <v>10.94</v>
      </c>
      <c r="I889">
        <v>124806</v>
      </c>
      <c r="J889">
        <v>4.5</v>
      </c>
      <c r="K889">
        <v>1.3</v>
      </c>
      <c r="L889">
        <v>753</v>
      </c>
      <c r="M889">
        <v>1980</v>
      </c>
      <c r="N889">
        <v>19</v>
      </c>
      <c r="O889">
        <v>2.6294820717131473</v>
      </c>
    </row>
    <row r="890" spans="1:15" x14ac:dyDescent="0.3">
      <c r="A890" s="13" t="s">
        <v>38</v>
      </c>
      <c r="B890" s="12" t="s">
        <v>32</v>
      </c>
      <c r="C890" s="12" t="s">
        <v>33</v>
      </c>
      <c r="D890">
        <v>21</v>
      </c>
      <c r="E890">
        <v>31</v>
      </c>
      <c r="F890">
        <v>7</v>
      </c>
      <c r="G890" t="b">
        <v>0</v>
      </c>
      <c r="H890">
        <v>10.94</v>
      </c>
      <c r="I890">
        <v>124806</v>
      </c>
      <c r="J890">
        <v>4.5</v>
      </c>
      <c r="K890">
        <v>1.3</v>
      </c>
      <c r="L890">
        <v>3600</v>
      </c>
      <c r="M890">
        <v>0</v>
      </c>
      <c r="N890">
        <v>10</v>
      </c>
      <c r="O890">
        <v>0</v>
      </c>
    </row>
    <row r="891" spans="1:15" x14ac:dyDescent="0.3">
      <c r="A891" s="13" t="s">
        <v>38</v>
      </c>
      <c r="B891" s="12" t="s">
        <v>32</v>
      </c>
      <c r="C891" s="12" t="s">
        <v>33</v>
      </c>
      <c r="D891">
        <v>22</v>
      </c>
      <c r="E891">
        <v>32</v>
      </c>
      <c r="F891">
        <v>8</v>
      </c>
      <c r="G891" t="b">
        <v>1</v>
      </c>
      <c r="H891">
        <v>10.94</v>
      </c>
      <c r="I891">
        <v>69121</v>
      </c>
      <c r="J891">
        <v>4.5</v>
      </c>
      <c r="K891">
        <v>1.1000000000000001</v>
      </c>
      <c r="L891">
        <v>3600</v>
      </c>
      <c r="M891">
        <v>0</v>
      </c>
      <c r="N891">
        <v>10</v>
      </c>
      <c r="O891">
        <v>0</v>
      </c>
    </row>
    <row r="892" spans="1:15" x14ac:dyDescent="0.3">
      <c r="A892" s="13" t="s">
        <v>38</v>
      </c>
      <c r="B892" s="12" t="s">
        <v>32</v>
      </c>
      <c r="C892" s="12" t="s">
        <v>33</v>
      </c>
      <c r="D892">
        <v>21</v>
      </c>
      <c r="E892">
        <v>33</v>
      </c>
      <c r="F892">
        <v>8</v>
      </c>
      <c r="G892" t="b">
        <v>1</v>
      </c>
      <c r="H892">
        <v>10.94</v>
      </c>
      <c r="I892">
        <v>69121</v>
      </c>
      <c r="J892">
        <v>4.5</v>
      </c>
      <c r="K892">
        <v>1.1000000000000001</v>
      </c>
      <c r="L892">
        <v>3600</v>
      </c>
      <c r="M892">
        <v>1980</v>
      </c>
      <c r="N892">
        <v>12</v>
      </c>
      <c r="O892">
        <v>0.55000000000000004</v>
      </c>
    </row>
    <row r="893" spans="1:15" x14ac:dyDescent="0.3">
      <c r="A893" s="13" t="s">
        <v>38</v>
      </c>
      <c r="B893" s="12" t="s">
        <v>32</v>
      </c>
      <c r="C893" s="12" t="s">
        <v>33</v>
      </c>
      <c r="D893">
        <v>22</v>
      </c>
      <c r="E893">
        <v>34</v>
      </c>
      <c r="F893">
        <v>8</v>
      </c>
      <c r="G893" t="b">
        <v>0</v>
      </c>
      <c r="H893">
        <v>10.94</v>
      </c>
      <c r="I893">
        <v>69121</v>
      </c>
      <c r="J893">
        <v>4.5</v>
      </c>
      <c r="K893">
        <v>1.1000000000000001</v>
      </c>
      <c r="L893">
        <v>3600</v>
      </c>
      <c r="M893">
        <v>1980</v>
      </c>
      <c r="N893">
        <v>12</v>
      </c>
      <c r="O893">
        <v>0.55000000000000004</v>
      </c>
    </row>
    <row r="894" spans="1:15" x14ac:dyDescent="0.3">
      <c r="A894" s="13" t="s">
        <v>38</v>
      </c>
      <c r="B894" s="12" t="s">
        <v>32</v>
      </c>
      <c r="C894" s="12" t="s">
        <v>33</v>
      </c>
      <c r="D894">
        <v>22</v>
      </c>
      <c r="E894">
        <v>35</v>
      </c>
      <c r="F894">
        <v>8</v>
      </c>
      <c r="G894" t="b">
        <v>0</v>
      </c>
      <c r="H894">
        <v>10.94</v>
      </c>
      <c r="I894">
        <v>69121</v>
      </c>
      <c r="J894">
        <v>4.5</v>
      </c>
      <c r="K894">
        <v>1.1000000000000001</v>
      </c>
      <c r="L894">
        <v>504</v>
      </c>
      <c r="M894">
        <v>1260</v>
      </c>
      <c r="N894">
        <v>13</v>
      </c>
      <c r="O894">
        <v>2.5</v>
      </c>
    </row>
    <row r="895" spans="1:15" x14ac:dyDescent="0.3">
      <c r="A895" s="13" t="s">
        <v>38</v>
      </c>
      <c r="B895" s="12" t="s">
        <v>32</v>
      </c>
      <c r="C895" s="12" t="s">
        <v>33</v>
      </c>
      <c r="D895">
        <v>18</v>
      </c>
      <c r="E895">
        <v>36</v>
      </c>
      <c r="F895">
        <v>9</v>
      </c>
      <c r="G895" t="b">
        <v>0</v>
      </c>
      <c r="H895">
        <v>10.94</v>
      </c>
      <c r="I895">
        <v>121666</v>
      </c>
      <c r="J895">
        <v>4.5</v>
      </c>
      <c r="K895">
        <v>0.7</v>
      </c>
      <c r="L895">
        <v>504</v>
      </c>
      <c r="M895">
        <v>1440</v>
      </c>
      <c r="N895">
        <v>18</v>
      </c>
      <c r="O895">
        <v>2.8571428571428572</v>
      </c>
    </row>
    <row r="896" spans="1:15" x14ac:dyDescent="0.3">
      <c r="A896" s="13" t="s">
        <v>38</v>
      </c>
      <c r="B896" s="12" t="s">
        <v>32</v>
      </c>
      <c r="C896" s="12" t="s">
        <v>33</v>
      </c>
      <c r="D896">
        <v>18</v>
      </c>
      <c r="E896">
        <v>37</v>
      </c>
      <c r="F896">
        <v>9</v>
      </c>
      <c r="G896" t="b">
        <v>0</v>
      </c>
      <c r="H896">
        <v>10.94</v>
      </c>
      <c r="I896">
        <v>121666</v>
      </c>
      <c r="J896">
        <v>4.5</v>
      </c>
      <c r="K896">
        <v>0.7</v>
      </c>
      <c r="L896">
        <v>504</v>
      </c>
      <c r="M896">
        <v>360</v>
      </c>
      <c r="N896">
        <v>19</v>
      </c>
      <c r="O896">
        <v>0.7142857142857143</v>
      </c>
    </row>
    <row r="897" spans="1:15" x14ac:dyDescent="0.3">
      <c r="A897" s="13" t="s">
        <v>38</v>
      </c>
      <c r="B897" s="12" t="s">
        <v>32</v>
      </c>
      <c r="C897" s="12" t="s">
        <v>33</v>
      </c>
      <c r="D897">
        <v>18</v>
      </c>
      <c r="E897">
        <v>38</v>
      </c>
      <c r="F897">
        <v>9</v>
      </c>
      <c r="G897" t="b">
        <v>0</v>
      </c>
      <c r="H897">
        <v>10.94</v>
      </c>
      <c r="I897">
        <v>121666</v>
      </c>
      <c r="J897">
        <v>3.9</v>
      </c>
      <c r="K897">
        <v>0.7</v>
      </c>
      <c r="L897">
        <v>504</v>
      </c>
      <c r="M897">
        <v>1440</v>
      </c>
      <c r="N897">
        <v>20</v>
      </c>
      <c r="O897">
        <v>2.8571428571428572</v>
      </c>
    </row>
    <row r="898" spans="1:15" x14ac:dyDescent="0.3">
      <c r="A898" s="13" t="s">
        <v>38</v>
      </c>
      <c r="B898" s="12" t="s">
        <v>32</v>
      </c>
      <c r="C898" s="12" t="s">
        <v>33</v>
      </c>
      <c r="D898">
        <v>21</v>
      </c>
      <c r="E898">
        <v>39</v>
      </c>
      <c r="F898">
        <v>9</v>
      </c>
      <c r="G898" t="b">
        <v>0</v>
      </c>
      <c r="H898">
        <v>10.94</v>
      </c>
      <c r="I898">
        <v>121666</v>
      </c>
      <c r="J898">
        <v>3.9</v>
      </c>
      <c r="K898">
        <v>0.7</v>
      </c>
      <c r="L898">
        <v>2295</v>
      </c>
      <c r="M898">
        <v>1440</v>
      </c>
      <c r="N898">
        <v>18</v>
      </c>
      <c r="O898">
        <v>0.62745098039215685</v>
      </c>
    </row>
    <row r="899" spans="1:15" x14ac:dyDescent="0.3">
      <c r="A899" s="13" t="s">
        <v>38</v>
      </c>
      <c r="B899" s="12" t="s">
        <v>32</v>
      </c>
      <c r="C899" s="12" t="s">
        <v>33</v>
      </c>
      <c r="D899">
        <v>21</v>
      </c>
      <c r="E899">
        <v>40</v>
      </c>
      <c r="F899">
        <v>9</v>
      </c>
      <c r="G899" t="b">
        <v>0</v>
      </c>
      <c r="H899">
        <v>10.94</v>
      </c>
      <c r="I899">
        <v>121666</v>
      </c>
      <c r="J899">
        <v>3.9</v>
      </c>
      <c r="K899">
        <v>0.7</v>
      </c>
      <c r="L899">
        <v>2295</v>
      </c>
      <c r="M899">
        <v>360</v>
      </c>
      <c r="N899">
        <v>19</v>
      </c>
      <c r="O899">
        <v>0.15686274509803921</v>
      </c>
    </row>
    <row r="900" spans="1:15" x14ac:dyDescent="0.3">
      <c r="A900" s="13" t="s">
        <v>38</v>
      </c>
      <c r="B900" s="12" t="s">
        <v>32</v>
      </c>
      <c r="C900" s="12" t="s">
        <v>33</v>
      </c>
      <c r="D900">
        <v>21</v>
      </c>
      <c r="E900">
        <v>41</v>
      </c>
      <c r="F900">
        <v>10</v>
      </c>
      <c r="G900" t="b">
        <v>0</v>
      </c>
      <c r="H900">
        <v>10.94</v>
      </c>
      <c r="I900">
        <v>126488</v>
      </c>
      <c r="J900">
        <v>3.9</v>
      </c>
      <c r="K900">
        <v>0.9</v>
      </c>
      <c r="L900">
        <v>2295</v>
      </c>
      <c r="M900">
        <v>720</v>
      </c>
      <c r="N900">
        <v>20</v>
      </c>
      <c r="O900">
        <v>0.31372549019607843</v>
      </c>
    </row>
    <row r="901" spans="1:15" x14ac:dyDescent="0.3">
      <c r="A901" s="13" t="s">
        <v>38</v>
      </c>
      <c r="B901" s="12" t="s">
        <v>32</v>
      </c>
      <c r="C901" s="12" t="s">
        <v>33</v>
      </c>
      <c r="D901">
        <v>21</v>
      </c>
      <c r="E901">
        <v>42</v>
      </c>
      <c r="F901">
        <v>10</v>
      </c>
      <c r="G901" t="b">
        <v>0</v>
      </c>
      <c r="H901">
        <v>10.94</v>
      </c>
      <c r="I901">
        <v>126488</v>
      </c>
      <c r="J901">
        <v>3.9</v>
      </c>
      <c r="K901">
        <v>0.9</v>
      </c>
      <c r="L901">
        <v>2295</v>
      </c>
      <c r="M901">
        <v>4320</v>
      </c>
      <c r="N901">
        <v>21</v>
      </c>
      <c r="O901">
        <v>1.8823529411764706</v>
      </c>
    </row>
    <row r="902" spans="1:15" x14ac:dyDescent="0.3">
      <c r="A902" s="13" t="s">
        <v>38</v>
      </c>
      <c r="B902" s="12" t="s">
        <v>32</v>
      </c>
      <c r="C902" s="12" t="s">
        <v>33</v>
      </c>
      <c r="D902">
        <v>21</v>
      </c>
      <c r="E902">
        <v>43</v>
      </c>
      <c r="F902">
        <v>10</v>
      </c>
      <c r="G902" t="b">
        <v>0</v>
      </c>
      <c r="H902">
        <v>10.94</v>
      </c>
      <c r="I902">
        <v>126488</v>
      </c>
      <c r="J902">
        <v>3.65</v>
      </c>
      <c r="K902">
        <v>0.9</v>
      </c>
      <c r="L902">
        <v>2295</v>
      </c>
      <c r="M902">
        <v>180</v>
      </c>
      <c r="N902">
        <v>22</v>
      </c>
      <c r="O902">
        <v>7.8431372549019607E-2</v>
      </c>
    </row>
    <row r="903" spans="1:15" x14ac:dyDescent="0.3">
      <c r="A903" s="13" t="s">
        <v>38</v>
      </c>
      <c r="B903" s="12" t="s">
        <v>32</v>
      </c>
      <c r="C903" s="12" t="s">
        <v>33</v>
      </c>
      <c r="D903">
        <v>21</v>
      </c>
      <c r="E903">
        <v>44</v>
      </c>
      <c r="F903">
        <v>10</v>
      </c>
      <c r="G903" t="b">
        <v>1</v>
      </c>
      <c r="H903">
        <v>10.94</v>
      </c>
      <c r="I903">
        <v>126488</v>
      </c>
      <c r="J903">
        <v>3.65</v>
      </c>
      <c r="K903">
        <v>0.9</v>
      </c>
      <c r="L903">
        <v>2025</v>
      </c>
      <c r="M903">
        <v>0</v>
      </c>
      <c r="N903">
        <v>23</v>
      </c>
      <c r="O903">
        <v>0</v>
      </c>
    </row>
    <row r="904" spans="1:15" x14ac:dyDescent="0.3">
      <c r="A904" s="13" t="s">
        <v>38</v>
      </c>
      <c r="B904" s="12" t="s">
        <v>32</v>
      </c>
      <c r="C904" s="12" t="s">
        <v>33</v>
      </c>
      <c r="D904">
        <v>21</v>
      </c>
      <c r="E904">
        <v>45</v>
      </c>
      <c r="F904">
        <v>11</v>
      </c>
      <c r="G904" t="b">
        <v>0</v>
      </c>
      <c r="H904">
        <v>10.94</v>
      </c>
      <c r="I904">
        <v>124251</v>
      </c>
      <c r="J904">
        <v>3.65</v>
      </c>
      <c r="K904">
        <v>1.3</v>
      </c>
      <c r="L904">
        <v>2025</v>
      </c>
      <c r="M904">
        <v>1800</v>
      </c>
      <c r="N904">
        <v>24</v>
      </c>
      <c r="O904">
        <v>0.88888888888888884</v>
      </c>
    </row>
    <row r="905" spans="1:15" x14ac:dyDescent="0.3">
      <c r="A905" s="13" t="s">
        <v>38</v>
      </c>
      <c r="B905" s="12" t="s">
        <v>32</v>
      </c>
      <c r="C905" s="12" t="s">
        <v>33</v>
      </c>
      <c r="D905">
        <v>21</v>
      </c>
      <c r="E905">
        <v>46</v>
      </c>
      <c r="F905">
        <v>11</v>
      </c>
      <c r="G905" t="b">
        <v>0</v>
      </c>
      <c r="H905">
        <v>10.94</v>
      </c>
      <c r="I905">
        <v>124251</v>
      </c>
      <c r="J905">
        <v>3.65</v>
      </c>
      <c r="K905">
        <v>1.3</v>
      </c>
      <c r="L905">
        <v>2025</v>
      </c>
      <c r="M905">
        <v>6840</v>
      </c>
      <c r="N905">
        <v>25</v>
      </c>
      <c r="O905">
        <v>3.3777777777777778</v>
      </c>
    </row>
    <row r="906" spans="1:15" x14ac:dyDescent="0.3">
      <c r="A906" s="13" t="s">
        <v>38</v>
      </c>
      <c r="B906" s="12" t="s">
        <v>32</v>
      </c>
      <c r="C906" s="12" t="s">
        <v>33</v>
      </c>
      <c r="D906">
        <v>21</v>
      </c>
      <c r="E906">
        <v>47</v>
      </c>
      <c r="F906">
        <v>11</v>
      </c>
      <c r="G906" t="b">
        <v>0</v>
      </c>
      <c r="H906">
        <v>10.94</v>
      </c>
      <c r="I906">
        <v>124251</v>
      </c>
      <c r="J906">
        <v>3.65</v>
      </c>
      <c r="K906">
        <v>1.3</v>
      </c>
      <c r="L906">
        <v>2025</v>
      </c>
      <c r="M906">
        <v>0</v>
      </c>
      <c r="N906">
        <v>26</v>
      </c>
      <c r="O906">
        <v>0</v>
      </c>
    </row>
    <row r="907" spans="1:15" x14ac:dyDescent="0.3">
      <c r="A907" s="13" t="s">
        <v>38</v>
      </c>
      <c r="B907" s="12" t="s">
        <v>32</v>
      </c>
      <c r="C907" s="12" t="s">
        <v>33</v>
      </c>
      <c r="D907">
        <v>26</v>
      </c>
      <c r="E907">
        <v>48</v>
      </c>
      <c r="F907">
        <v>11</v>
      </c>
      <c r="G907" t="b">
        <v>0</v>
      </c>
      <c r="H907">
        <v>10.94</v>
      </c>
      <c r="I907">
        <v>124251</v>
      </c>
      <c r="J907">
        <v>3.65</v>
      </c>
      <c r="K907">
        <v>1.3</v>
      </c>
      <c r="L907">
        <v>504</v>
      </c>
      <c r="M907">
        <v>0</v>
      </c>
      <c r="N907">
        <v>22</v>
      </c>
      <c r="O907">
        <v>0</v>
      </c>
    </row>
    <row r="908" spans="1:15" x14ac:dyDescent="0.3">
      <c r="A908" s="13" t="s">
        <v>38</v>
      </c>
      <c r="B908" s="12" t="s">
        <v>32</v>
      </c>
      <c r="C908" s="12" t="s">
        <v>33</v>
      </c>
      <c r="D908">
        <v>26</v>
      </c>
      <c r="E908">
        <v>49</v>
      </c>
      <c r="F908">
        <v>12</v>
      </c>
      <c r="G908" t="b">
        <v>1</v>
      </c>
      <c r="H908">
        <v>10.94</v>
      </c>
      <c r="I908">
        <v>105715</v>
      </c>
      <c r="J908">
        <v>3.65</v>
      </c>
      <c r="K908">
        <v>1.3</v>
      </c>
      <c r="L908">
        <v>504</v>
      </c>
      <c r="M908">
        <v>1620</v>
      </c>
      <c r="N908">
        <v>23</v>
      </c>
      <c r="O908">
        <v>3.2142857142857144</v>
      </c>
    </row>
    <row r="909" spans="1:15" x14ac:dyDescent="0.3">
      <c r="A909" s="13" t="s">
        <v>38</v>
      </c>
      <c r="B909" s="12" t="s">
        <v>32</v>
      </c>
      <c r="C909" s="12" t="s">
        <v>33</v>
      </c>
      <c r="D909">
        <v>25</v>
      </c>
      <c r="E909">
        <v>50</v>
      </c>
      <c r="F909">
        <v>12</v>
      </c>
      <c r="G909" t="b">
        <v>0</v>
      </c>
      <c r="H909">
        <v>10.94</v>
      </c>
      <c r="I909">
        <v>105715</v>
      </c>
      <c r="J909">
        <v>3.4</v>
      </c>
      <c r="K909">
        <v>1.3</v>
      </c>
      <c r="L909">
        <v>504</v>
      </c>
      <c r="M909">
        <v>3600</v>
      </c>
      <c r="N909">
        <v>25</v>
      </c>
      <c r="O909">
        <v>7.1428571428571432</v>
      </c>
    </row>
    <row r="910" spans="1:15" x14ac:dyDescent="0.3">
      <c r="A910" s="13" t="s">
        <v>38</v>
      </c>
      <c r="B910" s="12" t="s">
        <v>32</v>
      </c>
      <c r="C910" s="12" t="s">
        <v>33</v>
      </c>
      <c r="D910">
        <v>27</v>
      </c>
      <c r="E910">
        <v>51</v>
      </c>
      <c r="F910">
        <v>12</v>
      </c>
      <c r="G910" t="b">
        <v>0</v>
      </c>
      <c r="H910">
        <v>10.94</v>
      </c>
      <c r="I910">
        <v>105715</v>
      </c>
      <c r="J910">
        <v>3.4</v>
      </c>
      <c r="K910">
        <v>1.3</v>
      </c>
      <c r="L910">
        <v>504</v>
      </c>
      <c r="M910">
        <v>0</v>
      </c>
      <c r="N910">
        <v>24</v>
      </c>
      <c r="O910">
        <v>0</v>
      </c>
    </row>
    <row r="911" spans="1:15" x14ac:dyDescent="0.3">
      <c r="A911" s="13" t="s">
        <v>38</v>
      </c>
      <c r="B911" s="12" t="s">
        <v>32</v>
      </c>
      <c r="C911" s="12" t="s">
        <v>33</v>
      </c>
      <c r="D911">
        <v>28</v>
      </c>
      <c r="E911">
        <v>52</v>
      </c>
      <c r="F911">
        <v>12</v>
      </c>
      <c r="G911" t="b">
        <v>1</v>
      </c>
      <c r="H911">
        <v>10.94</v>
      </c>
      <c r="I911">
        <v>105715</v>
      </c>
      <c r="J911">
        <v>3.4</v>
      </c>
      <c r="K911">
        <v>1.3</v>
      </c>
      <c r="L911">
        <v>504</v>
      </c>
      <c r="M911">
        <v>0</v>
      </c>
      <c r="N911">
        <v>24</v>
      </c>
      <c r="O911">
        <v>0</v>
      </c>
    </row>
    <row r="912" spans="1:15" x14ac:dyDescent="0.3">
      <c r="A912" s="13" t="s">
        <v>38</v>
      </c>
      <c r="B912" s="12" t="s">
        <v>32</v>
      </c>
      <c r="C912" s="12" t="s">
        <v>33</v>
      </c>
      <c r="D912">
        <v>29</v>
      </c>
      <c r="E912">
        <v>1</v>
      </c>
      <c r="F912">
        <v>12</v>
      </c>
      <c r="G912" t="b">
        <v>1</v>
      </c>
      <c r="H912">
        <v>10.94</v>
      </c>
      <c r="I912">
        <v>105715</v>
      </c>
      <c r="J912">
        <v>3.4</v>
      </c>
      <c r="K912">
        <v>1.3</v>
      </c>
      <c r="L912">
        <v>1620</v>
      </c>
      <c r="M912">
        <v>4140</v>
      </c>
      <c r="N912">
        <v>24</v>
      </c>
      <c r="O912">
        <v>2.5555555555555554</v>
      </c>
    </row>
    <row r="913" spans="1:15" x14ac:dyDescent="0.3">
      <c r="A913" s="13" t="s">
        <v>38</v>
      </c>
      <c r="B913" s="12" t="s">
        <v>32</v>
      </c>
      <c r="C913" s="12" t="s">
        <v>33</v>
      </c>
      <c r="D913">
        <v>29</v>
      </c>
      <c r="E913">
        <v>2</v>
      </c>
      <c r="F913">
        <v>1</v>
      </c>
      <c r="G913" t="b">
        <v>1</v>
      </c>
      <c r="H913">
        <v>10.94</v>
      </c>
      <c r="I913">
        <v>133692</v>
      </c>
      <c r="J913">
        <v>3.4</v>
      </c>
      <c r="K913">
        <v>1.5</v>
      </c>
      <c r="L913">
        <v>1620</v>
      </c>
      <c r="M913">
        <v>2160</v>
      </c>
      <c r="N913">
        <v>25</v>
      </c>
      <c r="O913">
        <v>1.3333333333333333</v>
      </c>
    </row>
    <row r="914" spans="1:15" x14ac:dyDescent="0.3">
      <c r="A914" s="13" t="s">
        <v>38</v>
      </c>
      <c r="B914" s="12" t="s">
        <v>32</v>
      </c>
      <c r="C914" s="12" t="s">
        <v>33</v>
      </c>
      <c r="D914">
        <v>30</v>
      </c>
      <c r="E914">
        <v>3</v>
      </c>
      <c r="F914">
        <v>1</v>
      </c>
      <c r="G914" t="b">
        <v>0</v>
      </c>
      <c r="H914">
        <v>10.94</v>
      </c>
      <c r="I914">
        <v>133692</v>
      </c>
      <c r="J914">
        <v>3.4</v>
      </c>
      <c r="K914">
        <v>1.5</v>
      </c>
      <c r="L914">
        <v>1620</v>
      </c>
      <c r="M914">
        <v>2880</v>
      </c>
      <c r="N914">
        <v>25</v>
      </c>
      <c r="O914">
        <v>1.7777777777777777</v>
      </c>
    </row>
    <row r="915" spans="1:15" x14ac:dyDescent="0.3">
      <c r="A915" s="13" t="s">
        <v>38</v>
      </c>
      <c r="B915" s="12" t="s">
        <v>32</v>
      </c>
      <c r="C915" s="12" t="s">
        <v>33</v>
      </c>
      <c r="D915">
        <v>30</v>
      </c>
      <c r="E915">
        <v>4</v>
      </c>
      <c r="F915">
        <v>1</v>
      </c>
      <c r="G915" t="b">
        <v>0</v>
      </c>
      <c r="H915">
        <v>10.94</v>
      </c>
      <c r="I915">
        <v>133692</v>
      </c>
      <c r="J915">
        <v>3.4</v>
      </c>
      <c r="K915">
        <v>1.5</v>
      </c>
      <c r="L915">
        <v>1620</v>
      </c>
      <c r="M915">
        <v>1620</v>
      </c>
      <c r="N915">
        <v>26</v>
      </c>
      <c r="O915">
        <v>1</v>
      </c>
    </row>
    <row r="916" spans="1:15" x14ac:dyDescent="0.3">
      <c r="A916" s="13" t="s">
        <v>38</v>
      </c>
      <c r="B916" s="12" t="s">
        <v>32</v>
      </c>
      <c r="C916" s="12" t="s">
        <v>33</v>
      </c>
      <c r="D916">
        <v>37</v>
      </c>
      <c r="E916">
        <v>5</v>
      </c>
      <c r="F916">
        <v>1</v>
      </c>
      <c r="G916" t="b">
        <v>0</v>
      </c>
      <c r="H916">
        <v>10.94</v>
      </c>
      <c r="I916">
        <v>133692</v>
      </c>
      <c r="J916">
        <v>3.4</v>
      </c>
      <c r="K916">
        <v>1.5</v>
      </c>
      <c r="L916">
        <v>1710</v>
      </c>
      <c r="M916">
        <v>2340</v>
      </c>
      <c r="N916">
        <v>20</v>
      </c>
      <c r="O916">
        <v>1.368421052631579</v>
      </c>
    </row>
    <row r="917" spans="1:15" x14ac:dyDescent="0.3">
      <c r="A917" s="13" t="s">
        <v>38</v>
      </c>
      <c r="B917" s="12" t="s">
        <v>32</v>
      </c>
      <c r="C917" s="12" t="s">
        <v>33</v>
      </c>
      <c r="D917">
        <v>37</v>
      </c>
      <c r="E917">
        <v>6</v>
      </c>
      <c r="F917">
        <v>2</v>
      </c>
      <c r="G917" t="b">
        <v>0</v>
      </c>
      <c r="H917">
        <v>10.94</v>
      </c>
      <c r="I917">
        <v>137922</v>
      </c>
      <c r="J917">
        <v>3.15</v>
      </c>
      <c r="K917">
        <v>1.6</v>
      </c>
      <c r="L917">
        <v>1710</v>
      </c>
      <c r="M917">
        <v>540</v>
      </c>
      <c r="N917">
        <v>21</v>
      </c>
      <c r="O917">
        <v>0.31578947368421051</v>
      </c>
    </row>
    <row r="918" spans="1:15" x14ac:dyDescent="0.3">
      <c r="A918" s="13" t="s">
        <v>38</v>
      </c>
      <c r="B918" s="12" t="s">
        <v>32</v>
      </c>
      <c r="C918" s="12" t="s">
        <v>33</v>
      </c>
      <c r="D918">
        <v>37</v>
      </c>
      <c r="E918">
        <v>7</v>
      </c>
      <c r="F918">
        <v>2</v>
      </c>
      <c r="G918" t="b">
        <v>0</v>
      </c>
      <c r="H918">
        <v>10.94</v>
      </c>
      <c r="I918">
        <v>137922</v>
      </c>
      <c r="J918">
        <v>3.15</v>
      </c>
      <c r="K918">
        <v>1.6</v>
      </c>
      <c r="L918">
        <v>1710</v>
      </c>
      <c r="M918">
        <v>0</v>
      </c>
      <c r="N918">
        <v>22</v>
      </c>
      <c r="O918">
        <v>0</v>
      </c>
    </row>
    <row r="919" spans="1:15" x14ac:dyDescent="0.3">
      <c r="A919" s="13" t="s">
        <v>38</v>
      </c>
      <c r="B919" s="12" t="s">
        <v>32</v>
      </c>
      <c r="C919" s="12" t="s">
        <v>33</v>
      </c>
      <c r="D919">
        <v>37</v>
      </c>
      <c r="E919">
        <v>8</v>
      </c>
      <c r="F919">
        <v>2</v>
      </c>
      <c r="G919" t="b">
        <v>0</v>
      </c>
      <c r="H919">
        <v>10.94</v>
      </c>
      <c r="I919">
        <v>137922</v>
      </c>
      <c r="J919">
        <v>3.15</v>
      </c>
      <c r="K919">
        <v>1.6</v>
      </c>
      <c r="L919">
        <v>1710</v>
      </c>
      <c r="M919">
        <v>1260</v>
      </c>
      <c r="N919">
        <v>23</v>
      </c>
      <c r="O919">
        <v>0.73684210526315785</v>
      </c>
    </row>
    <row r="920" spans="1:15" x14ac:dyDescent="0.3">
      <c r="A920" s="13" t="s">
        <v>38</v>
      </c>
      <c r="B920" s="12" t="s">
        <v>32</v>
      </c>
      <c r="C920" s="12" t="s">
        <v>33</v>
      </c>
      <c r="D920">
        <v>38</v>
      </c>
      <c r="E920">
        <v>9</v>
      </c>
      <c r="F920">
        <v>2</v>
      </c>
      <c r="G920" t="b">
        <v>0</v>
      </c>
      <c r="H920">
        <v>10.94</v>
      </c>
      <c r="I920">
        <v>137922</v>
      </c>
      <c r="J920">
        <v>3.15</v>
      </c>
      <c r="K920">
        <v>1.6</v>
      </c>
      <c r="L920">
        <v>1692</v>
      </c>
      <c r="M920">
        <v>0</v>
      </c>
      <c r="N920">
        <v>23</v>
      </c>
      <c r="O920">
        <v>0</v>
      </c>
    </row>
    <row r="921" spans="1:15" x14ac:dyDescent="0.3">
      <c r="A921" s="13" t="s">
        <v>38</v>
      </c>
      <c r="B921" s="12" t="s">
        <v>32</v>
      </c>
      <c r="C921" s="12" t="s">
        <v>33</v>
      </c>
      <c r="D921">
        <v>38</v>
      </c>
      <c r="E921">
        <v>10</v>
      </c>
      <c r="F921">
        <v>3</v>
      </c>
      <c r="G921" t="b">
        <v>0</v>
      </c>
      <c r="H921">
        <v>10.94</v>
      </c>
      <c r="I921">
        <v>172223</v>
      </c>
      <c r="J921">
        <v>3.15</v>
      </c>
      <c r="K921">
        <v>1.9</v>
      </c>
      <c r="L921">
        <v>1692</v>
      </c>
      <c r="M921">
        <v>2880</v>
      </c>
      <c r="N921">
        <v>24</v>
      </c>
      <c r="O921">
        <v>1.7021276595744681</v>
      </c>
    </row>
    <row r="922" spans="1:15" x14ac:dyDescent="0.3">
      <c r="A922" s="13" t="s">
        <v>38</v>
      </c>
      <c r="B922" s="12" t="s">
        <v>32</v>
      </c>
      <c r="C922" s="12" t="s">
        <v>33</v>
      </c>
      <c r="D922">
        <v>38</v>
      </c>
      <c r="E922">
        <v>11</v>
      </c>
      <c r="F922">
        <v>3</v>
      </c>
      <c r="G922" t="b">
        <v>0</v>
      </c>
      <c r="H922">
        <v>10.94</v>
      </c>
      <c r="I922">
        <v>172223</v>
      </c>
      <c r="J922">
        <v>2.9</v>
      </c>
      <c r="K922">
        <v>1.9</v>
      </c>
      <c r="L922">
        <v>692</v>
      </c>
      <c r="M922">
        <v>1060</v>
      </c>
      <c r="N922">
        <v>25</v>
      </c>
      <c r="O922">
        <v>1.5317919075144508</v>
      </c>
    </row>
    <row r="923" spans="1:15" x14ac:dyDescent="0.3">
      <c r="A923" s="13" t="s">
        <v>38</v>
      </c>
      <c r="B923" s="12" t="s">
        <v>32</v>
      </c>
      <c r="C923" s="12" t="s">
        <v>33</v>
      </c>
      <c r="D923">
        <v>39</v>
      </c>
      <c r="E923">
        <v>12</v>
      </c>
      <c r="F923">
        <v>3</v>
      </c>
      <c r="G923" t="b">
        <v>0</v>
      </c>
      <c r="H923">
        <v>10.94</v>
      </c>
      <c r="I923">
        <v>172223</v>
      </c>
      <c r="J923">
        <v>2.9</v>
      </c>
      <c r="K923">
        <v>1.9</v>
      </c>
      <c r="L923">
        <v>1692</v>
      </c>
      <c r="M923">
        <v>1620</v>
      </c>
      <c r="N923">
        <v>25</v>
      </c>
      <c r="O923">
        <v>0.95744680851063835</v>
      </c>
    </row>
    <row r="924" spans="1:15" x14ac:dyDescent="0.3">
      <c r="A924" s="13" t="s">
        <v>38</v>
      </c>
      <c r="B924" s="12" t="s">
        <v>32</v>
      </c>
      <c r="C924" s="12" t="s">
        <v>33</v>
      </c>
      <c r="D924">
        <v>44</v>
      </c>
      <c r="E924">
        <v>13</v>
      </c>
      <c r="F924">
        <v>3</v>
      </c>
      <c r="G924" t="b">
        <v>0</v>
      </c>
      <c r="H924">
        <v>10.94</v>
      </c>
      <c r="I924">
        <v>172223</v>
      </c>
      <c r="J924">
        <v>2.9</v>
      </c>
      <c r="K924">
        <v>1.9</v>
      </c>
      <c r="L924">
        <v>1710</v>
      </c>
      <c r="M924">
        <v>1620</v>
      </c>
      <c r="N924">
        <v>21</v>
      </c>
      <c r="O924">
        <v>0.94736842105263153</v>
      </c>
    </row>
    <row r="925" spans="1:15" x14ac:dyDescent="0.3">
      <c r="A925" s="13" t="s">
        <v>38</v>
      </c>
      <c r="B925" s="12" t="s">
        <v>32</v>
      </c>
      <c r="C925" s="12" t="s">
        <v>33</v>
      </c>
      <c r="D925">
        <v>45</v>
      </c>
      <c r="E925">
        <v>14</v>
      </c>
      <c r="F925">
        <v>3</v>
      </c>
      <c r="G925" t="b">
        <v>0</v>
      </c>
      <c r="H925">
        <v>10.94</v>
      </c>
      <c r="I925">
        <v>172223</v>
      </c>
      <c r="J925">
        <v>2.9</v>
      </c>
      <c r="K925">
        <v>1.9</v>
      </c>
      <c r="L925">
        <v>1710</v>
      </c>
      <c r="M925">
        <v>2160</v>
      </c>
      <c r="N925">
        <v>21</v>
      </c>
      <c r="O925">
        <v>1.263157894736842</v>
      </c>
    </row>
    <row r="926" spans="1:15" x14ac:dyDescent="0.3">
      <c r="A926" s="13" t="s">
        <v>38</v>
      </c>
      <c r="B926" s="12" t="s">
        <v>32</v>
      </c>
      <c r="C926" s="12" t="s">
        <v>33</v>
      </c>
      <c r="D926">
        <v>46</v>
      </c>
      <c r="E926">
        <v>15</v>
      </c>
      <c r="F926">
        <v>4</v>
      </c>
      <c r="G926" t="b">
        <v>0</v>
      </c>
      <c r="H926">
        <v>10.94</v>
      </c>
      <c r="I926">
        <v>139084</v>
      </c>
      <c r="J926">
        <v>2.9</v>
      </c>
      <c r="K926">
        <v>1.9</v>
      </c>
      <c r="L926">
        <v>1710</v>
      </c>
      <c r="M926">
        <v>2340</v>
      </c>
      <c r="N926">
        <v>21</v>
      </c>
      <c r="O926">
        <v>1.368421052631579</v>
      </c>
    </row>
    <row r="927" spans="1:15" x14ac:dyDescent="0.3">
      <c r="A927" s="13" t="s">
        <v>38</v>
      </c>
      <c r="B927" s="12" t="s">
        <v>32</v>
      </c>
      <c r="C927" s="12" t="s">
        <v>33</v>
      </c>
      <c r="D927">
        <v>47</v>
      </c>
      <c r="E927">
        <v>16</v>
      </c>
      <c r="F927">
        <v>4</v>
      </c>
      <c r="G927" t="b">
        <v>0</v>
      </c>
      <c r="H927">
        <v>10.94</v>
      </c>
      <c r="I927">
        <v>139084</v>
      </c>
      <c r="J927">
        <v>2.9</v>
      </c>
      <c r="K927">
        <v>1.9</v>
      </c>
      <c r="L927">
        <v>1710</v>
      </c>
      <c r="M927">
        <v>2160</v>
      </c>
      <c r="N927">
        <v>21</v>
      </c>
      <c r="O927">
        <v>1.263157894736842</v>
      </c>
    </row>
    <row r="928" spans="1:15" x14ac:dyDescent="0.3">
      <c r="A928" s="13" t="s">
        <v>38</v>
      </c>
      <c r="B928" s="12" t="s">
        <v>32</v>
      </c>
      <c r="C928" s="12" t="s">
        <v>33</v>
      </c>
      <c r="D928">
        <v>1</v>
      </c>
      <c r="E928">
        <v>17</v>
      </c>
      <c r="F928">
        <v>4</v>
      </c>
      <c r="G928" t="b">
        <v>1</v>
      </c>
      <c r="H928">
        <v>10.94</v>
      </c>
      <c r="I928">
        <v>139084</v>
      </c>
      <c r="J928">
        <v>2.65</v>
      </c>
      <c r="K928">
        <v>1.9</v>
      </c>
      <c r="L928">
        <v>1395</v>
      </c>
      <c r="M928">
        <v>2340</v>
      </c>
      <c r="N928">
        <v>16</v>
      </c>
      <c r="O928">
        <v>1.6774193548387097</v>
      </c>
    </row>
    <row r="929" spans="1:15" x14ac:dyDescent="0.3">
      <c r="A929" s="13" t="s">
        <v>38</v>
      </c>
      <c r="B929" s="12" t="s">
        <v>32</v>
      </c>
      <c r="C929" s="12" t="s">
        <v>33</v>
      </c>
      <c r="D929">
        <v>1</v>
      </c>
      <c r="E929">
        <v>18</v>
      </c>
      <c r="F929">
        <v>4</v>
      </c>
      <c r="G929" t="b">
        <v>1</v>
      </c>
      <c r="H929">
        <v>10.94</v>
      </c>
      <c r="I929">
        <v>139084</v>
      </c>
      <c r="J929">
        <v>2.65</v>
      </c>
      <c r="K929">
        <v>1.9</v>
      </c>
      <c r="L929">
        <v>1710</v>
      </c>
      <c r="M929">
        <v>1080</v>
      </c>
      <c r="N929">
        <v>17</v>
      </c>
      <c r="O929">
        <v>0.63157894736842102</v>
      </c>
    </row>
    <row r="930" spans="1:15" x14ac:dyDescent="0.3">
      <c r="A930" s="13" t="s">
        <v>38</v>
      </c>
      <c r="B930" s="12" t="s">
        <v>32</v>
      </c>
      <c r="C930" s="12" t="s">
        <v>33</v>
      </c>
      <c r="D930">
        <v>2</v>
      </c>
      <c r="E930">
        <v>19</v>
      </c>
      <c r="F930">
        <v>5</v>
      </c>
      <c r="G930" t="b">
        <v>0</v>
      </c>
      <c r="H930">
        <v>10.94</v>
      </c>
      <c r="I930">
        <v>139390</v>
      </c>
      <c r="J930">
        <v>2.65</v>
      </c>
      <c r="K930">
        <v>1.6</v>
      </c>
      <c r="L930">
        <v>1710</v>
      </c>
      <c r="M930">
        <v>1080</v>
      </c>
      <c r="N930">
        <v>17</v>
      </c>
      <c r="O930">
        <v>0.63157894736842102</v>
      </c>
    </row>
    <row r="931" spans="1:15" x14ac:dyDescent="0.3">
      <c r="A931" s="13" t="s">
        <v>38</v>
      </c>
      <c r="B931" s="12" t="s">
        <v>32</v>
      </c>
      <c r="C931" s="12" t="s">
        <v>33</v>
      </c>
      <c r="D931">
        <v>2</v>
      </c>
      <c r="E931">
        <v>20</v>
      </c>
      <c r="F931">
        <v>5</v>
      </c>
      <c r="G931" t="b">
        <v>0</v>
      </c>
      <c r="H931">
        <v>10.94</v>
      </c>
      <c r="I931">
        <v>139390</v>
      </c>
      <c r="J931">
        <v>2.65</v>
      </c>
      <c r="K931">
        <v>1.6</v>
      </c>
      <c r="L931">
        <v>1710</v>
      </c>
      <c r="M931">
        <v>2160</v>
      </c>
      <c r="N931">
        <v>18</v>
      </c>
      <c r="O931">
        <v>1.263157894736842</v>
      </c>
    </row>
    <row r="932" spans="1:15" x14ac:dyDescent="0.3">
      <c r="A932" s="13" t="s">
        <v>38</v>
      </c>
      <c r="B932" s="12" t="s">
        <v>32</v>
      </c>
      <c r="C932" s="12" t="s">
        <v>33</v>
      </c>
      <c r="D932">
        <v>2</v>
      </c>
      <c r="E932">
        <v>21</v>
      </c>
      <c r="F932">
        <v>5</v>
      </c>
      <c r="G932" t="b">
        <v>0</v>
      </c>
      <c r="H932">
        <v>10.94</v>
      </c>
      <c r="I932">
        <v>139390</v>
      </c>
      <c r="J932">
        <v>2.65</v>
      </c>
      <c r="K932">
        <v>1.6</v>
      </c>
      <c r="L932">
        <v>1710</v>
      </c>
      <c r="M932">
        <v>1620</v>
      </c>
      <c r="N932">
        <v>19</v>
      </c>
      <c r="O932">
        <v>0.94736842105263153</v>
      </c>
    </row>
    <row r="933" spans="1:15" x14ac:dyDescent="0.3">
      <c r="A933" s="13" t="s">
        <v>38</v>
      </c>
      <c r="B933" s="12" t="s">
        <v>32</v>
      </c>
      <c r="C933" s="12" t="s">
        <v>33</v>
      </c>
      <c r="D933">
        <v>6</v>
      </c>
      <c r="E933">
        <v>22</v>
      </c>
      <c r="F933">
        <v>5</v>
      </c>
      <c r="G933" t="b">
        <v>0</v>
      </c>
      <c r="H933">
        <v>10.94</v>
      </c>
      <c r="I933">
        <v>139390</v>
      </c>
      <c r="J933">
        <v>2.65</v>
      </c>
      <c r="K933">
        <v>1.6</v>
      </c>
      <c r="L933">
        <v>1728</v>
      </c>
      <c r="M933">
        <v>1980</v>
      </c>
      <c r="N933">
        <v>16</v>
      </c>
      <c r="O933">
        <v>1.1458333333333333</v>
      </c>
    </row>
    <row r="934" spans="1:15" x14ac:dyDescent="0.3">
      <c r="A934" s="13" t="s">
        <v>38</v>
      </c>
      <c r="B934" s="12" t="s">
        <v>32</v>
      </c>
      <c r="C934" s="12" t="s">
        <v>33</v>
      </c>
      <c r="D934">
        <v>6</v>
      </c>
      <c r="E934">
        <v>23</v>
      </c>
      <c r="F934">
        <v>5</v>
      </c>
      <c r="G934" t="b">
        <v>1</v>
      </c>
      <c r="H934">
        <v>10.94</v>
      </c>
      <c r="I934">
        <v>139390</v>
      </c>
      <c r="J934">
        <v>2.4</v>
      </c>
      <c r="K934">
        <v>1.6</v>
      </c>
      <c r="L934">
        <v>1728</v>
      </c>
      <c r="M934">
        <v>2160</v>
      </c>
      <c r="N934">
        <v>17</v>
      </c>
      <c r="O934">
        <v>1.25</v>
      </c>
    </row>
    <row r="935" spans="1:15" x14ac:dyDescent="0.3">
      <c r="A935" s="13" t="s">
        <v>38</v>
      </c>
      <c r="B935" s="12" t="s">
        <v>32</v>
      </c>
      <c r="C935" s="12" t="s">
        <v>33</v>
      </c>
      <c r="D935">
        <v>6</v>
      </c>
      <c r="E935">
        <v>24</v>
      </c>
      <c r="F935">
        <v>6</v>
      </c>
      <c r="G935" t="b">
        <v>0</v>
      </c>
      <c r="H935">
        <v>10.94</v>
      </c>
      <c r="I935">
        <v>132191</v>
      </c>
      <c r="J935">
        <v>2.4</v>
      </c>
      <c r="K935">
        <v>1.7</v>
      </c>
      <c r="L935">
        <v>1728</v>
      </c>
      <c r="M935">
        <v>2340</v>
      </c>
      <c r="N935">
        <v>18</v>
      </c>
      <c r="O935">
        <v>1.3541666666666667</v>
      </c>
    </row>
    <row r="936" spans="1:15" x14ac:dyDescent="0.3">
      <c r="A936" s="13" t="s">
        <v>38</v>
      </c>
      <c r="B936" s="12" t="s">
        <v>32</v>
      </c>
      <c r="C936" s="12" t="s">
        <v>33</v>
      </c>
      <c r="D936">
        <v>6</v>
      </c>
      <c r="E936">
        <v>25</v>
      </c>
      <c r="F936">
        <v>6</v>
      </c>
      <c r="G936" t="b">
        <v>0</v>
      </c>
      <c r="H936">
        <v>10.94</v>
      </c>
      <c r="I936">
        <v>132191</v>
      </c>
      <c r="J936">
        <v>2.4</v>
      </c>
      <c r="K936">
        <v>1.7</v>
      </c>
      <c r="L936">
        <v>1728</v>
      </c>
      <c r="M936">
        <v>1260</v>
      </c>
      <c r="N936">
        <v>19</v>
      </c>
      <c r="O936">
        <v>0.72916666666666663</v>
      </c>
    </row>
    <row r="937" spans="1:15" x14ac:dyDescent="0.3">
      <c r="A937" s="13" t="s">
        <v>38</v>
      </c>
      <c r="B937" s="12" t="s">
        <v>32</v>
      </c>
      <c r="C937" s="12" t="s">
        <v>33</v>
      </c>
      <c r="D937">
        <v>7</v>
      </c>
      <c r="E937">
        <v>26</v>
      </c>
      <c r="F937">
        <v>6</v>
      </c>
      <c r="G937" t="b">
        <v>0</v>
      </c>
      <c r="H937">
        <v>10.94</v>
      </c>
      <c r="I937">
        <v>132191</v>
      </c>
      <c r="J937">
        <v>2.4</v>
      </c>
      <c r="K937">
        <v>1.7</v>
      </c>
      <c r="L937">
        <v>1728</v>
      </c>
      <c r="M937">
        <v>1260</v>
      </c>
      <c r="N937">
        <v>19</v>
      </c>
      <c r="O937">
        <v>0.72916666666666663</v>
      </c>
    </row>
    <row r="938" spans="1:15" x14ac:dyDescent="0.3">
      <c r="A938" s="13" t="s">
        <v>39</v>
      </c>
      <c r="B938" s="12" t="s">
        <v>32</v>
      </c>
      <c r="C938" s="12" t="s">
        <v>33</v>
      </c>
      <c r="D938">
        <v>11</v>
      </c>
      <c r="E938">
        <v>27</v>
      </c>
      <c r="F938">
        <v>7</v>
      </c>
      <c r="G938" t="b">
        <v>0</v>
      </c>
      <c r="H938">
        <v>10.96</v>
      </c>
      <c r="I938">
        <v>124806</v>
      </c>
      <c r="J938">
        <v>4.5</v>
      </c>
      <c r="K938">
        <v>1.3</v>
      </c>
      <c r="L938">
        <v>732</v>
      </c>
      <c r="M938">
        <v>3960</v>
      </c>
      <c r="N938">
        <v>16</v>
      </c>
      <c r="O938">
        <v>5.4098360655737707</v>
      </c>
    </row>
    <row r="939" spans="1:15" x14ac:dyDescent="0.3">
      <c r="A939" s="13" t="s">
        <v>39</v>
      </c>
      <c r="B939" s="12" t="s">
        <v>32</v>
      </c>
      <c r="C939" s="12" t="s">
        <v>33</v>
      </c>
      <c r="D939">
        <v>12</v>
      </c>
      <c r="E939">
        <v>28</v>
      </c>
      <c r="F939">
        <v>7</v>
      </c>
      <c r="G939" t="b">
        <v>0</v>
      </c>
      <c r="H939">
        <v>10.96</v>
      </c>
      <c r="I939">
        <v>124806</v>
      </c>
      <c r="J939">
        <v>4.5</v>
      </c>
      <c r="K939">
        <v>1.3</v>
      </c>
      <c r="L939">
        <v>732</v>
      </c>
      <c r="M939">
        <v>1080</v>
      </c>
      <c r="N939">
        <v>16</v>
      </c>
      <c r="O939">
        <v>1.4754098360655739</v>
      </c>
    </row>
    <row r="940" spans="1:15" x14ac:dyDescent="0.3">
      <c r="A940" s="13" t="s">
        <v>39</v>
      </c>
      <c r="B940" s="12" t="s">
        <v>32</v>
      </c>
      <c r="C940" s="12" t="s">
        <v>33</v>
      </c>
      <c r="D940">
        <v>10</v>
      </c>
      <c r="E940">
        <v>29</v>
      </c>
      <c r="F940">
        <v>7</v>
      </c>
      <c r="G940" t="b">
        <v>0</v>
      </c>
      <c r="H940">
        <v>10.96</v>
      </c>
      <c r="I940">
        <v>124806</v>
      </c>
      <c r="J940">
        <v>4.5</v>
      </c>
      <c r="K940">
        <v>1.3</v>
      </c>
      <c r="L940">
        <v>732</v>
      </c>
      <c r="M940">
        <v>11520</v>
      </c>
      <c r="N940">
        <v>19</v>
      </c>
      <c r="O940">
        <v>15.737704918032787</v>
      </c>
    </row>
    <row r="941" spans="1:15" x14ac:dyDescent="0.3">
      <c r="A941" s="13" t="s">
        <v>39</v>
      </c>
      <c r="B941" s="12" t="s">
        <v>32</v>
      </c>
      <c r="C941" s="12" t="s">
        <v>33</v>
      </c>
      <c r="D941">
        <v>12</v>
      </c>
      <c r="E941">
        <v>30</v>
      </c>
      <c r="F941">
        <v>7</v>
      </c>
      <c r="G941" t="b">
        <v>0</v>
      </c>
      <c r="H941">
        <v>10.96</v>
      </c>
      <c r="I941">
        <v>124806</v>
      </c>
      <c r="J941">
        <v>4.5</v>
      </c>
      <c r="K941">
        <v>1.3</v>
      </c>
      <c r="L941">
        <v>732</v>
      </c>
      <c r="M941">
        <v>1980</v>
      </c>
      <c r="N941">
        <v>18</v>
      </c>
      <c r="O941">
        <v>2.7049180327868854</v>
      </c>
    </row>
    <row r="942" spans="1:15" x14ac:dyDescent="0.3">
      <c r="A942" s="13" t="s">
        <v>39</v>
      </c>
      <c r="B942" s="12" t="s">
        <v>32</v>
      </c>
      <c r="C942" s="12" t="s">
        <v>33</v>
      </c>
      <c r="D942">
        <v>23</v>
      </c>
      <c r="E942">
        <v>31</v>
      </c>
      <c r="F942">
        <v>7</v>
      </c>
      <c r="G942" t="b">
        <v>0</v>
      </c>
      <c r="H942">
        <v>10.96</v>
      </c>
      <c r="I942">
        <v>124806</v>
      </c>
      <c r="J942">
        <v>4.5</v>
      </c>
      <c r="K942">
        <v>1.3</v>
      </c>
      <c r="L942">
        <v>3600</v>
      </c>
      <c r="M942">
        <v>1980</v>
      </c>
      <c r="N942">
        <v>8</v>
      </c>
      <c r="O942">
        <v>0.55000000000000004</v>
      </c>
    </row>
    <row r="943" spans="1:15" x14ac:dyDescent="0.3">
      <c r="A943" s="13" t="s">
        <v>39</v>
      </c>
      <c r="B943" s="12" t="s">
        <v>32</v>
      </c>
      <c r="C943" s="12" t="s">
        <v>33</v>
      </c>
      <c r="D943">
        <v>22</v>
      </c>
      <c r="E943">
        <v>32</v>
      </c>
      <c r="F943">
        <v>8</v>
      </c>
      <c r="G943" t="b">
        <v>1</v>
      </c>
      <c r="H943">
        <v>10.96</v>
      </c>
      <c r="I943">
        <v>69121</v>
      </c>
      <c r="J943">
        <v>4.5</v>
      </c>
      <c r="K943">
        <v>1.1000000000000001</v>
      </c>
      <c r="L943">
        <v>3600</v>
      </c>
      <c r="M943">
        <v>0</v>
      </c>
      <c r="N943">
        <v>10</v>
      </c>
      <c r="O943">
        <v>0</v>
      </c>
    </row>
    <row r="944" spans="1:15" x14ac:dyDescent="0.3">
      <c r="A944" s="13" t="s">
        <v>39</v>
      </c>
      <c r="B944" s="12" t="s">
        <v>32</v>
      </c>
      <c r="C944" s="12" t="s">
        <v>33</v>
      </c>
      <c r="D944">
        <v>21</v>
      </c>
      <c r="E944">
        <v>33</v>
      </c>
      <c r="F944">
        <v>8</v>
      </c>
      <c r="G944" t="b">
        <v>1</v>
      </c>
      <c r="H944">
        <v>10.96</v>
      </c>
      <c r="I944">
        <v>69121</v>
      </c>
      <c r="J944">
        <v>4.5</v>
      </c>
      <c r="K944">
        <v>1.1000000000000001</v>
      </c>
      <c r="L944">
        <v>3600</v>
      </c>
      <c r="M944">
        <v>1980</v>
      </c>
      <c r="N944">
        <v>12</v>
      </c>
      <c r="O944">
        <v>0.55000000000000004</v>
      </c>
    </row>
    <row r="945" spans="1:15" x14ac:dyDescent="0.3">
      <c r="A945" s="13" t="s">
        <v>39</v>
      </c>
      <c r="B945" s="12" t="s">
        <v>32</v>
      </c>
      <c r="C945" s="12" t="s">
        <v>33</v>
      </c>
      <c r="D945">
        <v>22</v>
      </c>
      <c r="E945">
        <v>34</v>
      </c>
      <c r="F945">
        <v>8</v>
      </c>
      <c r="G945" t="b">
        <v>0</v>
      </c>
      <c r="H945">
        <v>10.96</v>
      </c>
      <c r="I945">
        <v>69121</v>
      </c>
      <c r="J945">
        <v>4.5</v>
      </c>
      <c r="K945">
        <v>1.1000000000000001</v>
      </c>
      <c r="L945">
        <v>3600</v>
      </c>
      <c r="M945">
        <v>1980</v>
      </c>
      <c r="N945">
        <v>12</v>
      </c>
      <c r="O945">
        <v>0.55000000000000004</v>
      </c>
    </row>
    <row r="946" spans="1:15" x14ac:dyDescent="0.3">
      <c r="A946" s="13" t="s">
        <v>39</v>
      </c>
      <c r="B946" s="12" t="s">
        <v>32</v>
      </c>
      <c r="C946" s="12" t="s">
        <v>33</v>
      </c>
      <c r="D946">
        <v>22</v>
      </c>
      <c r="E946">
        <v>35</v>
      </c>
      <c r="F946">
        <v>8</v>
      </c>
      <c r="G946" t="b">
        <v>0</v>
      </c>
      <c r="H946">
        <v>10.96</v>
      </c>
      <c r="I946">
        <v>69121</v>
      </c>
      <c r="J946">
        <v>4.5</v>
      </c>
      <c r="K946">
        <v>1.1000000000000001</v>
      </c>
      <c r="L946">
        <v>504</v>
      </c>
      <c r="M946">
        <v>1260</v>
      </c>
      <c r="N946">
        <v>13</v>
      </c>
      <c r="O946">
        <v>2.5</v>
      </c>
    </row>
    <row r="947" spans="1:15" x14ac:dyDescent="0.3">
      <c r="A947" s="13" t="s">
        <v>39</v>
      </c>
      <c r="B947" s="12" t="s">
        <v>32</v>
      </c>
      <c r="C947" s="12" t="s">
        <v>33</v>
      </c>
      <c r="D947">
        <v>18</v>
      </c>
      <c r="E947">
        <v>36</v>
      </c>
      <c r="F947">
        <v>9</v>
      </c>
      <c r="G947" t="b">
        <v>0</v>
      </c>
      <c r="H947">
        <v>10.96</v>
      </c>
      <c r="I947">
        <v>121666</v>
      </c>
      <c r="J947">
        <v>4.5</v>
      </c>
      <c r="K947">
        <v>0.7</v>
      </c>
      <c r="L947">
        <v>504</v>
      </c>
      <c r="M947">
        <v>1800</v>
      </c>
      <c r="N947">
        <v>18</v>
      </c>
      <c r="O947">
        <v>3.5714285714285716</v>
      </c>
    </row>
    <row r="948" spans="1:15" x14ac:dyDescent="0.3">
      <c r="A948" s="13" t="s">
        <v>39</v>
      </c>
      <c r="B948" s="12" t="s">
        <v>32</v>
      </c>
      <c r="C948" s="12" t="s">
        <v>33</v>
      </c>
      <c r="D948">
        <v>18</v>
      </c>
      <c r="E948">
        <v>37</v>
      </c>
      <c r="F948">
        <v>9</v>
      </c>
      <c r="G948" t="b">
        <v>0</v>
      </c>
      <c r="H948">
        <v>10.96</v>
      </c>
      <c r="I948">
        <v>121666</v>
      </c>
      <c r="J948">
        <v>4.5</v>
      </c>
      <c r="K948">
        <v>0.7</v>
      </c>
      <c r="L948">
        <v>504</v>
      </c>
      <c r="M948">
        <v>180</v>
      </c>
      <c r="N948">
        <v>19</v>
      </c>
      <c r="O948">
        <v>0.35714285714285715</v>
      </c>
    </row>
    <row r="949" spans="1:15" x14ac:dyDescent="0.3">
      <c r="A949" s="13" t="s">
        <v>39</v>
      </c>
      <c r="B949" s="12" t="s">
        <v>32</v>
      </c>
      <c r="C949" s="12" t="s">
        <v>33</v>
      </c>
      <c r="D949">
        <v>18</v>
      </c>
      <c r="E949">
        <v>38</v>
      </c>
      <c r="F949">
        <v>9</v>
      </c>
      <c r="G949" t="b">
        <v>0</v>
      </c>
      <c r="H949">
        <v>10.96</v>
      </c>
      <c r="I949">
        <v>121666</v>
      </c>
      <c r="J949">
        <v>3.9</v>
      </c>
      <c r="K949">
        <v>0.7</v>
      </c>
      <c r="L949">
        <v>504</v>
      </c>
      <c r="M949">
        <v>1440</v>
      </c>
      <c r="N949">
        <v>20</v>
      </c>
      <c r="O949">
        <v>2.8571428571428572</v>
      </c>
    </row>
    <row r="950" spans="1:15" x14ac:dyDescent="0.3">
      <c r="A950" s="13" t="s">
        <v>39</v>
      </c>
      <c r="B950" s="12" t="s">
        <v>32</v>
      </c>
      <c r="C950" s="12" t="s">
        <v>33</v>
      </c>
      <c r="D950">
        <v>20</v>
      </c>
      <c r="E950">
        <v>39</v>
      </c>
      <c r="F950">
        <v>9</v>
      </c>
      <c r="G950" t="b">
        <v>0</v>
      </c>
      <c r="H950">
        <v>10.96</v>
      </c>
      <c r="I950">
        <v>121666</v>
      </c>
      <c r="J950">
        <v>3.9</v>
      </c>
      <c r="K950">
        <v>0.7</v>
      </c>
      <c r="L950">
        <v>585</v>
      </c>
      <c r="M950">
        <v>1440</v>
      </c>
      <c r="N950">
        <v>19</v>
      </c>
      <c r="O950">
        <v>2.4615384615384617</v>
      </c>
    </row>
    <row r="951" spans="1:15" x14ac:dyDescent="0.3">
      <c r="A951" s="13" t="s">
        <v>39</v>
      </c>
      <c r="B951" s="12" t="s">
        <v>32</v>
      </c>
      <c r="C951" s="12" t="s">
        <v>33</v>
      </c>
      <c r="D951">
        <v>20</v>
      </c>
      <c r="E951">
        <v>40</v>
      </c>
      <c r="F951">
        <v>9</v>
      </c>
      <c r="G951" t="b">
        <v>0</v>
      </c>
      <c r="H951">
        <v>10.96</v>
      </c>
      <c r="I951">
        <v>121666</v>
      </c>
      <c r="J951">
        <v>3.9</v>
      </c>
      <c r="K951">
        <v>0.7</v>
      </c>
      <c r="L951">
        <v>585</v>
      </c>
      <c r="M951">
        <v>360</v>
      </c>
      <c r="N951">
        <v>20</v>
      </c>
      <c r="O951">
        <v>0.61538461538461542</v>
      </c>
    </row>
    <row r="952" spans="1:15" x14ac:dyDescent="0.3">
      <c r="A952" s="13" t="s">
        <v>39</v>
      </c>
      <c r="B952" s="12" t="s">
        <v>32</v>
      </c>
      <c r="C952" s="12" t="s">
        <v>33</v>
      </c>
      <c r="D952">
        <v>20</v>
      </c>
      <c r="E952">
        <v>41</v>
      </c>
      <c r="F952">
        <v>10</v>
      </c>
      <c r="G952" t="b">
        <v>0</v>
      </c>
      <c r="H952">
        <v>10.96</v>
      </c>
      <c r="I952">
        <v>126488</v>
      </c>
      <c r="J952">
        <v>3.9</v>
      </c>
      <c r="K952">
        <v>0.9</v>
      </c>
      <c r="L952">
        <v>585</v>
      </c>
      <c r="M952">
        <v>1080</v>
      </c>
      <c r="N952">
        <v>21</v>
      </c>
      <c r="O952">
        <v>1.8461538461538463</v>
      </c>
    </row>
    <row r="953" spans="1:15" x14ac:dyDescent="0.3">
      <c r="A953" s="13" t="s">
        <v>39</v>
      </c>
      <c r="B953" s="12" t="s">
        <v>32</v>
      </c>
      <c r="C953" s="12" t="s">
        <v>33</v>
      </c>
      <c r="D953">
        <v>20</v>
      </c>
      <c r="E953">
        <v>42</v>
      </c>
      <c r="F953">
        <v>10</v>
      </c>
      <c r="G953" t="b">
        <v>0</v>
      </c>
      <c r="H953">
        <v>10.96</v>
      </c>
      <c r="I953">
        <v>126488</v>
      </c>
      <c r="J953">
        <v>3.9</v>
      </c>
      <c r="K953">
        <v>0.9</v>
      </c>
      <c r="L953">
        <v>585</v>
      </c>
      <c r="M953">
        <v>4680</v>
      </c>
      <c r="N953">
        <v>22</v>
      </c>
      <c r="O953">
        <v>8</v>
      </c>
    </row>
    <row r="954" spans="1:15" x14ac:dyDescent="0.3">
      <c r="A954" s="13" t="s">
        <v>39</v>
      </c>
      <c r="B954" s="12" t="s">
        <v>32</v>
      </c>
      <c r="C954" s="12" t="s">
        <v>33</v>
      </c>
      <c r="D954">
        <v>21</v>
      </c>
      <c r="E954">
        <v>43</v>
      </c>
      <c r="F954">
        <v>10</v>
      </c>
      <c r="G954" t="b">
        <v>0</v>
      </c>
      <c r="H954">
        <v>10.96</v>
      </c>
      <c r="I954">
        <v>126488</v>
      </c>
      <c r="J954">
        <v>3.65</v>
      </c>
      <c r="K954">
        <v>0.9</v>
      </c>
      <c r="L954">
        <v>2880</v>
      </c>
      <c r="M954">
        <v>0</v>
      </c>
      <c r="N954">
        <v>22</v>
      </c>
      <c r="O954">
        <v>0</v>
      </c>
    </row>
    <row r="955" spans="1:15" x14ac:dyDescent="0.3">
      <c r="A955" s="13" t="s">
        <v>39</v>
      </c>
      <c r="B955" s="12" t="s">
        <v>32</v>
      </c>
      <c r="C955" s="12" t="s">
        <v>33</v>
      </c>
      <c r="D955">
        <v>21</v>
      </c>
      <c r="E955">
        <v>44</v>
      </c>
      <c r="F955">
        <v>10</v>
      </c>
      <c r="G955" t="b">
        <v>1</v>
      </c>
      <c r="H955">
        <v>10.96</v>
      </c>
      <c r="I955">
        <v>126488</v>
      </c>
      <c r="J955">
        <v>3.65</v>
      </c>
      <c r="K955">
        <v>0.9</v>
      </c>
      <c r="L955">
        <v>1980</v>
      </c>
      <c r="M955">
        <v>0</v>
      </c>
      <c r="N955">
        <v>23</v>
      </c>
      <c r="O955">
        <v>0</v>
      </c>
    </row>
    <row r="956" spans="1:15" x14ac:dyDescent="0.3">
      <c r="A956" s="13" t="s">
        <v>39</v>
      </c>
      <c r="B956" s="12" t="s">
        <v>32</v>
      </c>
      <c r="C956" s="12" t="s">
        <v>33</v>
      </c>
      <c r="D956">
        <v>21</v>
      </c>
      <c r="E956">
        <v>45</v>
      </c>
      <c r="F956">
        <v>11</v>
      </c>
      <c r="G956" t="b">
        <v>0</v>
      </c>
      <c r="H956">
        <v>10.96</v>
      </c>
      <c r="I956">
        <v>124251</v>
      </c>
      <c r="J956">
        <v>3.65</v>
      </c>
      <c r="K956">
        <v>1.3</v>
      </c>
      <c r="L956">
        <v>1980</v>
      </c>
      <c r="M956">
        <v>1440</v>
      </c>
      <c r="N956">
        <v>24</v>
      </c>
      <c r="O956">
        <v>0.72727272727272729</v>
      </c>
    </row>
    <row r="957" spans="1:15" x14ac:dyDescent="0.3">
      <c r="A957" s="13" t="s">
        <v>39</v>
      </c>
      <c r="B957" s="12" t="s">
        <v>32</v>
      </c>
      <c r="C957" s="12" t="s">
        <v>33</v>
      </c>
      <c r="D957">
        <v>21</v>
      </c>
      <c r="E957">
        <v>46</v>
      </c>
      <c r="F957">
        <v>11</v>
      </c>
      <c r="G957" t="b">
        <v>0</v>
      </c>
      <c r="H957">
        <v>10.96</v>
      </c>
      <c r="I957">
        <v>124251</v>
      </c>
      <c r="J957">
        <v>3.65</v>
      </c>
      <c r="K957">
        <v>1.3</v>
      </c>
      <c r="L957">
        <v>1980</v>
      </c>
      <c r="M957">
        <v>7020</v>
      </c>
      <c r="N957">
        <v>25</v>
      </c>
      <c r="O957">
        <v>3.5454545454545454</v>
      </c>
    </row>
    <row r="958" spans="1:15" x14ac:dyDescent="0.3">
      <c r="A958" s="13" t="s">
        <v>39</v>
      </c>
      <c r="B958" s="12" t="s">
        <v>32</v>
      </c>
      <c r="C958" s="12" t="s">
        <v>33</v>
      </c>
      <c r="D958">
        <v>21</v>
      </c>
      <c r="E958">
        <v>47</v>
      </c>
      <c r="F958">
        <v>11</v>
      </c>
      <c r="G958" t="b">
        <v>0</v>
      </c>
      <c r="H958">
        <v>10.96</v>
      </c>
      <c r="I958">
        <v>124251</v>
      </c>
      <c r="J958">
        <v>3.65</v>
      </c>
      <c r="K958">
        <v>1.3</v>
      </c>
      <c r="L958">
        <v>1980</v>
      </c>
      <c r="M958">
        <v>0</v>
      </c>
      <c r="N958">
        <v>26</v>
      </c>
      <c r="O958">
        <v>0</v>
      </c>
    </row>
    <row r="959" spans="1:15" x14ac:dyDescent="0.3">
      <c r="A959" s="13" t="s">
        <v>39</v>
      </c>
      <c r="B959" s="12" t="s">
        <v>32</v>
      </c>
      <c r="C959" s="12" t="s">
        <v>33</v>
      </c>
      <c r="D959">
        <v>26</v>
      </c>
      <c r="E959">
        <v>48</v>
      </c>
      <c r="F959">
        <v>11</v>
      </c>
      <c r="G959" t="b">
        <v>0</v>
      </c>
      <c r="H959">
        <v>10.96</v>
      </c>
      <c r="I959">
        <v>124251</v>
      </c>
      <c r="J959">
        <v>3.65</v>
      </c>
      <c r="K959">
        <v>1.3</v>
      </c>
      <c r="L959">
        <v>396</v>
      </c>
      <c r="M959">
        <v>0</v>
      </c>
      <c r="N959">
        <v>22</v>
      </c>
      <c r="O959">
        <v>0</v>
      </c>
    </row>
    <row r="960" spans="1:15" x14ac:dyDescent="0.3">
      <c r="A960" s="13" t="s">
        <v>39</v>
      </c>
      <c r="B960" s="12" t="s">
        <v>32</v>
      </c>
      <c r="C960" s="12" t="s">
        <v>33</v>
      </c>
      <c r="D960">
        <v>26</v>
      </c>
      <c r="E960">
        <v>49</v>
      </c>
      <c r="F960">
        <v>12</v>
      </c>
      <c r="G960" t="b">
        <v>1</v>
      </c>
      <c r="H960">
        <v>10.96</v>
      </c>
      <c r="I960">
        <v>105715</v>
      </c>
      <c r="J960">
        <v>3.65</v>
      </c>
      <c r="K960">
        <v>1.3</v>
      </c>
      <c r="L960">
        <v>396</v>
      </c>
      <c r="M960">
        <v>1800</v>
      </c>
      <c r="N960">
        <v>23</v>
      </c>
      <c r="O960">
        <v>4.5454545454545459</v>
      </c>
    </row>
    <row r="961" spans="1:15" x14ac:dyDescent="0.3">
      <c r="A961" s="13" t="s">
        <v>39</v>
      </c>
      <c r="B961" s="12" t="s">
        <v>32</v>
      </c>
      <c r="C961" s="12" t="s">
        <v>33</v>
      </c>
      <c r="D961">
        <v>25</v>
      </c>
      <c r="E961">
        <v>50</v>
      </c>
      <c r="F961">
        <v>12</v>
      </c>
      <c r="G961" t="b">
        <v>0</v>
      </c>
      <c r="H961">
        <v>10.96</v>
      </c>
      <c r="I961">
        <v>105715</v>
      </c>
      <c r="J961">
        <v>3.4</v>
      </c>
      <c r="K961">
        <v>1.3</v>
      </c>
      <c r="L961">
        <v>396</v>
      </c>
      <c r="M961">
        <v>3600</v>
      </c>
      <c r="N961">
        <v>25</v>
      </c>
      <c r="O961">
        <v>9.0909090909090917</v>
      </c>
    </row>
    <row r="962" spans="1:15" x14ac:dyDescent="0.3">
      <c r="A962" s="13" t="s">
        <v>39</v>
      </c>
      <c r="B962" s="12" t="s">
        <v>32</v>
      </c>
      <c r="C962" s="12" t="s">
        <v>33</v>
      </c>
      <c r="D962">
        <v>26</v>
      </c>
      <c r="E962">
        <v>51</v>
      </c>
      <c r="F962">
        <v>12</v>
      </c>
      <c r="G962" t="b">
        <v>0</v>
      </c>
      <c r="H962">
        <v>10.96</v>
      </c>
      <c r="I962">
        <v>105715</v>
      </c>
      <c r="J962">
        <v>3.4</v>
      </c>
      <c r="K962">
        <v>1.3</v>
      </c>
      <c r="L962">
        <v>396</v>
      </c>
      <c r="M962">
        <v>0</v>
      </c>
      <c r="N962">
        <v>25</v>
      </c>
      <c r="O962">
        <v>0</v>
      </c>
    </row>
    <row r="963" spans="1:15" x14ac:dyDescent="0.3">
      <c r="A963" s="13" t="s">
        <v>39</v>
      </c>
      <c r="B963" s="12" t="s">
        <v>32</v>
      </c>
      <c r="C963" s="12" t="s">
        <v>33</v>
      </c>
      <c r="D963">
        <v>27</v>
      </c>
      <c r="E963">
        <v>52</v>
      </c>
      <c r="F963">
        <v>12</v>
      </c>
      <c r="G963" t="b">
        <v>1</v>
      </c>
      <c r="H963">
        <v>10.96</v>
      </c>
      <c r="I963">
        <v>105715</v>
      </c>
      <c r="J963">
        <v>3.4</v>
      </c>
      <c r="K963">
        <v>1.3</v>
      </c>
      <c r="L963">
        <v>396</v>
      </c>
      <c r="M963">
        <v>0</v>
      </c>
      <c r="N963">
        <v>25</v>
      </c>
      <c r="O963">
        <v>0</v>
      </c>
    </row>
    <row r="964" spans="1:15" x14ac:dyDescent="0.3">
      <c r="A964" s="13" t="s">
        <v>39</v>
      </c>
      <c r="B964" s="12" t="s">
        <v>32</v>
      </c>
      <c r="C964" s="12" t="s">
        <v>33</v>
      </c>
      <c r="D964">
        <v>27</v>
      </c>
      <c r="E964">
        <v>1</v>
      </c>
      <c r="F964">
        <v>12</v>
      </c>
      <c r="G964" t="b">
        <v>1</v>
      </c>
      <c r="H964">
        <v>10.96</v>
      </c>
      <c r="I964">
        <v>105715</v>
      </c>
      <c r="J964">
        <v>3.4</v>
      </c>
      <c r="K964">
        <v>1.3</v>
      </c>
      <c r="L964">
        <v>1620</v>
      </c>
      <c r="M964">
        <v>4500</v>
      </c>
      <c r="N964">
        <v>26</v>
      </c>
      <c r="O964">
        <v>2.7777777777777777</v>
      </c>
    </row>
    <row r="965" spans="1:15" x14ac:dyDescent="0.3">
      <c r="A965" s="13" t="s">
        <v>39</v>
      </c>
      <c r="B965" s="12" t="s">
        <v>32</v>
      </c>
      <c r="C965" s="12" t="s">
        <v>33</v>
      </c>
      <c r="D965">
        <v>28</v>
      </c>
      <c r="E965">
        <v>2</v>
      </c>
      <c r="F965">
        <v>1</v>
      </c>
      <c r="G965" t="b">
        <v>1</v>
      </c>
      <c r="H965">
        <v>10.96</v>
      </c>
      <c r="I965">
        <v>133692</v>
      </c>
      <c r="J965">
        <v>3.4</v>
      </c>
      <c r="K965">
        <v>1.5</v>
      </c>
      <c r="L965">
        <v>1620</v>
      </c>
      <c r="M965">
        <v>540</v>
      </c>
      <c r="N965">
        <v>26</v>
      </c>
      <c r="O965">
        <v>0.33333333333333331</v>
      </c>
    </row>
    <row r="966" spans="1:15" x14ac:dyDescent="0.3">
      <c r="A966" s="13" t="s">
        <v>39</v>
      </c>
      <c r="B966" s="12" t="s">
        <v>32</v>
      </c>
      <c r="C966" s="12" t="s">
        <v>33</v>
      </c>
      <c r="D966">
        <v>30</v>
      </c>
      <c r="E966">
        <v>3</v>
      </c>
      <c r="F966">
        <v>1</v>
      </c>
      <c r="G966" t="b">
        <v>0</v>
      </c>
      <c r="H966">
        <v>10.96</v>
      </c>
      <c r="I966">
        <v>133692</v>
      </c>
      <c r="J966">
        <v>3.4</v>
      </c>
      <c r="K966">
        <v>1.5</v>
      </c>
      <c r="L966">
        <v>1620</v>
      </c>
      <c r="M966">
        <v>3960</v>
      </c>
      <c r="N966">
        <v>25</v>
      </c>
      <c r="O966">
        <v>2.4444444444444446</v>
      </c>
    </row>
    <row r="967" spans="1:15" x14ac:dyDescent="0.3">
      <c r="A967" s="13" t="s">
        <v>39</v>
      </c>
      <c r="B967" s="12" t="s">
        <v>32</v>
      </c>
      <c r="C967" s="12" t="s">
        <v>33</v>
      </c>
      <c r="D967">
        <v>30</v>
      </c>
      <c r="E967">
        <v>4</v>
      </c>
      <c r="F967">
        <v>1</v>
      </c>
      <c r="G967" t="b">
        <v>0</v>
      </c>
      <c r="H967">
        <v>10.96</v>
      </c>
      <c r="I967">
        <v>133692</v>
      </c>
      <c r="J967">
        <v>3.4</v>
      </c>
      <c r="K967">
        <v>1.5</v>
      </c>
      <c r="L967">
        <v>1620</v>
      </c>
      <c r="M967">
        <v>540</v>
      </c>
      <c r="N967">
        <v>26</v>
      </c>
      <c r="O967">
        <v>0.33333333333333331</v>
      </c>
    </row>
    <row r="968" spans="1:15" x14ac:dyDescent="0.3">
      <c r="A968" s="13" t="s">
        <v>39</v>
      </c>
      <c r="B968" s="12" t="s">
        <v>32</v>
      </c>
      <c r="C968" s="12" t="s">
        <v>33</v>
      </c>
      <c r="D968">
        <v>37</v>
      </c>
      <c r="E968">
        <v>5</v>
      </c>
      <c r="F968">
        <v>1</v>
      </c>
      <c r="G968" t="b">
        <v>0</v>
      </c>
      <c r="H968">
        <v>10.96</v>
      </c>
      <c r="I968">
        <v>133692</v>
      </c>
      <c r="J968">
        <v>3.4</v>
      </c>
      <c r="K968">
        <v>1.5</v>
      </c>
      <c r="L968">
        <v>1665</v>
      </c>
      <c r="M968">
        <v>3600</v>
      </c>
      <c r="N968">
        <v>20</v>
      </c>
      <c r="O968">
        <v>2.1621621621621623</v>
      </c>
    </row>
    <row r="969" spans="1:15" x14ac:dyDescent="0.3">
      <c r="A969" s="13" t="s">
        <v>39</v>
      </c>
      <c r="B969" s="12" t="s">
        <v>32</v>
      </c>
      <c r="C969" s="12" t="s">
        <v>33</v>
      </c>
      <c r="D969">
        <v>37</v>
      </c>
      <c r="E969">
        <v>6</v>
      </c>
      <c r="F969">
        <v>2</v>
      </c>
      <c r="G969" t="b">
        <v>0</v>
      </c>
      <c r="H969">
        <v>10.96</v>
      </c>
      <c r="I969">
        <v>137922</v>
      </c>
      <c r="J969">
        <v>3.15</v>
      </c>
      <c r="K969">
        <v>1.6</v>
      </c>
      <c r="L969">
        <v>1665</v>
      </c>
      <c r="M969">
        <v>900</v>
      </c>
      <c r="N969">
        <v>21</v>
      </c>
      <c r="O969">
        <v>0.54054054054054057</v>
      </c>
    </row>
    <row r="970" spans="1:15" x14ac:dyDescent="0.3">
      <c r="A970" s="13" t="s">
        <v>39</v>
      </c>
      <c r="B970" s="12" t="s">
        <v>32</v>
      </c>
      <c r="C970" s="12" t="s">
        <v>33</v>
      </c>
      <c r="D970">
        <v>37</v>
      </c>
      <c r="E970">
        <v>7</v>
      </c>
      <c r="F970">
        <v>2</v>
      </c>
      <c r="G970" t="b">
        <v>0</v>
      </c>
      <c r="H970">
        <v>10.96</v>
      </c>
      <c r="I970">
        <v>137922</v>
      </c>
      <c r="J970">
        <v>3.15</v>
      </c>
      <c r="K970">
        <v>1.6</v>
      </c>
      <c r="L970">
        <v>1665</v>
      </c>
      <c r="M970">
        <v>0</v>
      </c>
      <c r="N970">
        <v>22</v>
      </c>
      <c r="O970">
        <v>0</v>
      </c>
    </row>
    <row r="971" spans="1:15" x14ac:dyDescent="0.3">
      <c r="A971" s="13" t="s">
        <v>39</v>
      </c>
      <c r="B971" s="12" t="s">
        <v>32</v>
      </c>
      <c r="C971" s="12" t="s">
        <v>33</v>
      </c>
      <c r="D971">
        <v>37</v>
      </c>
      <c r="E971">
        <v>8</v>
      </c>
      <c r="F971">
        <v>2</v>
      </c>
      <c r="G971" t="b">
        <v>0</v>
      </c>
      <c r="H971">
        <v>10.96</v>
      </c>
      <c r="I971">
        <v>137922</v>
      </c>
      <c r="J971">
        <v>3.15</v>
      </c>
      <c r="K971">
        <v>1.6</v>
      </c>
      <c r="L971">
        <v>1665</v>
      </c>
      <c r="M971">
        <v>720</v>
      </c>
      <c r="N971">
        <v>23</v>
      </c>
      <c r="O971">
        <v>0.43243243243243246</v>
      </c>
    </row>
    <row r="972" spans="1:15" x14ac:dyDescent="0.3">
      <c r="A972" s="13" t="s">
        <v>39</v>
      </c>
      <c r="B972" s="12" t="s">
        <v>32</v>
      </c>
      <c r="C972" s="12" t="s">
        <v>33</v>
      </c>
      <c r="D972">
        <v>39</v>
      </c>
      <c r="E972">
        <v>9</v>
      </c>
      <c r="F972">
        <v>2</v>
      </c>
      <c r="G972" t="b">
        <v>0</v>
      </c>
      <c r="H972">
        <v>10.96</v>
      </c>
      <c r="I972">
        <v>137922</v>
      </c>
      <c r="J972">
        <v>3.15</v>
      </c>
      <c r="K972">
        <v>1.6</v>
      </c>
      <c r="L972">
        <v>1440</v>
      </c>
      <c r="M972">
        <v>0</v>
      </c>
      <c r="N972">
        <v>22</v>
      </c>
      <c r="O972">
        <v>0</v>
      </c>
    </row>
    <row r="973" spans="1:15" x14ac:dyDescent="0.3">
      <c r="A973" s="13" t="s">
        <v>39</v>
      </c>
      <c r="B973" s="12" t="s">
        <v>32</v>
      </c>
      <c r="C973" s="12" t="s">
        <v>33</v>
      </c>
      <c r="D973">
        <v>39</v>
      </c>
      <c r="E973">
        <v>10</v>
      </c>
      <c r="F973">
        <v>3</v>
      </c>
      <c r="G973" t="b">
        <v>0</v>
      </c>
      <c r="H973">
        <v>10.96</v>
      </c>
      <c r="I973">
        <v>172223</v>
      </c>
      <c r="J973">
        <v>3.15</v>
      </c>
      <c r="K973">
        <v>1.9</v>
      </c>
      <c r="L973">
        <v>1440</v>
      </c>
      <c r="M973">
        <v>3600</v>
      </c>
      <c r="N973">
        <v>23</v>
      </c>
      <c r="O973">
        <v>2.5</v>
      </c>
    </row>
    <row r="974" spans="1:15" x14ac:dyDescent="0.3">
      <c r="A974" s="13" t="s">
        <v>39</v>
      </c>
      <c r="B974" s="12" t="s">
        <v>32</v>
      </c>
      <c r="C974" s="12" t="s">
        <v>33</v>
      </c>
      <c r="D974">
        <v>39</v>
      </c>
      <c r="E974">
        <v>11</v>
      </c>
      <c r="F974">
        <v>3</v>
      </c>
      <c r="G974" t="b">
        <v>0</v>
      </c>
      <c r="H974">
        <v>10.96</v>
      </c>
      <c r="I974">
        <v>172223</v>
      </c>
      <c r="J974">
        <v>2.9</v>
      </c>
      <c r="K974">
        <v>1.9</v>
      </c>
      <c r="L974">
        <v>1440</v>
      </c>
      <c r="M974">
        <v>540</v>
      </c>
      <c r="N974">
        <v>24</v>
      </c>
      <c r="O974">
        <v>0.375</v>
      </c>
    </row>
    <row r="975" spans="1:15" x14ac:dyDescent="0.3">
      <c r="A975" s="13" t="s">
        <v>39</v>
      </c>
      <c r="B975" s="12" t="s">
        <v>32</v>
      </c>
      <c r="C975" s="12" t="s">
        <v>33</v>
      </c>
      <c r="D975">
        <v>40</v>
      </c>
      <c r="E975">
        <v>12</v>
      </c>
      <c r="F975">
        <v>3</v>
      </c>
      <c r="G975" t="b">
        <v>0</v>
      </c>
      <c r="H975">
        <v>10.96</v>
      </c>
      <c r="I975">
        <v>172223</v>
      </c>
      <c r="J975">
        <v>2.9</v>
      </c>
      <c r="K975">
        <v>1.9</v>
      </c>
      <c r="L975">
        <v>1440</v>
      </c>
      <c r="M975">
        <v>1620</v>
      </c>
      <c r="N975">
        <v>24</v>
      </c>
      <c r="O975">
        <v>1.125</v>
      </c>
    </row>
    <row r="976" spans="1:15" x14ac:dyDescent="0.3">
      <c r="A976" s="13" t="s">
        <v>39</v>
      </c>
      <c r="B976" s="12" t="s">
        <v>32</v>
      </c>
      <c r="C976" s="12" t="s">
        <v>33</v>
      </c>
      <c r="D976">
        <v>44</v>
      </c>
      <c r="E976">
        <v>13</v>
      </c>
      <c r="F976">
        <v>3</v>
      </c>
      <c r="G976" t="b">
        <v>0</v>
      </c>
      <c r="H976">
        <v>10.96</v>
      </c>
      <c r="I976">
        <v>172223</v>
      </c>
      <c r="J976">
        <v>2.9</v>
      </c>
      <c r="K976">
        <v>1.9</v>
      </c>
      <c r="L976">
        <v>1710</v>
      </c>
      <c r="M976">
        <v>1620</v>
      </c>
      <c r="N976">
        <v>21</v>
      </c>
      <c r="O976">
        <v>0.94736842105263153</v>
      </c>
    </row>
    <row r="977" spans="1:15" x14ac:dyDescent="0.3">
      <c r="A977" s="13" t="s">
        <v>39</v>
      </c>
      <c r="B977" s="12" t="s">
        <v>32</v>
      </c>
      <c r="C977" s="12" t="s">
        <v>33</v>
      </c>
      <c r="D977">
        <v>45</v>
      </c>
      <c r="E977">
        <v>14</v>
      </c>
      <c r="F977">
        <v>3</v>
      </c>
      <c r="G977" t="b">
        <v>0</v>
      </c>
      <c r="H977">
        <v>10.96</v>
      </c>
      <c r="I977">
        <v>172223</v>
      </c>
      <c r="J977">
        <v>2.9</v>
      </c>
      <c r="K977">
        <v>1.9</v>
      </c>
      <c r="L977">
        <v>1710</v>
      </c>
      <c r="M977">
        <v>1980</v>
      </c>
      <c r="N977">
        <v>21</v>
      </c>
      <c r="O977">
        <v>1.1578947368421053</v>
      </c>
    </row>
    <row r="978" spans="1:15" x14ac:dyDescent="0.3">
      <c r="A978" s="13" t="s">
        <v>39</v>
      </c>
      <c r="B978" s="12" t="s">
        <v>32</v>
      </c>
      <c r="C978" s="12" t="s">
        <v>33</v>
      </c>
      <c r="D978">
        <v>46</v>
      </c>
      <c r="E978">
        <v>15</v>
      </c>
      <c r="F978">
        <v>4</v>
      </c>
      <c r="G978" t="b">
        <v>0</v>
      </c>
      <c r="H978">
        <v>10.96</v>
      </c>
      <c r="I978">
        <v>139084</v>
      </c>
      <c r="J978">
        <v>2.9</v>
      </c>
      <c r="K978">
        <v>1.9</v>
      </c>
      <c r="L978">
        <v>1710</v>
      </c>
      <c r="M978">
        <v>2520</v>
      </c>
      <c r="N978">
        <v>21</v>
      </c>
      <c r="O978">
        <v>1.4736842105263157</v>
      </c>
    </row>
    <row r="979" spans="1:15" x14ac:dyDescent="0.3">
      <c r="A979" s="13" t="s">
        <v>39</v>
      </c>
      <c r="B979" s="12" t="s">
        <v>32</v>
      </c>
      <c r="C979" s="12" t="s">
        <v>33</v>
      </c>
      <c r="D979">
        <v>47</v>
      </c>
      <c r="E979">
        <v>16</v>
      </c>
      <c r="F979">
        <v>4</v>
      </c>
      <c r="G979" t="b">
        <v>0</v>
      </c>
      <c r="H979">
        <v>10.96</v>
      </c>
      <c r="I979">
        <v>139084</v>
      </c>
      <c r="J979">
        <v>2.9</v>
      </c>
      <c r="K979">
        <v>1.9</v>
      </c>
      <c r="L979">
        <v>1710</v>
      </c>
      <c r="M979">
        <v>1980</v>
      </c>
      <c r="N979">
        <v>21</v>
      </c>
      <c r="O979">
        <v>1.1578947368421053</v>
      </c>
    </row>
    <row r="980" spans="1:15" x14ac:dyDescent="0.3">
      <c r="A980" s="13" t="s">
        <v>39</v>
      </c>
      <c r="B980" s="12" t="s">
        <v>32</v>
      </c>
      <c r="C980" s="12" t="s">
        <v>33</v>
      </c>
      <c r="D980">
        <v>1</v>
      </c>
      <c r="E980">
        <v>17</v>
      </c>
      <c r="F980">
        <v>4</v>
      </c>
      <c r="G980" t="b">
        <v>1</v>
      </c>
      <c r="H980">
        <v>10.96</v>
      </c>
      <c r="I980">
        <v>139084</v>
      </c>
      <c r="J980">
        <v>2.65</v>
      </c>
      <c r="K980">
        <v>1.9</v>
      </c>
      <c r="L980">
        <v>1395</v>
      </c>
      <c r="M980">
        <v>2520</v>
      </c>
      <c r="N980">
        <v>16</v>
      </c>
      <c r="O980">
        <v>1.8064516129032258</v>
      </c>
    </row>
    <row r="981" spans="1:15" x14ac:dyDescent="0.3">
      <c r="A981" s="13" t="s">
        <v>39</v>
      </c>
      <c r="B981" s="12" t="s">
        <v>32</v>
      </c>
      <c r="C981" s="12" t="s">
        <v>33</v>
      </c>
      <c r="D981">
        <v>1</v>
      </c>
      <c r="E981">
        <v>18</v>
      </c>
      <c r="F981">
        <v>4</v>
      </c>
      <c r="G981" t="b">
        <v>1</v>
      </c>
      <c r="H981">
        <v>10.96</v>
      </c>
      <c r="I981">
        <v>139084</v>
      </c>
      <c r="J981">
        <v>2.65</v>
      </c>
      <c r="K981">
        <v>1.9</v>
      </c>
      <c r="L981">
        <v>1395</v>
      </c>
      <c r="M981">
        <v>1080</v>
      </c>
      <c r="N981">
        <v>17</v>
      </c>
      <c r="O981">
        <v>0.77419354838709675</v>
      </c>
    </row>
    <row r="982" spans="1:15" x14ac:dyDescent="0.3">
      <c r="A982" s="13" t="s">
        <v>39</v>
      </c>
      <c r="B982" s="12" t="s">
        <v>32</v>
      </c>
      <c r="C982" s="12" t="s">
        <v>33</v>
      </c>
      <c r="D982">
        <v>2</v>
      </c>
      <c r="E982">
        <v>19</v>
      </c>
      <c r="F982">
        <v>5</v>
      </c>
      <c r="G982" t="b">
        <v>0</v>
      </c>
      <c r="H982">
        <v>10.96</v>
      </c>
      <c r="I982">
        <v>139390</v>
      </c>
      <c r="J982">
        <v>2.65</v>
      </c>
      <c r="K982">
        <v>1.6</v>
      </c>
      <c r="L982">
        <v>1395</v>
      </c>
      <c r="M982">
        <v>1080</v>
      </c>
      <c r="N982">
        <v>17</v>
      </c>
      <c r="O982">
        <v>0.77419354838709675</v>
      </c>
    </row>
    <row r="983" spans="1:15" x14ac:dyDescent="0.3">
      <c r="A983" s="13" t="s">
        <v>39</v>
      </c>
      <c r="B983" s="12" t="s">
        <v>32</v>
      </c>
      <c r="C983" s="12" t="s">
        <v>33</v>
      </c>
      <c r="D983">
        <v>2</v>
      </c>
      <c r="E983">
        <v>20</v>
      </c>
      <c r="F983">
        <v>5</v>
      </c>
      <c r="G983" t="b">
        <v>0</v>
      </c>
      <c r="H983">
        <v>10.96</v>
      </c>
      <c r="I983">
        <v>139390</v>
      </c>
      <c r="J983">
        <v>2.65</v>
      </c>
      <c r="K983">
        <v>1.6</v>
      </c>
      <c r="L983">
        <v>1395</v>
      </c>
      <c r="M983">
        <v>1980</v>
      </c>
      <c r="N983">
        <v>18</v>
      </c>
      <c r="O983">
        <v>1.4193548387096775</v>
      </c>
    </row>
    <row r="984" spans="1:15" x14ac:dyDescent="0.3">
      <c r="A984" s="13" t="s">
        <v>39</v>
      </c>
      <c r="B984" s="12" t="s">
        <v>32</v>
      </c>
      <c r="C984" s="12" t="s">
        <v>33</v>
      </c>
      <c r="D984">
        <v>2</v>
      </c>
      <c r="E984">
        <v>21</v>
      </c>
      <c r="F984">
        <v>5</v>
      </c>
      <c r="G984" t="b">
        <v>0</v>
      </c>
      <c r="H984">
        <v>10.96</v>
      </c>
      <c r="I984">
        <v>139390</v>
      </c>
      <c r="J984">
        <v>2.65</v>
      </c>
      <c r="K984">
        <v>1.6</v>
      </c>
      <c r="L984">
        <v>1395</v>
      </c>
      <c r="M984">
        <v>1800</v>
      </c>
      <c r="N984">
        <v>19</v>
      </c>
      <c r="O984">
        <v>1.2903225806451613</v>
      </c>
    </row>
    <row r="985" spans="1:15" x14ac:dyDescent="0.3">
      <c r="A985" s="13" t="s">
        <v>39</v>
      </c>
      <c r="B985" s="12" t="s">
        <v>32</v>
      </c>
      <c r="C985" s="12" t="s">
        <v>33</v>
      </c>
      <c r="D985">
        <v>6</v>
      </c>
      <c r="E985">
        <v>22</v>
      </c>
      <c r="F985">
        <v>5</v>
      </c>
      <c r="G985" t="b">
        <v>0</v>
      </c>
      <c r="H985">
        <v>10.96</v>
      </c>
      <c r="I985">
        <v>139390</v>
      </c>
      <c r="J985">
        <v>2.65</v>
      </c>
      <c r="K985">
        <v>1.6</v>
      </c>
      <c r="L985">
        <v>1728</v>
      </c>
      <c r="M985">
        <v>1980</v>
      </c>
      <c r="N985">
        <v>16</v>
      </c>
      <c r="O985">
        <v>1.1458333333333333</v>
      </c>
    </row>
    <row r="986" spans="1:15" x14ac:dyDescent="0.3">
      <c r="A986" s="13" t="s">
        <v>39</v>
      </c>
      <c r="B986" s="12" t="s">
        <v>32</v>
      </c>
      <c r="C986" s="12" t="s">
        <v>33</v>
      </c>
      <c r="D986">
        <v>6</v>
      </c>
      <c r="E986">
        <v>23</v>
      </c>
      <c r="F986">
        <v>5</v>
      </c>
      <c r="G986" t="b">
        <v>1</v>
      </c>
      <c r="H986">
        <v>10.96</v>
      </c>
      <c r="I986">
        <v>139390</v>
      </c>
      <c r="J986">
        <v>2.4</v>
      </c>
      <c r="K986">
        <v>1.6</v>
      </c>
      <c r="L986">
        <v>1728</v>
      </c>
      <c r="M986">
        <v>1980</v>
      </c>
      <c r="N986">
        <v>17</v>
      </c>
      <c r="O986">
        <v>1.1458333333333333</v>
      </c>
    </row>
    <row r="987" spans="1:15" x14ac:dyDescent="0.3">
      <c r="A987" s="13" t="s">
        <v>39</v>
      </c>
      <c r="B987" s="12" t="s">
        <v>32</v>
      </c>
      <c r="C987" s="12" t="s">
        <v>33</v>
      </c>
      <c r="D987">
        <v>6</v>
      </c>
      <c r="E987">
        <v>24</v>
      </c>
      <c r="F987">
        <v>6</v>
      </c>
      <c r="G987" t="b">
        <v>0</v>
      </c>
      <c r="H987">
        <v>10.96</v>
      </c>
      <c r="I987">
        <v>132191</v>
      </c>
      <c r="J987">
        <v>2.4</v>
      </c>
      <c r="K987">
        <v>1.7</v>
      </c>
      <c r="L987">
        <v>1728</v>
      </c>
      <c r="M987">
        <v>2520</v>
      </c>
      <c r="N987">
        <v>18</v>
      </c>
      <c r="O987">
        <v>1.4583333333333333</v>
      </c>
    </row>
    <row r="988" spans="1:15" x14ac:dyDescent="0.3">
      <c r="A988" s="13" t="s">
        <v>39</v>
      </c>
      <c r="B988" s="12" t="s">
        <v>32</v>
      </c>
      <c r="C988" s="12" t="s">
        <v>33</v>
      </c>
      <c r="D988">
        <v>6</v>
      </c>
      <c r="E988">
        <v>25</v>
      </c>
      <c r="F988">
        <v>6</v>
      </c>
      <c r="G988" t="b">
        <v>0</v>
      </c>
      <c r="H988">
        <v>10.96</v>
      </c>
      <c r="I988">
        <v>132191</v>
      </c>
      <c r="J988">
        <v>2.4</v>
      </c>
      <c r="K988">
        <v>1.7</v>
      </c>
      <c r="L988">
        <v>1728</v>
      </c>
      <c r="M988">
        <v>1260</v>
      </c>
      <c r="N988">
        <v>19</v>
      </c>
      <c r="O988">
        <v>0.72916666666666663</v>
      </c>
    </row>
    <row r="989" spans="1:15" x14ac:dyDescent="0.3">
      <c r="A989" s="13" t="s">
        <v>39</v>
      </c>
      <c r="B989" s="12" t="s">
        <v>32</v>
      </c>
      <c r="C989" s="12" t="s">
        <v>33</v>
      </c>
      <c r="D989">
        <v>7</v>
      </c>
      <c r="E989">
        <v>26</v>
      </c>
      <c r="F989">
        <v>6</v>
      </c>
      <c r="G989" t="b">
        <v>0</v>
      </c>
      <c r="H989">
        <v>10.96</v>
      </c>
      <c r="I989">
        <v>132191</v>
      </c>
      <c r="J989">
        <v>2.4</v>
      </c>
      <c r="K989">
        <v>1.7</v>
      </c>
      <c r="L989">
        <v>1728</v>
      </c>
      <c r="M989">
        <v>1260</v>
      </c>
      <c r="N989">
        <v>19</v>
      </c>
      <c r="O989">
        <v>0.72916666666666663</v>
      </c>
    </row>
    <row r="990" spans="1:15" x14ac:dyDescent="0.3">
      <c r="A990" s="13" t="s">
        <v>36</v>
      </c>
      <c r="B990" s="12" t="s">
        <v>30</v>
      </c>
      <c r="C990" s="12" t="s">
        <v>33</v>
      </c>
      <c r="D990">
        <v>12</v>
      </c>
      <c r="E990">
        <v>27</v>
      </c>
      <c r="F990">
        <v>7</v>
      </c>
      <c r="G990" t="b">
        <v>0</v>
      </c>
      <c r="H990">
        <v>20.260000000000002</v>
      </c>
      <c r="I990">
        <v>124806</v>
      </c>
      <c r="J990">
        <v>4.5</v>
      </c>
      <c r="K990">
        <v>1.3</v>
      </c>
      <c r="L990">
        <v>208</v>
      </c>
      <c r="M990">
        <v>0</v>
      </c>
      <c r="N990">
        <v>15</v>
      </c>
      <c r="O990">
        <v>0</v>
      </c>
    </row>
    <row r="991" spans="1:15" x14ac:dyDescent="0.3">
      <c r="A991" s="13" t="s">
        <v>36</v>
      </c>
      <c r="B991" s="12" t="s">
        <v>30</v>
      </c>
      <c r="C991" s="12" t="s">
        <v>33</v>
      </c>
      <c r="D991">
        <v>12</v>
      </c>
      <c r="E991">
        <v>28</v>
      </c>
      <c r="F991">
        <v>7</v>
      </c>
      <c r="G991" t="b">
        <v>0</v>
      </c>
      <c r="H991">
        <v>20.260000000000002</v>
      </c>
      <c r="I991">
        <v>124806</v>
      </c>
      <c r="J991">
        <v>4.5</v>
      </c>
      <c r="K991">
        <v>1.3</v>
      </c>
      <c r="L991">
        <v>208</v>
      </c>
      <c r="M991">
        <v>720</v>
      </c>
      <c r="N991">
        <v>16</v>
      </c>
      <c r="O991">
        <v>3.4615384615384617</v>
      </c>
    </row>
    <row r="992" spans="1:15" x14ac:dyDescent="0.3">
      <c r="A992" s="13" t="s">
        <v>36</v>
      </c>
      <c r="B992" s="12" t="s">
        <v>30</v>
      </c>
      <c r="C992" s="12" t="s">
        <v>33</v>
      </c>
      <c r="D992">
        <v>13</v>
      </c>
      <c r="E992">
        <v>29</v>
      </c>
      <c r="F992">
        <v>7</v>
      </c>
      <c r="G992" t="b">
        <v>0</v>
      </c>
      <c r="H992">
        <v>20.260000000000002</v>
      </c>
      <c r="I992">
        <v>124806</v>
      </c>
      <c r="J992">
        <v>4.5</v>
      </c>
      <c r="K992">
        <v>1.3</v>
      </c>
      <c r="L992">
        <v>208</v>
      </c>
      <c r="M992">
        <v>0</v>
      </c>
      <c r="N992">
        <v>16</v>
      </c>
      <c r="O992">
        <v>0</v>
      </c>
    </row>
    <row r="993" spans="1:15" x14ac:dyDescent="0.3">
      <c r="A993" s="13" t="s">
        <v>36</v>
      </c>
      <c r="B993" s="12" t="s">
        <v>30</v>
      </c>
      <c r="C993" s="12" t="s">
        <v>33</v>
      </c>
      <c r="D993">
        <v>14</v>
      </c>
      <c r="E993">
        <v>30</v>
      </c>
      <c r="F993">
        <v>7</v>
      </c>
      <c r="G993" t="b">
        <v>0</v>
      </c>
      <c r="H993">
        <v>20.260000000000002</v>
      </c>
      <c r="I993">
        <v>124806</v>
      </c>
      <c r="J993">
        <v>4.5</v>
      </c>
      <c r="K993">
        <v>1.3</v>
      </c>
      <c r="L993">
        <v>208</v>
      </c>
      <c r="M993">
        <v>0</v>
      </c>
      <c r="N993">
        <v>16</v>
      </c>
      <c r="O993">
        <v>0</v>
      </c>
    </row>
    <row r="994" spans="1:15" x14ac:dyDescent="0.3">
      <c r="A994" s="13" t="s">
        <v>36</v>
      </c>
      <c r="B994" s="12" t="s">
        <v>30</v>
      </c>
      <c r="C994" s="12" t="s">
        <v>33</v>
      </c>
      <c r="D994">
        <v>23</v>
      </c>
      <c r="E994">
        <v>31</v>
      </c>
      <c r="F994">
        <v>7</v>
      </c>
      <c r="G994" t="b">
        <v>0</v>
      </c>
      <c r="H994">
        <v>20.260000000000002</v>
      </c>
      <c r="I994">
        <v>124806</v>
      </c>
      <c r="J994">
        <v>4.5</v>
      </c>
      <c r="K994">
        <v>1.3</v>
      </c>
      <c r="L994">
        <v>645</v>
      </c>
      <c r="M994">
        <v>348</v>
      </c>
      <c r="N994">
        <v>8</v>
      </c>
      <c r="O994">
        <v>0.53953488372093028</v>
      </c>
    </row>
    <row r="995" spans="1:15" x14ac:dyDescent="0.3">
      <c r="A995" s="13" t="s">
        <v>36</v>
      </c>
      <c r="B995" s="12" t="s">
        <v>30</v>
      </c>
      <c r="C995" s="12" t="s">
        <v>33</v>
      </c>
      <c r="D995">
        <v>24</v>
      </c>
      <c r="E995">
        <v>32</v>
      </c>
      <c r="F995">
        <v>8</v>
      </c>
      <c r="G995" t="b">
        <v>1</v>
      </c>
      <c r="H995">
        <v>20.260000000000002</v>
      </c>
      <c r="I995">
        <v>69121</v>
      </c>
      <c r="J995">
        <v>4.5</v>
      </c>
      <c r="K995">
        <v>1.1000000000000001</v>
      </c>
      <c r="L995">
        <v>645</v>
      </c>
      <c r="M995">
        <v>346</v>
      </c>
      <c r="N995">
        <v>8</v>
      </c>
      <c r="O995">
        <v>0.5364341085271318</v>
      </c>
    </row>
    <row r="996" spans="1:15" x14ac:dyDescent="0.3">
      <c r="A996" s="13" t="s">
        <v>36</v>
      </c>
      <c r="B996" s="12" t="s">
        <v>30</v>
      </c>
      <c r="C996" s="12" t="s">
        <v>33</v>
      </c>
      <c r="D996">
        <v>19</v>
      </c>
      <c r="E996">
        <v>33</v>
      </c>
      <c r="F996">
        <v>8</v>
      </c>
      <c r="G996" t="b">
        <v>1</v>
      </c>
      <c r="H996">
        <v>20.260000000000002</v>
      </c>
      <c r="I996">
        <v>69121</v>
      </c>
      <c r="J996">
        <v>4.5</v>
      </c>
      <c r="K996">
        <v>1.1000000000000001</v>
      </c>
      <c r="L996">
        <v>645</v>
      </c>
      <c r="M996">
        <v>2000</v>
      </c>
      <c r="N996">
        <v>14</v>
      </c>
      <c r="O996">
        <v>3.1007751937984498</v>
      </c>
    </row>
    <row r="997" spans="1:15" x14ac:dyDescent="0.3">
      <c r="A997" s="13" t="s">
        <v>36</v>
      </c>
      <c r="B997" s="12" t="s">
        <v>30</v>
      </c>
      <c r="C997" s="12" t="s">
        <v>33</v>
      </c>
      <c r="D997">
        <v>20</v>
      </c>
      <c r="E997">
        <v>34</v>
      </c>
      <c r="F997">
        <v>8</v>
      </c>
      <c r="G997" t="b">
        <v>0</v>
      </c>
      <c r="H997">
        <v>20.260000000000002</v>
      </c>
      <c r="I997">
        <v>69121</v>
      </c>
      <c r="J997">
        <v>4.5</v>
      </c>
      <c r="K997">
        <v>1.1000000000000001</v>
      </c>
      <c r="L997">
        <v>645</v>
      </c>
      <c r="M997">
        <v>320</v>
      </c>
      <c r="N997">
        <v>14</v>
      </c>
      <c r="O997">
        <v>0.49612403100775193</v>
      </c>
    </row>
    <row r="998" spans="1:15" x14ac:dyDescent="0.3">
      <c r="A998" s="13" t="s">
        <v>36</v>
      </c>
      <c r="B998" s="12" t="s">
        <v>30</v>
      </c>
      <c r="C998" s="12" t="s">
        <v>33</v>
      </c>
      <c r="D998">
        <v>22</v>
      </c>
      <c r="E998">
        <v>35</v>
      </c>
      <c r="F998">
        <v>8</v>
      </c>
      <c r="G998" t="b">
        <v>0</v>
      </c>
      <c r="H998">
        <v>20.260000000000002</v>
      </c>
      <c r="I998">
        <v>69121</v>
      </c>
      <c r="J998">
        <v>4.5</v>
      </c>
      <c r="K998">
        <v>1.1000000000000001</v>
      </c>
      <c r="L998">
        <v>1993</v>
      </c>
      <c r="M998">
        <v>1200</v>
      </c>
      <c r="N998">
        <v>13</v>
      </c>
      <c r="O998">
        <v>0.60210737581535378</v>
      </c>
    </row>
    <row r="999" spans="1:15" x14ac:dyDescent="0.3">
      <c r="A999" s="13" t="s">
        <v>36</v>
      </c>
      <c r="B999" s="12" t="s">
        <v>30</v>
      </c>
      <c r="C999" s="12" t="s">
        <v>33</v>
      </c>
      <c r="D999">
        <v>22</v>
      </c>
      <c r="E999">
        <v>36</v>
      </c>
      <c r="F999">
        <v>9</v>
      </c>
      <c r="G999" t="b">
        <v>0</v>
      </c>
      <c r="H999">
        <v>20.260000000000002</v>
      </c>
      <c r="I999">
        <v>121666</v>
      </c>
      <c r="J999">
        <v>4.5</v>
      </c>
      <c r="K999">
        <v>0.7</v>
      </c>
      <c r="L999">
        <v>1991</v>
      </c>
      <c r="M999">
        <v>1840</v>
      </c>
      <c r="N999">
        <v>14</v>
      </c>
      <c r="O999">
        <v>0.92415871421396278</v>
      </c>
    </row>
    <row r="1000" spans="1:15" x14ac:dyDescent="0.3">
      <c r="A1000" s="13" t="s">
        <v>36</v>
      </c>
      <c r="B1000" s="12" t="s">
        <v>30</v>
      </c>
      <c r="C1000" s="12" t="s">
        <v>33</v>
      </c>
      <c r="D1000">
        <v>22</v>
      </c>
      <c r="E1000">
        <v>37</v>
      </c>
      <c r="F1000">
        <v>9</v>
      </c>
      <c r="G1000" t="b">
        <v>0</v>
      </c>
      <c r="H1000">
        <v>20.260000000000002</v>
      </c>
      <c r="I1000">
        <v>121666</v>
      </c>
      <c r="J1000">
        <v>4.5</v>
      </c>
      <c r="K1000">
        <v>0.7</v>
      </c>
      <c r="L1000">
        <v>1991</v>
      </c>
      <c r="M1000">
        <v>0</v>
      </c>
      <c r="N1000">
        <v>15</v>
      </c>
      <c r="O1000">
        <v>0</v>
      </c>
    </row>
    <row r="1001" spans="1:15" x14ac:dyDescent="0.3">
      <c r="A1001" s="13" t="s">
        <v>36</v>
      </c>
      <c r="B1001" s="12" t="s">
        <v>30</v>
      </c>
      <c r="C1001" s="12" t="s">
        <v>33</v>
      </c>
      <c r="D1001">
        <v>22</v>
      </c>
      <c r="E1001">
        <v>38</v>
      </c>
      <c r="F1001">
        <v>9</v>
      </c>
      <c r="G1001" t="b">
        <v>0</v>
      </c>
      <c r="H1001">
        <v>20.260000000000002</v>
      </c>
      <c r="I1001">
        <v>121666</v>
      </c>
      <c r="J1001">
        <v>3.9</v>
      </c>
      <c r="K1001">
        <v>0.7</v>
      </c>
      <c r="L1001">
        <v>1991</v>
      </c>
      <c r="M1001">
        <v>800</v>
      </c>
      <c r="N1001">
        <v>16</v>
      </c>
      <c r="O1001">
        <v>0.40180813661476644</v>
      </c>
    </row>
    <row r="1002" spans="1:15" x14ac:dyDescent="0.3">
      <c r="A1002" s="13" t="s">
        <v>36</v>
      </c>
      <c r="B1002" s="12" t="s">
        <v>30</v>
      </c>
      <c r="C1002" s="12" t="s">
        <v>33</v>
      </c>
      <c r="D1002">
        <v>22</v>
      </c>
      <c r="E1002">
        <v>39</v>
      </c>
      <c r="F1002">
        <v>9</v>
      </c>
      <c r="G1002" t="b">
        <v>0</v>
      </c>
      <c r="H1002">
        <v>20.260000000000002</v>
      </c>
      <c r="I1002">
        <v>121666</v>
      </c>
      <c r="J1002">
        <v>3.9</v>
      </c>
      <c r="K1002">
        <v>0.7</v>
      </c>
      <c r="L1002">
        <v>1991</v>
      </c>
      <c r="M1002">
        <v>0</v>
      </c>
      <c r="N1002">
        <v>17</v>
      </c>
      <c r="O1002">
        <v>0</v>
      </c>
    </row>
    <row r="1003" spans="1:15" x14ac:dyDescent="0.3">
      <c r="A1003" s="13" t="s">
        <v>36</v>
      </c>
      <c r="B1003" s="12" t="s">
        <v>30</v>
      </c>
      <c r="C1003" s="12" t="s">
        <v>33</v>
      </c>
      <c r="D1003">
        <v>22</v>
      </c>
      <c r="E1003">
        <v>40</v>
      </c>
      <c r="F1003">
        <v>9</v>
      </c>
      <c r="G1003" t="b">
        <v>0</v>
      </c>
      <c r="H1003">
        <v>20.260000000000002</v>
      </c>
      <c r="I1003">
        <v>121666</v>
      </c>
      <c r="J1003">
        <v>3.9</v>
      </c>
      <c r="K1003">
        <v>0.7</v>
      </c>
      <c r="L1003">
        <v>560</v>
      </c>
      <c r="M1003">
        <v>1360</v>
      </c>
      <c r="N1003">
        <v>18</v>
      </c>
      <c r="O1003">
        <v>2.4285714285714284</v>
      </c>
    </row>
    <row r="1004" spans="1:15" x14ac:dyDescent="0.3">
      <c r="A1004" s="13" t="s">
        <v>36</v>
      </c>
      <c r="B1004" s="12" t="s">
        <v>30</v>
      </c>
      <c r="C1004" s="12" t="s">
        <v>33</v>
      </c>
      <c r="D1004">
        <v>22</v>
      </c>
      <c r="E1004">
        <v>41</v>
      </c>
      <c r="F1004">
        <v>10</v>
      </c>
      <c r="G1004" t="b">
        <v>0</v>
      </c>
      <c r="H1004">
        <v>20.260000000000002</v>
      </c>
      <c r="I1004">
        <v>126488</v>
      </c>
      <c r="J1004">
        <v>3.9</v>
      </c>
      <c r="K1004">
        <v>0.9</v>
      </c>
      <c r="L1004">
        <v>560</v>
      </c>
      <c r="M1004">
        <v>960</v>
      </c>
      <c r="N1004">
        <v>19</v>
      </c>
      <c r="O1004">
        <v>1.7142857142857142</v>
      </c>
    </row>
    <row r="1005" spans="1:15" x14ac:dyDescent="0.3">
      <c r="A1005" s="13" t="s">
        <v>36</v>
      </c>
      <c r="B1005" s="12" t="s">
        <v>30</v>
      </c>
      <c r="C1005" s="12" t="s">
        <v>33</v>
      </c>
      <c r="D1005">
        <v>22</v>
      </c>
      <c r="E1005">
        <v>42</v>
      </c>
      <c r="F1005">
        <v>10</v>
      </c>
      <c r="G1005" t="b">
        <v>0</v>
      </c>
      <c r="H1005">
        <v>20.260000000000002</v>
      </c>
      <c r="I1005">
        <v>126488</v>
      </c>
      <c r="J1005">
        <v>3.9</v>
      </c>
      <c r="K1005">
        <v>0.9</v>
      </c>
      <c r="L1005">
        <v>560</v>
      </c>
      <c r="M1005">
        <v>1440</v>
      </c>
      <c r="N1005">
        <v>20</v>
      </c>
      <c r="O1005">
        <v>2.5714285714285716</v>
      </c>
    </row>
    <row r="1006" spans="1:15" x14ac:dyDescent="0.3">
      <c r="A1006" s="13" t="s">
        <v>36</v>
      </c>
      <c r="B1006" s="12" t="s">
        <v>30</v>
      </c>
      <c r="C1006" s="12" t="s">
        <v>33</v>
      </c>
      <c r="D1006">
        <v>22</v>
      </c>
      <c r="E1006">
        <v>43</v>
      </c>
      <c r="F1006">
        <v>10</v>
      </c>
      <c r="G1006" t="b">
        <v>0</v>
      </c>
      <c r="H1006">
        <v>20.260000000000002</v>
      </c>
      <c r="I1006">
        <v>126488</v>
      </c>
      <c r="J1006">
        <v>3.65</v>
      </c>
      <c r="K1006">
        <v>0.9</v>
      </c>
      <c r="L1006">
        <v>560</v>
      </c>
      <c r="M1006">
        <v>0</v>
      </c>
      <c r="N1006">
        <v>21</v>
      </c>
      <c r="O1006">
        <v>0</v>
      </c>
    </row>
    <row r="1007" spans="1:15" x14ac:dyDescent="0.3">
      <c r="A1007" s="13" t="s">
        <v>36</v>
      </c>
      <c r="B1007" s="12" t="s">
        <v>30</v>
      </c>
      <c r="C1007" s="12" t="s">
        <v>33</v>
      </c>
      <c r="D1007">
        <v>22</v>
      </c>
      <c r="E1007">
        <v>44</v>
      </c>
      <c r="F1007">
        <v>10</v>
      </c>
      <c r="G1007" t="b">
        <v>1</v>
      </c>
      <c r="H1007">
        <v>20.260000000000002</v>
      </c>
      <c r="I1007">
        <v>126488</v>
      </c>
      <c r="J1007">
        <v>3.65</v>
      </c>
      <c r="K1007">
        <v>0.9</v>
      </c>
      <c r="L1007">
        <v>1460</v>
      </c>
      <c r="M1007">
        <v>1680</v>
      </c>
      <c r="N1007">
        <v>22</v>
      </c>
      <c r="O1007">
        <v>1.1506849315068493</v>
      </c>
    </row>
    <row r="1008" spans="1:15" x14ac:dyDescent="0.3">
      <c r="A1008" s="13" t="s">
        <v>36</v>
      </c>
      <c r="B1008" s="12" t="s">
        <v>30</v>
      </c>
      <c r="C1008" s="12" t="s">
        <v>33</v>
      </c>
      <c r="D1008">
        <v>22</v>
      </c>
      <c r="E1008">
        <v>45</v>
      </c>
      <c r="F1008">
        <v>11</v>
      </c>
      <c r="G1008" t="b">
        <v>0</v>
      </c>
      <c r="H1008">
        <v>20.260000000000002</v>
      </c>
      <c r="I1008">
        <v>124251</v>
      </c>
      <c r="J1008">
        <v>3.65</v>
      </c>
      <c r="K1008">
        <v>1.3</v>
      </c>
      <c r="L1008">
        <v>1460</v>
      </c>
      <c r="M1008">
        <v>480</v>
      </c>
      <c r="N1008">
        <v>23</v>
      </c>
      <c r="O1008">
        <v>0.32876712328767121</v>
      </c>
    </row>
    <row r="1009" spans="1:15" x14ac:dyDescent="0.3">
      <c r="A1009" s="13" t="s">
        <v>36</v>
      </c>
      <c r="B1009" s="12" t="s">
        <v>30</v>
      </c>
      <c r="C1009" s="12" t="s">
        <v>33</v>
      </c>
      <c r="D1009">
        <v>22</v>
      </c>
      <c r="E1009">
        <v>46</v>
      </c>
      <c r="F1009">
        <v>11</v>
      </c>
      <c r="G1009" t="b">
        <v>0</v>
      </c>
      <c r="H1009">
        <v>20.260000000000002</v>
      </c>
      <c r="I1009">
        <v>124251</v>
      </c>
      <c r="J1009">
        <v>3.65</v>
      </c>
      <c r="K1009">
        <v>1.3</v>
      </c>
      <c r="L1009">
        <v>1460</v>
      </c>
      <c r="M1009">
        <v>3760</v>
      </c>
      <c r="N1009">
        <v>24</v>
      </c>
      <c r="O1009">
        <v>2.5753424657534247</v>
      </c>
    </row>
    <row r="1010" spans="1:15" x14ac:dyDescent="0.3">
      <c r="A1010" s="13" t="s">
        <v>36</v>
      </c>
      <c r="B1010" s="12" t="s">
        <v>30</v>
      </c>
      <c r="C1010" s="12" t="s">
        <v>33</v>
      </c>
      <c r="D1010">
        <v>22</v>
      </c>
      <c r="E1010">
        <v>47</v>
      </c>
      <c r="F1010">
        <v>11</v>
      </c>
      <c r="G1010" t="b">
        <v>0</v>
      </c>
      <c r="H1010">
        <v>20.260000000000002</v>
      </c>
      <c r="I1010">
        <v>124251</v>
      </c>
      <c r="J1010">
        <v>3.65</v>
      </c>
      <c r="K1010">
        <v>1.3</v>
      </c>
      <c r="L1010">
        <v>1460</v>
      </c>
      <c r="M1010">
        <v>400</v>
      </c>
      <c r="N1010">
        <v>25</v>
      </c>
      <c r="O1010">
        <v>0.27397260273972601</v>
      </c>
    </row>
    <row r="1011" spans="1:15" x14ac:dyDescent="0.3">
      <c r="A1011" s="13" t="s">
        <v>36</v>
      </c>
      <c r="B1011" s="12" t="s">
        <v>30</v>
      </c>
      <c r="C1011" s="12" t="s">
        <v>33</v>
      </c>
      <c r="D1011">
        <v>27</v>
      </c>
      <c r="E1011">
        <v>48</v>
      </c>
      <c r="F1011">
        <v>11</v>
      </c>
      <c r="G1011" t="b">
        <v>0</v>
      </c>
      <c r="H1011">
        <v>20.260000000000002</v>
      </c>
      <c r="I1011">
        <v>124251</v>
      </c>
      <c r="J1011">
        <v>3.65</v>
      </c>
      <c r="K1011">
        <v>1.3</v>
      </c>
      <c r="L1011">
        <v>672</v>
      </c>
      <c r="M1011">
        <v>0</v>
      </c>
      <c r="N1011">
        <v>21</v>
      </c>
      <c r="O1011">
        <v>0</v>
      </c>
    </row>
    <row r="1012" spans="1:15" x14ac:dyDescent="0.3">
      <c r="A1012" s="13" t="s">
        <v>36</v>
      </c>
      <c r="B1012" s="12" t="s">
        <v>30</v>
      </c>
      <c r="C1012" s="12" t="s">
        <v>33</v>
      </c>
      <c r="D1012">
        <v>27</v>
      </c>
      <c r="E1012">
        <v>49</v>
      </c>
      <c r="F1012">
        <v>12</v>
      </c>
      <c r="G1012" t="b">
        <v>1</v>
      </c>
      <c r="H1012">
        <v>20.260000000000002</v>
      </c>
      <c r="I1012">
        <v>105715</v>
      </c>
      <c r="J1012">
        <v>3.65</v>
      </c>
      <c r="K1012">
        <v>1.3</v>
      </c>
      <c r="L1012">
        <v>672</v>
      </c>
      <c r="M1012">
        <v>1520</v>
      </c>
      <c r="N1012">
        <v>22</v>
      </c>
      <c r="O1012">
        <v>2.2619047619047619</v>
      </c>
    </row>
    <row r="1013" spans="1:15" x14ac:dyDescent="0.3">
      <c r="A1013" s="13" t="s">
        <v>36</v>
      </c>
      <c r="B1013" s="12" t="s">
        <v>30</v>
      </c>
      <c r="C1013" s="12" t="s">
        <v>33</v>
      </c>
      <c r="D1013">
        <v>26</v>
      </c>
      <c r="E1013">
        <v>50</v>
      </c>
      <c r="F1013">
        <v>12</v>
      </c>
      <c r="G1013" t="b">
        <v>0</v>
      </c>
      <c r="H1013">
        <v>20.260000000000002</v>
      </c>
      <c r="I1013">
        <v>105715</v>
      </c>
      <c r="J1013">
        <v>3.4</v>
      </c>
      <c r="K1013">
        <v>1.3</v>
      </c>
      <c r="L1013">
        <v>672</v>
      </c>
      <c r="M1013">
        <v>2880</v>
      </c>
      <c r="N1013">
        <v>24</v>
      </c>
      <c r="O1013">
        <v>4.2857142857142856</v>
      </c>
    </row>
    <row r="1014" spans="1:15" x14ac:dyDescent="0.3">
      <c r="A1014" s="13" t="s">
        <v>36</v>
      </c>
      <c r="B1014" s="12" t="s">
        <v>30</v>
      </c>
      <c r="C1014" s="12" t="s">
        <v>33</v>
      </c>
      <c r="D1014">
        <v>27</v>
      </c>
      <c r="E1014">
        <v>51</v>
      </c>
      <c r="F1014">
        <v>12</v>
      </c>
      <c r="G1014" t="b">
        <v>0</v>
      </c>
      <c r="H1014">
        <v>20.260000000000002</v>
      </c>
      <c r="I1014">
        <v>105715</v>
      </c>
      <c r="J1014">
        <v>3.4</v>
      </c>
      <c r="K1014">
        <v>1.3</v>
      </c>
      <c r="L1014">
        <v>672</v>
      </c>
      <c r="M1014">
        <v>0</v>
      </c>
      <c r="N1014">
        <v>24</v>
      </c>
      <c r="O1014">
        <v>0</v>
      </c>
    </row>
    <row r="1015" spans="1:15" x14ac:dyDescent="0.3">
      <c r="A1015" s="13" t="s">
        <v>36</v>
      </c>
      <c r="B1015" s="12" t="s">
        <v>30</v>
      </c>
      <c r="C1015" s="12" t="s">
        <v>33</v>
      </c>
      <c r="D1015">
        <v>28</v>
      </c>
      <c r="E1015">
        <v>52</v>
      </c>
      <c r="F1015">
        <v>12</v>
      </c>
      <c r="G1015" t="b">
        <v>1</v>
      </c>
      <c r="H1015">
        <v>20.260000000000002</v>
      </c>
      <c r="I1015">
        <v>105715</v>
      </c>
      <c r="J1015">
        <v>3.4</v>
      </c>
      <c r="K1015">
        <v>1.3</v>
      </c>
      <c r="L1015">
        <v>672</v>
      </c>
      <c r="M1015">
        <v>0</v>
      </c>
      <c r="N1015">
        <v>24</v>
      </c>
      <c r="O1015">
        <v>0</v>
      </c>
    </row>
    <row r="1016" spans="1:15" x14ac:dyDescent="0.3">
      <c r="A1016" s="13" t="s">
        <v>36</v>
      </c>
      <c r="B1016" s="12" t="s">
        <v>30</v>
      </c>
      <c r="C1016" s="12" t="s">
        <v>33</v>
      </c>
      <c r="D1016">
        <v>29</v>
      </c>
      <c r="E1016">
        <v>1</v>
      </c>
      <c r="F1016">
        <v>12</v>
      </c>
      <c r="G1016" t="b">
        <v>1</v>
      </c>
      <c r="H1016">
        <v>20.260000000000002</v>
      </c>
      <c r="I1016">
        <v>105715</v>
      </c>
      <c r="J1016">
        <v>3.4</v>
      </c>
      <c r="K1016">
        <v>1.3</v>
      </c>
      <c r="L1016">
        <v>1300</v>
      </c>
      <c r="M1016">
        <v>2800</v>
      </c>
      <c r="N1016">
        <v>24</v>
      </c>
      <c r="O1016">
        <v>2.1538461538461537</v>
      </c>
    </row>
    <row r="1017" spans="1:15" x14ac:dyDescent="0.3">
      <c r="A1017" s="13" t="s">
        <v>36</v>
      </c>
      <c r="B1017" s="12" t="s">
        <v>30</v>
      </c>
      <c r="C1017" s="12" t="s">
        <v>33</v>
      </c>
      <c r="D1017">
        <v>29</v>
      </c>
      <c r="E1017">
        <v>2</v>
      </c>
      <c r="F1017">
        <v>1</v>
      </c>
      <c r="G1017" t="b">
        <v>1</v>
      </c>
      <c r="H1017">
        <v>20.260000000000002</v>
      </c>
      <c r="I1017">
        <v>133692</v>
      </c>
      <c r="J1017">
        <v>3.4</v>
      </c>
      <c r="K1017">
        <v>1.5</v>
      </c>
      <c r="L1017">
        <v>1300</v>
      </c>
      <c r="M1017">
        <v>1600</v>
      </c>
      <c r="N1017">
        <v>25</v>
      </c>
      <c r="O1017">
        <v>1.2307692307692308</v>
      </c>
    </row>
    <row r="1018" spans="1:15" x14ac:dyDescent="0.3">
      <c r="A1018" s="13" t="s">
        <v>36</v>
      </c>
      <c r="B1018" s="12" t="s">
        <v>30</v>
      </c>
      <c r="C1018" s="12" t="s">
        <v>33</v>
      </c>
      <c r="D1018">
        <v>30</v>
      </c>
      <c r="E1018">
        <v>3</v>
      </c>
      <c r="F1018">
        <v>1</v>
      </c>
      <c r="G1018" t="b">
        <v>0</v>
      </c>
      <c r="H1018">
        <v>20.260000000000002</v>
      </c>
      <c r="I1018">
        <v>133692</v>
      </c>
      <c r="J1018">
        <v>3.4</v>
      </c>
      <c r="K1018">
        <v>1.5</v>
      </c>
      <c r="L1018">
        <v>1300</v>
      </c>
      <c r="M1018">
        <v>2240</v>
      </c>
      <c r="N1018">
        <v>25</v>
      </c>
      <c r="O1018">
        <v>1.7230769230769232</v>
      </c>
    </row>
    <row r="1019" spans="1:15" x14ac:dyDescent="0.3">
      <c r="A1019" s="13" t="s">
        <v>36</v>
      </c>
      <c r="B1019" s="12" t="s">
        <v>30</v>
      </c>
      <c r="C1019" s="12" t="s">
        <v>33</v>
      </c>
      <c r="D1019">
        <v>30</v>
      </c>
      <c r="E1019">
        <v>4</v>
      </c>
      <c r="F1019">
        <v>1</v>
      </c>
      <c r="G1019" t="b">
        <v>0</v>
      </c>
      <c r="H1019">
        <v>20.260000000000002</v>
      </c>
      <c r="I1019">
        <v>133692</v>
      </c>
      <c r="J1019">
        <v>3.4</v>
      </c>
      <c r="K1019">
        <v>1.5</v>
      </c>
      <c r="L1019">
        <v>1300</v>
      </c>
      <c r="M1019">
        <v>0</v>
      </c>
      <c r="N1019">
        <v>26</v>
      </c>
      <c r="O1019">
        <v>0</v>
      </c>
    </row>
    <row r="1020" spans="1:15" x14ac:dyDescent="0.3">
      <c r="A1020" s="13" t="s">
        <v>36</v>
      </c>
      <c r="B1020" s="12" t="s">
        <v>30</v>
      </c>
      <c r="C1020" s="12" t="s">
        <v>33</v>
      </c>
      <c r="D1020">
        <v>37</v>
      </c>
      <c r="E1020">
        <v>5</v>
      </c>
      <c r="F1020">
        <v>1</v>
      </c>
      <c r="G1020" t="b">
        <v>0</v>
      </c>
      <c r="H1020">
        <v>20.260000000000002</v>
      </c>
      <c r="I1020">
        <v>133692</v>
      </c>
      <c r="J1020">
        <v>3.4</v>
      </c>
      <c r="K1020">
        <v>1.5</v>
      </c>
      <c r="L1020">
        <v>1220</v>
      </c>
      <c r="M1020">
        <v>2560</v>
      </c>
      <c r="N1020">
        <v>20</v>
      </c>
      <c r="O1020">
        <v>2.098360655737705</v>
      </c>
    </row>
    <row r="1021" spans="1:15" x14ac:dyDescent="0.3">
      <c r="A1021" s="13" t="s">
        <v>36</v>
      </c>
      <c r="B1021" s="12" t="s">
        <v>30</v>
      </c>
      <c r="C1021" s="12" t="s">
        <v>33</v>
      </c>
      <c r="D1021">
        <v>37</v>
      </c>
      <c r="E1021">
        <v>6</v>
      </c>
      <c r="F1021">
        <v>2</v>
      </c>
      <c r="G1021" t="b">
        <v>0</v>
      </c>
      <c r="H1021">
        <v>20.260000000000002</v>
      </c>
      <c r="I1021">
        <v>137922</v>
      </c>
      <c r="J1021">
        <v>3.15</v>
      </c>
      <c r="K1021">
        <v>1.6</v>
      </c>
      <c r="L1021">
        <v>1220</v>
      </c>
      <c r="M1021">
        <v>0</v>
      </c>
      <c r="N1021">
        <v>21</v>
      </c>
      <c r="O1021">
        <v>0</v>
      </c>
    </row>
    <row r="1022" spans="1:15" x14ac:dyDescent="0.3">
      <c r="A1022" s="13" t="s">
        <v>36</v>
      </c>
      <c r="B1022" s="12" t="s">
        <v>30</v>
      </c>
      <c r="C1022" s="12" t="s">
        <v>33</v>
      </c>
      <c r="D1022">
        <v>37</v>
      </c>
      <c r="E1022">
        <v>7</v>
      </c>
      <c r="F1022">
        <v>2</v>
      </c>
      <c r="G1022" t="b">
        <v>0</v>
      </c>
      <c r="H1022">
        <v>20.260000000000002</v>
      </c>
      <c r="I1022">
        <v>137922</v>
      </c>
      <c r="J1022">
        <v>3.15</v>
      </c>
      <c r="K1022">
        <v>1.6</v>
      </c>
      <c r="L1022">
        <v>1220</v>
      </c>
      <c r="M1022">
        <v>0</v>
      </c>
      <c r="N1022">
        <v>22</v>
      </c>
      <c r="O1022">
        <v>0</v>
      </c>
    </row>
    <row r="1023" spans="1:15" x14ac:dyDescent="0.3">
      <c r="A1023" s="13" t="s">
        <v>36</v>
      </c>
      <c r="B1023" s="12" t="s">
        <v>30</v>
      </c>
      <c r="C1023" s="12" t="s">
        <v>33</v>
      </c>
      <c r="D1023">
        <v>37</v>
      </c>
      <c r="E1023">
        <v>8</v>
      </c>
      <c r="F1023">
        <v>2</v>
      </c>
      <c r="G1023" t="b">
        <v>0</v>
      </c>
      <c r="H1023">
        <v>20.260000000000002</v>
      </c>
      <c r="I1023">
        <v>137922</v>
      </c>
      <c r="J1023">
        <v>3.15</v>
      </c>
      <c r="K1023">
        <v>1.6</v>
      </c>
      <c r="L1023">
        <v>1220</v>
      </c>
      <c r="M1023">
        <v>0</v>
      </c>
      <c r="N1023">
        <v>23</v>
      </c>
      <c r="O1023">
        <v>0</v>
      </c>
    </row>
    <row r="1024" spans="1:15" x14ac:dyDescent="0.3">
      <c r="A1024" s="13" t="s">
        <v>36</v>
      </c>
      <c r="B1024" s="12" t="s">
        <v>30</v>
      </c>
      <c r="C1024" s="12" t="s">
        <v>33</v>
      </c>
      <c r="D1024">
        <v>39</v>
      </c>
      <c r="E1024">
        <v>9</v>
      </c>
      <c r="F1024">
        <v>2</v>
      </c>
      <c r="G1024" t="b">
        <v>0</v>
      </c>
      <c r="H1024">
        <v>20.260000000000002</v>
      </c>
      <c r="I1024">
        <v>137922</v>
      </c>
      <c r="J1024">
        <v>3.15</v>
      </c>
      <c r="K1024">
        <v>1.6</v>
      </c>
      <c r="L1024">
        <v>1280</v>
      </c>
      <c r="M1024">
        <v>0</v>
      </c>
      <c r="N1024">
        <v>22</v>
      </c>
      <c r="O1024">
        <v>0</v>
      </c>
    </row>
    <row r="1025" spans="1:15" x14ac:dyDescent="0.3">
      <c r="A1025" s="13" t="s">
        <v>36</v>
      </c>
      <c r="B1025" s="12" t="s">
        <v>30</v>
      </c>
      <c r="C1025" s="12" t="s">
        <v>33</v>
      </c>
      <c r="D1025">
        <v>39</v>
      </c>
      <c r="E1025">
        <v>10</v>
      </c>
      <c r="F1025">
        <v>3</v>
      </c>
      <c r="G1025" t="b">
        <v>0</v>
      </c>
      <c r="H1025">
        <v>20.260000000000002</v>
      </c>
      <c r="I1025">
        <v>172223</v>
      </c>
      <c r="J1025">
        <v>3.15</v>
      </c>
      <c r="K1025">
        <v>1.9</v>
      </c>
      <c r="L1025">
        <v>1280</v>
      </c>
      <c r="M1025">
        <v>240</v>
      </c>
      <c r="N1025">
        <v>23</v>
      </c>
      <c r="O1025">
        <v>0.1875</v>
      </c>
    </row>
    <row r="1026" spans="1:15" x14ac:dyDescent="0.3">
      <c r="A1026" s="13" t="s">
        <v>36</v>
      </c>
      <c r="B1026" s="12" t="s">
        <v>30</v>
      </c>
      <c r="C1026" s="12" t="s">
        <v>33</v>
      </c>
      <c r="D1026">
        <v>39</v>
      </c>
      <c r="E1026">
        <v>11</v>
      </c>
      <c r="F1026">
        <v>3</v>
      </c>
      <c r="G1026" t="b">
        <v>0</v>
      </c>
      <c r="H1026">
        <v>20.260000000000002</v>
      </c>
      <c r="I1026">
        <v>172223</v>
      </c>
      <c r="J1026">
        <v>2.9</v>
      </c>
      <c r="K1026">
        <v>1.9</v>
      </c>
      <c r="L1026">
        <v>1280</v>
      </c>
      <c r="M1026">
        <v>880</v>
      </c>
      <c r="N1026">
        <v>24</v>
      </c>
      <c r="O1026">
        <v>0.6875</v>
      </c>
    </row>
    <row r="1027" spans="1:15" x14ac:dyDescent="0.3">
      <c r="A1027" s="13" t="s">
        <v>36</v>
      </c>
      <c r="B1027" s="12" t="s">
        <v>30</v>
      </c>
      <c r="C1027" s="12" t="s">
        <v>33</v>
      </c>
      <c r="D1027">
        <v>40</v>
      </c>
      <c r="E1027">
        <v>12</v>
      </c>
      <c r="F1027">
        <v>3</v>
      </c>
      <c r="G1027" t="b">
        <v>0</v>
      </c>
      <c r="H1027">
        <v>20.260000000000002</v>
      </c>
      <c r="I1027">
        <v>172223</v>
      </c>
      <c r="J1027">
        <v>2.9</v>
      </c>
      <c r="K1027">
        <v>1.9</v>
      </c>
      <c r="L1027">
        <v>1280</v>
      </c>
      <c r="M1027">
        <v>1040</v>
      </c>
      <c r="N1027">
        <v>24</v>
      </c>
      <c r="O1027">
        <v>0.8125</v>
      </c>
    </row>
    <row r="1028" spans="1:15" x14ac:dyDescent="0.3">
      <c r="A1028" s="13" t="s">
        <v>36</v>
      </c>
      <c r="B1028" s="12" t="s">
        <v>30</v>
      </c>
      <c r="C1028" s="12" t="s">
        <v>33</v>
      </c>
      <c r="D1028">
        <v>44</v>
      </c>
      <c r="E1028">
        <v>13</v>
      </c>
      <c r="F1028">
        <v>3</v>
      </c>
      <c r="G1028" t="b">
        <v>0</v>
      </c>
      <c r="H1028">
        <v>20.260000000000002</v>
      </c>
      <c r="I1028">
        <v>172223</v>
      </c>
      <c r="J1028">
        <v>2.9</v>
      </c>
      <c r="K1028">
        <v>1.9</v>
      </c>
      <c r="L1028">
        <v>1540</v>
      </c>
      <c r="M1028">
        <v>960</v>
      </c>
      <c r="N1028">
        <v>21</v>
      </c>
      <c r="O1028">
        <v>0.62337662337662336</v>
      </c>
    </row>
    <row r="1029" spans="1:15" x14ac:dyDescent="0.3">
      <c r="A1029" s="13" t="s">
        <v>36</v>
      </c>
      <c r="B1029" s="12" t="s">
        <v>30</v>
      </c>
      <c r="C1029" s="12" t="s">
        <v>33</v>
      </c>
      <c r="D1029">
        <v>45</v>
      </c>
      <c r="E1029">
        <v>14</v>
      </c>
      <c r="F1029">
        <v>3</v>
      </c>
      <c r="G1029" t="b">
        <v>0</v>
      </c>
      <c r="H1029">
        <v>20.260000000000002</v>
      </c>
      <c r="I1029">
        <v>172223</v>
      </c>
      <c r="J1029">
        <v>2.9</v>
      </c>
      <c r="K1029">
        <v>1.9</v>
      </c>
      <c r="L1029">
        <v>1540</v>
      </c>
      <c r="M1029">
        <v>1280</v>
      </c>
      <c r="N1029">
        <v>21</v>
      </c>
      <c r="O1029">
        <v>0.83116883116883122</v>
      </c>
    </row>
    <row r="1030" spans="1:15" x14ac:dyDescent="0.3">
      <c r="A1030" s="13" t="s">
        <v>36</v>
      </c>
      <c r="B1030" s="12" t="s">
        <v>30</v>
      </c>
      <c r="C1030" s="12" t="s">
        <v>33</v>
      </c>
      <c r="D1030">
        <v>46</v>
      </c>
      <c r="E1030">
        <v>15</v>
      </c>
      <c r="F1030">
        <v>4</v>
      </c>
      <c r="G1030" t="b">
        <v>0</v>
      </c>
      <c r="H1030">
        <v>20.260000000000002</v>
      </c>
      <c r="I1030">
        <v>139084</v>
      </c>
      <c r="J1030">
        <v>2.9</v>
      </c>
      <c r="K1030">
        <v>1.9</v>
      </c>
      <c r="L1030">
        <v>1540</v>
      </c>
      <c r="M1030">
        <v>1600</v>
      </c>
      <c r="N1030">
        <v>21</v>
      </c>
      <c r="O1030">
        <v>1.0389610389610389</v>
      </c>
    </row>
    <row r="1031" spans="1:15" x14ac:dyDescent="0.3">
      <c r="A1031" s="13" t="s">
        <v>36</v>
      </c>
      <c r="B1031" s="12" t="s">
        <v>30</v>
      </c>
      <c r="C1031" s="12" t="s">
        <v>33</v>
      </c>
      <c r="D1031">
        <v>47</v>
      </c>
      <c r="E1031">
        <v>16</v>
      </c>
      <c r="F1031">
        <v>4</v>
      </c>
      <c r="G1031" t="b">
        <v>0</v>
      </c>
      <c r="H1031">
        <v>20.260000000000002</v>
      </c>
      <c r="I1031">
        <v>139084</v>
      </c>
      <c r="J1031">
        <v>2.9</v>
      </c>
      <c r="K1031">
        <v>1.9</v>
      </c>
      <c r="L1031">
        <v>1540</v>
      </c>
      <c r="M1031">
        <v>1280</v>
      </c>
      <c r="N1031">
        <v>21</v>
      </c>
      <c r="O1031">
        <v>0.83116883116883122</v>
      </c>
    </row>
    <row r="1032" spans="1:15" x14ac:dyDescent="0.3">
      <c r="A1032" s="13" t="s">
        <v>36</v>
      </c>
      <c r="B1032" s="12" t="s">
        <v>30</v>
      </c>
      <c r="C1032" s="12" t="s">
        <v>33</v>
      </c>
      <c r="D1032">
        <v>2</v>
      </c>
      <c r="E1032">
        <v>17</v>
      </c>
      <c r="F1032">
        <v>4</v>
      </c>
      <c r="G1032" t="b">
        <v>1</v>
      </c>
      <c r="H1032">
        <v>20.260000000000002</v>
      </c>
      <c r="I1032">
        <v>139084</v>
      </c>
      <c r="J1032">
        <v>2.65</v>
      </c>
      <c r="K1032">
        <v>1.9</v>
      </c>
      <c r="L1032">
        <v>1080</v>
      </c>
      <c r="M1032">
        <v>1600</v>
      </c>
      <c r="N1032">
        <v>15</v>
      </c>
      <c r="O1032">
        <v>1.4814814814814814</v>
      </c>
    </row>
    <row r="1033" spans="1:15" x14ac:dyDescent="0.3">
      <c r="A1033" s="13" t="s">
        <v>36</v>
      </c>
      <c r="B1033" s="12" t="s">
        <v>30</v>
      </c>
      <c r="C1033" s="12" t="s">
        <v>33</v>
      </c>
      <c r="D1033">
        <v>2</v>
      </c>
      <c r="E1033">
        <v>18</v>
      </c>
      <c r="F1033">
        <v>4</v>
      </c>
      <c r="G1033" t="b">
        <v>1</v>
      </c>
      <c r="H1033">
        <v>20.260000000000002</v>
      </c>
      <c r="I1033">
        <v>139084</v>
      </c>
      <c r="J1033">
        <v>2.65</v>
      </c>
      <c r="K1033">
        <v>1.9</v>
      </c>
      <c r="L1033">
        <v>940</v>
      </c>
      <c r="M1033">
        <v>320</v>
      </c>
      <c r="N1033">
        <v>16</v>
      </c>
      <c r="O1033">
        <v>0.34042553191489361</v>
      </c>
    </row>
    <row r="1034" spans="1:15" x14ac:dyDescent="0.3">
      <c r="A1034" s="13" t="s">
        <v>36</v>
      </c>
      <c r="B1034" s="12" t="s">
        <v>30</v>
      </c>
      <c r="C1034" s="12" t="s">
        <v>33</v>
      </c>
      <c r="D1034">
        <v>3</v>
      </c>
      <c r="E1034">
        <v>19</v>
      </c>
      <c r="F1034">
        <v>5</v>
      </c>
      <c r="G1034" t="b">
        <v>0</v>
      </c>
      <c r="H1034">
        <v>20.260000000000002</v>
      </c>
      <c r="I1034">
        <v>139390</v>
      </c>
      <c r="J1034">
        <v>2.65</v>
      </c>
      <c r="K1034">
        <v>1.6</v>
      </c>
      <c r="L1034">
        <v>940</v>
      </c>
      <c r="M1034">
        <v>720</v>
      </c>
      <c r="N1034">
        <v>16</v>
      </c>
      <c r="O1034">
        <v>0.76595744680851063</v>
      </c>
    </row>
    <row r="1035" spans="1:15" x14ac:dyDescent="0.3">
      <c r="A1035" s="13" t="s">
        <v>36</v>
      </c>
      <c r="B1035" s="12" t="s">
        <v>30</v>
      </c>
      <c r="C1035" s="12" t="s">
        <v>33</v>
      </c>
      <c r="D1035">
        <v>3</v>
      </c>
      <c r="E1035">
        <v>20</v>
      </c>
      <c r="F1035">
        <v>5</v>
      </c>
      <c r="G1035" t="b">
        <v>0</v>
      </c>
      <c r="H1035">
        <v>20.260000000000002</v>
      </c>
      <c r="I1035">
        <v>139390</v>
      </c>
      <c r="J1035">
        <v>2.65</v>
      </c>
      <c r="K1035">
        <v>1.6</v>
      </c>
      <c r="L1035">
        <v>940</v>
      </c>
      <c r="M1035">
        <v>2000</v>
      </c>
      <c r="N1035">
        <v>17</v>
      </c>
      <c r="O1035">
        <v>2.1276595744680851</v>
      </c>
    </row>
    <row r="1036" spans="1:15" x14ac:dyDescent="0.3">
      <c r="A1036" s="13" t="s">
        <v>36</v>
      </c>
      <c r="B1036" s="12" t="s">
        <v>30</v>
      </c>
      <c r="C1036" s="12" t="s">
        <v>33</v>
      </c>
      <c r="D1036">
        <v>3</v>
      </c>
      <c r="E1036">
        <v>21</v>
      </c>
      <c r="F1036">
        <v>5</v>
      </c>
      <c r="G1036" t="b">
        <v>0</v>
      </c>
      <c r="H1036">
        <v>20.260000000000002</v>
      </c>
      <c r="I1036">
        <v>139390</v>
      </c>
      <c r="J1036">
        <v>2.65</v>
      </c>
      <c r="K1036">
        <v>1.6</v>
      </c>
      <c r="L1036">
        <v>940</v>
      </c>
      <c r="M1036">
        <v>1120</v>
      </c>
      <c r="N1036">
        <v>18</v>
      </c>
      <c r="O1036">
        <v>1.1914893617021276</v>
      </c>
    </row>
    <row r="1037" spans="1:15" x14ac:dyDescent="0.3">
      <c r="A1037" s="13" t="s">
        <v>36</v>
      </c>
      <c r="B1037" s="12" t="s">
        <v>30</v>
      </c>
      <c r="C1037" s="12" t="s">
        <v>33</v>
      </c>
      <c r="D1037">
        <v>6</v>
      </c>
      <c r="E1037">
        <v>22</v>
      </c>
      <c r="F1037">
        <v>5</v>
      </c>
      <c r="G1037" t="b">
        <v>0</v>
      </c>
      <c r="H1037">
        <v>20.260000000000002</v>
      </c>
      <c r="I1037">
        <v>139390</v>
      </c>
      <c r="J1037">
        <v>2.65</v>
      </c>
      <c r="K1037">
        <v>1.6</v>
      </c>
      <c r="L1037">
        <v>1376</v>
      </c>
      <c r="M1037">
        <v>800</v>
      </c>
      <c r="N1037">
        <v>16</v>
      </c>
      <c r="O1037">
        <v>0.58139534883720934</v>
      </c>
    </row>
    <row r="1038" spans="1:15" x14ac:dyDescent="0.3">
      <c r="A1038" s="13" t="s">
        <v>36</v>
      </c>
      <c r="B1038" s="12" t="s">
        <v>30</v>
      </c>
      <c r="C1038" s="12" t="s">
        <v>33</v>
      </c>
      <c r="D1038">
        <v>6</v>
      </c>
      <c r="E1038">
        <v>23</v>
      </c>
      <c r="F1038">
        <v>5</v>
      </c>
      <c r="G1038" t="b">
        <v>1</v>
      </c>
      <c r="H1038">
        <v>20.260000000000002</v>
      </c>
      <c r="I1038">
        <v>139390</v>
      </c>
      <c r="J1038">
        <v>2.4</v>
      </c>
      <c r="K1038">
        <v>1.6</v>
      </c>
      <c r="L1038">
        <v>3176</v>
      </c>
      <c r="M1038">
        <v>1280</v>
      </c>
      <c r="N1038">
        <v>17</v>
      </c>
      <c r="O1038">
        <v>0.40302267002518893</v>
      </c>
    </row>
    <row r="1039" spans="1:15" x14ac:dyDescent="0.3">
      <c r="A1039" s="13" t="s">
        <v>36</v>
      </c>
      <c r="B1039" s="12" t="s">
        <v>30</v>
      </c>
      <c r="C1039" s="12" t="s">
        <v>33</v>
      </c>
      <c r="D1039">
        <v>6</v>
      </c>
      <c r="E1039">
        <v>24</v>
      </c>
      <c r="F1039">
        <v>6</v>
      </c>
      <c r="G1039" t="b">
        <v>0</v>
      </c>
      <c r="H1039">
        <v>20.260000000000002</v>
      </c>
      <c r="I1039">
        <v>132191</v>
      </c>
      <c r="J1039">
        <v>2.4</v>
      </c>
      <c r="K1039">
        <v>1.7</v>
      </c>
      <c r="L1039">
        <v>1376</v>
      </c>
      <c r="M1039">
        <v>1760</v>
      </c>
      <c r="N1039">
        <v>18</v>
      </c>
      <c r="O1039">
        <v>1.2790697674418605</v>
      </c>
    </row>
    <row r="1040" spans="1:15" x14ac:dyDescent="0.3">
      <c r="A1040" s="13" t="s">
        <v>36</v>
      </c>
      <c r="B1040" s="12" t="s">
        <v>30</v>
      </c>
      <c r="C1040" s="12" t="s">
        <v>33</v>
      </c>
      <c r="D1040">
        <v>6</v>
      </c>
      <c r="E1040">
        <v>25</v>
      </c>
      <c r="F1040">
        <v>6</v>
      </c>
      <c r="G1040" t="b">
        <v>0</v>
      </c>
      <c r="H1040">
        <v>20.260000000000002</v>
      </c>
      <c r="I1040">
        <v>132191</v>
      </c>
      <c r="J1040">
        <v>2.4</v>
      </c>
      <c r="K1040">
        <v>1.7</v>
      </c>
      <c r="L1040">
        <v>1376</v>
      </c>
      <c r="M1040">
        <v>560</v>
      </c>
      <c r="N1040">
        <v>19</v>
      </c>
      <c r="O1040">
        <v>0.40697674418604651</v>
      </c>
    </row>
    <row r="1041" spans="1:15" x14ac:dyDescent="0.3">
      <c r="A1041" s="13" t="s">
        <v>36</v>
      </c>
      <c r="B1041" s="12" t="s">
        <v>30</v>
      </c>
      <c r="C1041" s="12" t="s">
        <v>33</v>
      </c>
      <c r="D1041">
        <v>7</v>
      </c>
      <c r="E1041">
        <v>26</v>
      </c>
      <c r="F1041">
        <v>6</v>
      </c>
      <c r="G1041" t="b">
        <v>0</v>
      </c>
      <c r="H1041">
        <v>20.260000000000002</v>
      </c>
      <c r="I1041">
        <v>132191</v>
      </c>
      <c r="J1041">
        <v>2.4</v>
      </c>
      <c r="K1041">
        <v>1.7</v>
      </c>
      <c r="L1041">
        <v>1376</v>
      </c>
      <c r="M1041">
        <v>560</v>
      </c>
      <c r="N1041">
        <v>19</v>
      </c>
      <c r="O1041">
        <v>0.40697674418604651</v>
      </c>
    </row>
    <row r="1042" spans="1:15" x14ac:dyDescent="0.3">
      <c r="A1042" s="13" t="s">
        <v>37</v>
      </c>
      <c r="B1042" s="12" t="s">
        <v>30</v>
      </c>
      <c r="C1042" s="12" t="s">
        <v>33</v>
      </c>
      <c r="D1042">
        <v>11</v>
      </c>
      <c r="E1042">
        <v>27</v>
      </c>
      <c r="F1042">
        <v>7</v>
      </c>
      <c r="G1042" t="b">
        <v>0</v>
      </c>
      <c r="H1042">
        <v>20.260000000000002</v>
      </c>
      <c r="I1042">
        <v>124806</v>
      </c>
      <c r="J1042">
        <v>4.5</v>
      </c>
      <c r="K1042">
        <v>1.3</v>
      </c>
      <c r="L1042">
        <v>197</v>
      </c>
      <c r="M1042">
        <v>0</v>
      </c>
      <c r="N1042">
        <v>16</v>
      </c>
      <c r="O1042">
        <v>0</v>
      </c>
    </row>
    <row r="1043" spans="1:15" x14ac:dyDescent="0.3">
      <c r="A1043" s="13" t="s">
        <v>37</v>
      </c>
      <c r="B1043" s="12" t="s">
        <v>30</v>
      </c>
      <c r="C1043" s="12" t="s">
        <v>33</v>
      </c>
      <c r="D1043">
        <v>12</v>
      </c>
      <c r="E1043">
        <v>28</v>
      </c>
      <c r="F1043">
        <v>7</v>
      </c>
      <c r="G1043" t="b">
        <v>0</v>
      </c>
      <c r="H1043">
        <v>20.260000000000002</v>
      </c>
      <c r="I1043">
        <v>124806</v>
      </c>
      <c r="J1043">
        <v>4.5</v>
      </c>
      <c r="K1043">
        <v>1.3</v>
      </c>
      <c r="L1043">
        <v>197</v>
      </c>
      <c r="M1043">
        <v>720</v>
      </c>
      <c r="N1043">
        <v>16</v>
      </c>
      <c r="O1043">
        <v>3.6548223350253806</v>
      </c>
    </row>
    <row r="1044" spans="1:15" x14ac:dyDescent="0.3">
      <c r="A1044" s="13" t="s">
        <v>37</v>
      </c>
      <c r="B1044" s="12" t="s">
        <v>30</v>
      </c>
      <c r="C1044" s="12" t="s">
        <v>33</v>
      </c>
      <c r="D1044">
        <v>13</v>
      </c>
      <c r="E1044">
        <v>29</v>
      </c>
      <c r="F1044">
        <v>7</v>
      </c>
      <c r="G1044" t="b">
        <v>0</v>
      </c>
      <c r="H1044">
        <v>20.260000000000002</v>
      </c>
      <c r="I1044">
        <v>124806</v>
      </c>
      <c r="J1044">
        <v>4.5</v>
      </c>
      <c r="K1044">
        <v>1.3</v>
      </c>
      <c r="L1044">
        <v>197</v>
      </c>
      <c r="M1044">
        <v>0</v>
      </c>
      <c r="N1044">
        <v>16</v>
      </c>
      <c r="O1044">
        <v>0</v>
      </c>
    </row>
    <row r="1045" spans="1:15" x14ac:dyDescent="0.3">
      <c r="A1045" s="13" t="s">
        <v>37</v>
      </c>
      <c r="B1045" s="12" t="s">
        <v>30</v>
      </c>
      <c r="C1045" s="12" t="s">
        <v>33</v>
      </c>
      <c r="D1045">
        <v>14</v>
      </c>
      <c r="E1045">
        <v>30</v>
      </c>
      <c r="F1045">
        <v>7</v>
      </c>
      <c r="G1045" t="b">
        <v>0</v>
      </c>
      <c r="H1045">
        <v>20.260000000000002</v>
      </c>
      <c r="I1045">
        <v>124806</v>
      </c>
      <c r="J1045">
        <v>4.5</v>
      </c>
      <c r="K1045">
        <v>1.3</v>
      </c>
      <c r="L1045">
        <v>197</v>
      </c>
      <c r="M1045">
        <v>0</v>
      </c>
      <c r="N1045">
        <v>16</v>
      </c>
      <c r="O1045">
        <v>0</v>
      </c>
    </row>
    <row r="1046" spans="1:15" x14ac:dyDescent="0.3">
      <c r="A1046" s="13" t="s">
        <v>37</v>
      </c>
      <c r="B1046" s="12" t="s">
        <v>30</v>
      </c>
      <c r="C1046" s="12" t="s">
        <v>33</v>
      </c>
      <c r="D1046">
        <v>24</v>
      </c>
      <c r="E1046">
        <v>31</v>
      </c>
      <c r="F1046">
        <v>7</v>
      </c>
      <c r="G1046" t="b">
        <v>0</v>
      </c>
      <c r="H1046">
        <v>20.260000000000002</v>
      </c>
      <c r="I1046">
        <v>124806</v>
      </c>
      <c r="J1046">
        <v>4.5</v>
      </c>
      <c r="K1046">
        <v>1.3</v>
      </c>
      <c r="L1046">
        <v>650</v>
      </c>
      <c r="M1046">
        <v>1140</v>
      </c>
      <c r="N1046">
        <v>7</v>
      </c>
      <c r="O1046">
        <v>1.7538461538461538</v>
      </c>
    </row>
    <row r="1047" spans="1:15" x14ac:dyDescent="0.3">
      <c r="A1047" s="13" t="s">
        <v>37</v>
      </c>
      <c r="B1047" s="12" t="s">
        <v>30</v>
      </c>
      <c r="C1047" s="12" t="s">
        <v>33</v>
      </c>
      <c r="D1047">
        <v>25</v>
      </c>
      <c r="E1047">
        <v>32</v>
      </c>
      <c r="F1047">
        <v>8</v>
      </c>
      <c r="G1047" t="b">
        <v>1</v>
      </c>
      <c r="H1047">
        <v>20.260000000000002</v>
      </c>
      <c r="I1047">
        <v>69121</v>
      </c>
      <c r="J1047">
        <v>4.5</v>
      </c>
      <c r="K1047">
        <v>1.1000000000000001</v>
      </c>
      <c r="L1047">
        <v>647</v>
      </c>
      <c r="M1047">
        <v>1140</v>
      </c>
      <c r="N1047">
        <v>7</v>
      </c>
      <c r="O1047">
        <v>1.7619783616692426</v>
      </c>
    </row>
    <row r="1048" spans="1:15" x14ac:dyDescent="0.3">
      <c r="A1048" s="13" t="s">
        <v>37</v>
      </c>
      <c r="B1048" s="12" t="s">
        <v>30</v>
      </c>
      <c r="C1048" s="12" t="s">
        <v>33</v>
      </c>
      <c r="D1048">
        <v>22</v>
      </c>
      <c r="E1048">
        <v>33</v>
      </c>
      <c r="F1048">
        <v>8</v>
      </c>
      <c r="G1048" t="b">
        <v>1</v>
      </c>
      <c r="H1048">
        <v>20.260000000000002</v>
      </c>
      <c r="I1048">
        <v>69121</v>
      </c>
      <c r="J1048">
        <v>4.5</v>
      </c>
      <c r="K1048">
        <v>1.1000000000000001</v>
      </c>
      <c r="L1048">
        <v>647</v>
      </c>
      <c r="M1048">
        <v>1280</v>
      </c>
      <c r="N1048">
        <v>11</v>
      </c>
      <c r="O1048">
        <v>1.9783616692426584</v>
      </c>
    </row>
    <row r="1049" spans="1:15" x14ac:dyDescent="0.3">
      <c r="A1049" s="13" t="s">
        <v>37</v>
      </c>
      <c r="B1049" s="12" t="s">
        <v>30</v>
      </c>
      <c r="C1049" s="12" t="s">
        <v>33</v>
      </c>
      <c r="D1049">
        <v>20</v>
      </c>
      <c r="E1049">
        <v>34</v>
      </c>
      <c r="F1049">
        <v>8</v>
      </c>
      <c r="G1049" t="b">
        <v>0</v>
      </c>
      <c r="H1049">
        <v>20.260000000000002</v>
      </c>
      <c r="I1049">
        <v>69121</v>
      </c>
      <c r="J1049">
        <v>4.5</v>
      </c>
      <c r="K1049">
        <v>1.1000000000000001</v>
      </c>
      <c r="L1049">
        <v>647</v>
      </c>
      <c r="M1049">
        <v>2240</v>
      </c>
      <c r="N1049">
        <v>14</v>
      </c>
      <c r="O1049">
        <v>3.4621329211746521</v>
      </c>
    </row>
    <row r="1050" spans="1:15" x14ac:dyDescent="0.3">
      <c r="A1050" s="13" t="s">
        <v>37</v>
      </c>
      <c r="B1050" s="12" t="s">
        <v>30</v>
      </c>
      <c r="C1050" s="12" t="s">
        <v>33</v>
      </c>
      <c r="D1050">
        <v>21</v>
      </c>
      <c r="E1050">
        <v>35</v>
      </c>
      <c r="F1050">
        <v>8</v>
      </c>
      <c r="G1050" t="b">
        <v>0</v>
      </c>
      <c r="H1050">
        <v>20.260000000000002</v>
      </c>
      <c r="I1050">
        <v>69121</v>
      </c>
      <c r="J1050">
        <v>4.5</v>
      </c>
      <c r="K1050">
        <v>1.1000000000000001</v>
      </c>
      <c r="L1050">
        <v>1978</v>
      </c>
      <c r="M1050">
        <v>1200</v>
      </c>
      <c r="N1050">
        <v>14</v>
      </c>
      <c r="O1050">
        <v>0.60667340748230536</v>
      </c>
    </row>
    <row r="1051" spans="1:15" x14ac:dyDescent="0.3">
      <c r="A1051" s="13" t="s">
        <v>37</v>
      </c>
      <c r="B1051" s="12" t="s">
        <v>30</v>
      </c>
      <c r="C1051" s="12" t="s">
        <v>33</v>
      </c>
      <c r="D1051">
        <v>21</v>
      </c>
      <c r="E1051">
        <v>36</v>
      </c>
      <c r="F1051">
        <v>9</v>
      </c>
      <c r="G1051" t="b">
        <v>0</v>
      </c>
      <c r="H1051">
        <v>20.260000000000002</v>
      </c>
      <c r="I1051">
        <v>121666</v>
      </c>
      <c r="J1051">
        <v>4.5</v>
      </c>
      <c r="K1051">
        <v>0.7</v>
      </c>
      <c r="L1051">
        <v>1975</v>
      </c>
      <c r="M1051">
        <v>1840</v>
      </c>
      <c r="N1051">
        <v>15</v>
      </c>
      <c r="O1051">
        <v>0.93164556962025313</v>
      </c>
    </row>
    <row r="1052" spans="1:15" x14ac:dyDescent="0.3">
      <c r="A1052" s="13" t="s">
        <v>37</v>
      </c>
      <c r="B1052" s="12" t="s">
        <v>30</v>
      </c>
      <c r="C1052" s="12" t="s">
        <v>33</v>
      </c>
      <c r="D1052">
        <v>21</v>
      </c>
      <c r="E1052">
        <v>37</v>
      </c>
      <c r="F1052">
        <v>9</v>
      </c>
      <c r="G1052" t="b">
        <v>0</v>
      </c>
      <c r="H1052">
        <v>20.260000000000002</v>
      </c>
      <c r="I1052">
        <v>121666</v>
      </c>
      <c r="J1052">
        <v>4.5</v>
      </c>
      <c r="K1052">
        <v>0.7</v>
      </c>
      <c r="L1052">
        <v>1975</v>
      </c>
      <c r="M1052">
        <v>0</v>
      </c>
      <c r="N1052">
        <v>16</v>
      </c>
      <c r="O1052">
        <v>0</v>
      </c>
    </row>
    <row r="1053" spans="1:15" x14ac:dyDescent="0.3">
      <c r="A1053" s="13" t="s">
        <v>37</v>
      </c>
      <c r="B1053" s="12" t="s">
        <v>30</v>
      </c>
      <c r="C1053" s="12" t="s">
        <v>33</v>
      </c>
      <c r="D1053">
        <v>21</v>
      </c>
      <c r="E1053">
        <v>38</v>
      </c>
      <c r="F1053">
        <v>9</v>
      </c>
      <c r="G1053" t="b">
        <v>0</v>
      </c>
      <c r="H1053">
        <v>20.260000000000002</v>
      </c>
      <c r="I1053">
        <v>121666</v>
      </c>
      <c r="J1053">
        <v>3.9</v>
      </c>
      <c r="K1053">
        <v>0.7</v>
      </c>
      <c r="L1053">
        <v>1975</v>
      </c>
      <c r="M1053">
        <v>640</v>
      </c>
      <c r="N1053">
        <v>17</v>
      </c>
      <c r="O1053">
        <v>0.32405063291139241</v>
      </c>
    </row>
    <row r="1054" spans="1:15" x14ac:dyDescent="0.3">
      <c r="A1054" s="13" t="s">
        <v>37</v>
      </c>
      <c r="B1054" s="12" t="s">
        <v>30</v>
      </c>
      <c r="C1054" s="12" t="s">
        <v>33</v>
      </c>
      <c r="D1054">
        <v>21</v>
      </c>
      <c r="E1054">
        <v>39</v>
      </c>
      <c r="F1054">
        <v>9</v>
      </c>
      <c r="G1054" t="b">
        <v>0</v>
      </c>
      <c r="H1054">
        <v>20.260000000000002</v>
      </c>
      <c r="I1054">
        <v>121666</v>
      </c>
      <c r="J1054">
        <v>3.9</v>
      </c>
      <c r="K1054">
        <v>0.7</v>
      </c>
      <c r="L1054">
        <v>1975</v>
      </c>
      <c r="M1054">
        <v>240</v>
      </c>
      <c r="N1054">
        <v>18</v>
      </c>
      <c r="O1054">
        <v>0.12151898734177215</v>
      </c>
    </row>
    <row r="1055" spans="1:15" x14ac:dyDescent="0.3">
      <c r="A1055" s="13" t="s">
        <v>37</v>
      </c>
      <c r="B1055" s="12" t="s">
        <v>30</v>
      </c>
      <c r="C1055" s="12" t="s">
        <v>33</v>
      </c>
      <c r="D1055">
        <v>21</v>
      </c>
      <c r="E1055">
        <v>40</v>
      </c>
      <c r="F1055">
        <v>9</v>
      </c>
      <c r="G1055" t="b">
        <v>0</v>
      </c>
      <c r="H1055">
        <v>20.260000000000002</v>
      </c>
      <c r="I1055">
        <v>121666</v>
      </c>
      <c r="J1055">
        <v>3.9</v>
      </c>
      <c r="K1055">
        <v>0.7</v>
      </c>
      <c r="L1055">
        <v>560</v>
      </c>
      <c r="M1055">
        <v>1120</v>
      </c>
      <c r="N1055">
        <v>19</v>
      </c>
      <c r="O1055">
        <v>2</v>
      </c>
    </row>
    <row r="1056" spans="1:15" x14ac:dyDescent="0.3">
      <c r="A1056" s="13" t="s">
        <v>37</v>
      </c>
      <c r="B1056" s="12" t="s">
        <v>30</v>
      </c>
      <c r="C1056" s="12" t="s">
        <v>33</v>
      </c>
      <c r="D1056">
        <v>21</v>
      </c>
      <c r="E1056">
        <v>41</v>
      </c>
      <c r="F1056">
        <v>10</v>
      </c>
      <c r="G1056" t="b">
        <v>0</v>
      </c>
      <c r="H1056">
        <v>20.260000000000002</v>
      </c>
      <c r="I1056">
        <v>126488</v>
      </c>
      <c r="J1056">
        <v>3.9</v>
      </c>
      <c r="K1056">
        <v>0.9</v>
      </c>
      <c r="L1056">
        <v>560</v>
      </c>
      <c r="M1056">
        <v>960</v>
      </c>
      <c r="N1056">
        <v>20</v>
      </c>
      <c r="O1056">
        <v>1.7142857142857142</v>
      </c>
    </row>
    <row r="1057" spans="1:15" x14ac:dyDescent="0.3">
      <c r="A1057" s="13" t="s">
        <v>37</v>
      </c>
      <c r="B1057" s="12" t="s">
        <v>30</v>
      </c>
      <c r="C1057" s="12" t="s">
        <v>33</v>
      </c>
      <c r="D1057">
        <v>21</v>
      </c>
      <c r="E1057">
        <v>42</v>
      </c>
      <c r="F1057">
        <v>10</v>
      </c>
      <c r="G1057" t="b">
        <v>0</v>
      </c>
      <c r="H1057">
        <v>20.260000000000002</v>
      </c>
      <c r="I1057">
        <v>126488</v>
      </c>
      <c r="J1057">
        <v>3.9</v>
      </c>
      <c r="K1057">
        <v>0.9</v>
      </c>
      <c r="L1057">
        <v>560</v>
      </c>
      <c r="M1057">
        <v>1520</v>
      </c>
      <c r="N1057">
        <v>21</v>
      </c>
      <c r="O1057">
        <v>2.7142857142857144</v>
      </c>
    </row>
    <row r="1058" spans="1:15" x14ac:dyDescent="0.3">
      <c r="A1058" s="13" t="s">
        <v>37</v>
      </c>
      <c r="B1058" s="12" t="s">
        <v>30</v>
      </c>
      <c r="C1058" s="12" t="s">
        <v>33</v>
      </c>
      <c r="D1058">
        <v>21</v>
      </c>
      <c r="E1058">
        <v>43</v>
      </c>
      <c r="F1058">
        <v>10</v>
      </c>
      <c r="G1058" t="b">
        <v>0</v>
      </c>
      <c r="H1058">
        <v>20.260000000000002</v>
      </c>
      <c r="I1058">
        <v>126488</v>
      </c>
      <c r="J1058">
        <v>3.65</v>
      </c>
      <c r="K1058">
        <v>0.9</v>
      </c>
      <c r="L1058">
        <v>560</v>
      </c>
      <c r="M1058">
        <v>0</v>
      </c>
      <c r="N1058">
        <v>22</v>
      </c>
      <c r="O1058">
        <v>0</v>
      </c>
    </row>
    <row r="1059" spans="1:15" x14ac:dyDescent="0.3">
      <c r="A1059" s="13" t="s">
        <v>37</v>
      </c>
      <c r="B1059" s="12" t="s">
        <v>30</v>
      </c>
      <c r="C1059" s="12" t="s">
        <v>33</v>
      </c>
      <c r="D1059">
        <v>21</v>
      </c>
      <c r="E1059">
        <v>44</v>
      </c>
      <c r="F1059">
        <v>10</v>
      </c>
      <c r="G1059" t="b">
        <v>1</v>
      </c>
      <c r="H1059">
        <v>20.260000000000002</v>
      </c>
      <c r="I1059">
        <v>126488</v>
      </c>
      <c r="J1059">
        <v>3.65</v>
      </c>
      <c r="K1059">
        <v>0.9</v>
      </c>
      <c r="L1059">
        <v>1460</v>
      </c>
      <c r="M1059">
        <v>1600</v>
      </c>
      <c r="N1059">
        <v>23</v>
      </c>
      <c r="O1059">
        <v>1.095890410958904</v>
      </c>
    </row>
    <row r="1060" spans="1:15" x14ac:dyDescent="0.3">
      <c r="A1060" s="13" t="s">
        <v>37</v>
      </c>
      <c r="B1060" s="12" t="s">
        <v>30</v>
      </c>
      <c r="C1060" s="12" t="s">
        <v>33</v>
      </c>
      <c r="D1060">
        <v>22</v>
      </c>
      <c r="E1060">
        <v>45</v>
      </c>
      <c r="F1060">
        <v>11</v>
      </c>
      <c r="G1060" t="b">
        <v>0</v>
      </c>
      <c r="H1060">
        <v>20.260000000000002</v>
      </c>
      <c r="I1060">
        <v>124251</v>
      </c>
      <c r="J1060">
        <v>3.65</v>
      </c>
      <c r="K1060">
        <v>1.3</v>
      </c>
      <c r="L1060">
        <v>1460</v>
      </c>
      <c r="M1060">
        <v>400</v>
      </c>
      <c r="N1060">
        <v>23</v>
      </c>
      <c r="O1060">
        <v>0.27397260273972601</v>
      </c>
    </row>
    <row r="1061" spans="1:15" x14ac:dyDescent="0.3">
      <c r="A1061" s="13" t="s">
        <v>37</v>
      </c>
      <c r="B1061" s="12" t="s">
        <v>30</v>
      </c>
      <c r="C1061" s="12" t="s">
        <v>33</v>
      </c>
      <c r="D1061">
        <v>22</v>
      </c>
      <c r="E1061">
        <v>46</v>
      </c>
      <c r="F1061">
        <v>11</v>
      </c>
      <c r="G1061" t="b">
        <v>0</v>
      </c>
      <c r="H1061">
        <v>20.260000000000002</v>
      </c>
      <c r="I1061">
        <v>124251</v>
      </c>
      <c r="J1061">
        <v>3.65</v>
      </c>
      <c r="K1061">
        <v>1.3</v>
      </c>
      <c r="L1061">
        <v>1460</v>
      </c>
      <c r="M1061">
        <v>4240</v>
      </c>
      <c r="N1061">
        <v>24</v>
      </c>
      <c r="O1061">
        <v>2.904109589041096</v>
      </c>
    </row>
    <row r="1062" spans="1:15" x14ac:dyDescent="0.3">
      <c r="A1062" s="13" t="s">
        <v>37</v>
      </c>
      <c r="B1062" s="12" t="s">
        <v>30</v>
      </c>
      <c r="C1062" s="12" t="s">
        <v>33</v>
      </c>
      <c r="D1062">
        <v>22</v>
      </c>
      <c r="E1062">
        <v>47</v>
      </c>
      <c r="F1062">
        <v>11</v>
      </c>
      <c r="G1062" t="b">
        <v>0</v>
      </c>
      <c r="H1062">
        <v>20.260000000000002</v>
      </c>
      <c r="I1062">
        <v>124251</v>
      </c>
      <c r="J1062">
        <v>3.65</v>
      </c>
      <c r="K1062">
        <v>1.3</v>
      </c>
      <c r="L1062">
        <v>1460</v>
      </c>
      <c r="M1062">
        <v>0</v>
      </c>
      <c r="N1062">
        <v>25</v>
      </c>
      <c r="O1062">
        <v>0</v>
      </c>
    </row>
    <row r="1063" spans="1:15" x14ac:dyDescent="0.3">
      <c r="A1063" s="13" t="s">
        <v>37</v>
      </c>
      <c r="B1063" s="12" t="s">
        <v>30</v>
      </c>
      <c r="C1063" s="12" t="s">
        <v>33</v>
      </c>
      <c r="D1063">
        <v>26</v>
      </c>
      <c r="E1063">
        <v>48</v>
      </c>
      <c r="F1063">
        <v>11</v>
      </c>
      <c r="G1063" t="b">
        <v>0</v>
      </c>
      <c r="H1063">
        <v>20.260000000000002</v>
      </c>
      <c r="I1063">
        <v>124251</v>
      </c>
      <c r="J1063">
        <v>3.65</v>
      </c>
      <c r="K1063">
        <v>1.3</v>
      </c>
      <c r="L1063">
        <v>672</v>
      </c>
      <c r="M1063">
        <v>0</v>
      </c>
      <c r="N1063">
        <v>22</v>
      </c>
      <c r="O1063">
        <v>0</v>
      </c>
    </row>
    <row r="1064" spans="1:15" x14ac:dyDescent="0.3">
      <c r="A1064" s="13" t="s">
        <v>37</v>
      </c>
      <c r="B1064" s="12" t="s">
        <v>30</v>
      </c>
      <c r="C1064" s="12" t="s">
        <v>33</v>
      </c>
      <c r="D1064">
        <v>26</v>
      </c>
      <c r="E1064">
        <v>49</v>
      </c>
      <c r="F1064">
        <v>12</v>
      </c>
      <c r="G1064" t="b">
        <v>1</v>
      </c>
      <c r="H1064">
        <v>20.260000000000002</v>
      </c>
      <c r="I1064">
        <v>105715</v>
      </c>
      <c r="J1064">
        <v>3.65</v>
      </c>
      <c r="K1064">
        <v>1.3</v>
      </c>
      <c r="L1064">
        <v>672</v>
      </c>
      <c r="M1064">
        <v>1040</v>
      </c>
      <c r="N1064">
        <v>23</v>
      </c>
      <c r="O1064">
        <v>1.5476190476190477</v>
      </c>
    </row>
    <row r="1065" spans="1:15" x14ac:dyDescent="0.3">
      <c r="A1065" s="13" t="s">
        <v>37</v>
      </c>
      <c r="B1065" s="12" t="s">
        <v>30</v>
      </c>
      <c r="C1065" s="12" t="s">
        <v>33</v>
      </c>
      <c r="D1065">
        <v>25</v>
      </c>
      <c r="E1065">
        <v>50</v>
      </c>
      <c r="F1065">
        <v>12</v>
      </c>
      <c r="G1065" t="b">
        <v>0</v>
      </c>
      <c r="H1065">
        <v>20.260000000000002</v>
      </c>
      <c r="I1065">
        <v>105715</v>
      </c>
      <c r="J1065">
        <v>3.4</v>
      </c>
      <c r="K1065">
        <v>1.3</v>
      </c>
      <c r="L1065">
        <v>672</v>
      </c>
      <c r="M1065">
        <v>2560</v>
      </c>
      <c r="N1065">
        <v>25</v>
      </c>
      <c r="O1065">
        <v>3.8095238095238093</v>
      </c>
    </row>
    <row r="1066" spans="1:15" x14ac:dyDescent="0.3">
      <c r="A1066" s="13" t="s">
        <v>37</v>
      </c>
      <c r="B1066" s="12" t="s">
        <v>30</v>
      </c>
      <c r="C1066" s="12" t="s">
        <v>33</v>
      </c>
      <c r="D1066">
        <v>25</v>
      </c>
      <c r="E1066">
        <v>51</v>
      </c>
      <c r="F1066">
        <v>12</v>
      </c>
      <c r="G1066" t="b">
        <v>0</v>
      </c>
      <c r="H1066">
        <v>20.260000000000002</v>
      </c>
      <c r="I1066">
        <v>105715</v>
      </c>
      <c r="J1066">
        <v>3.4</v>
      </c>
      <c r="K1066">
        <v>1.3</v>
      </c>
      <c r="L1066">
        <v>672</v>
      </c>
      <c r="M1066">
        <v>0</v>
      </c>
      <c r="N1066">
        <v>26</v>
      </c>
      <c r="O1066">
        <v>0</v>
      </c>
    </row>
    <row r="1067" spans="1:15" x14ac:dyDescent="0.3">
      <c r="A1067" s="13" t="s">
        <v>37</v>
      </c>
      <c r="B1067" s="12" t="s">
        <v>30</v>
      </c>
      <c r="C1067" s="12" t="s">
        <v>33</v>
      </c>
      <c r="D1067">
        <v>26</v>
      </c>
      <c r="E1067">
        <v>52</v>
      </c>
      <c r="F1067">
        <v>12</v>
      </c>
      <c r="G1067" t="b">
        <v>1</v>
      </c>
      <c r="H1067">
        <v>20.260000000000002</v>
      </c>
      <c r="I1067">
        <v>105715</v>
      </c>
      <c r="J1067">
        <v>3.4</v>
      </c>
      <c r="K1067">
        <v>1.3</v>
      </c>
      <c r="L1067">
        <v>672</v>
      </c>
      <c r="M1067">
        <v>0</v>
      </c>
      <c r="N1067">
        <v>26</v>
      </c>
      <c r="O1067">
        <v>0</v>
      </c>
    </row>
    <row r="1068" spans="1:15" x14ac:dyDescent="0.3">
      <c r="A1068" s="13" t="s">
        <v>37</v>
      </c>
      <c r="B1068" s="12" t="s">
        <v>30</v>
      </c>
      <c r="C1068" s="12" t="s">
        <v>33</v>
      </c>
      <c r="D1068">
        <v>28</v>
      </c>
      <c r="E1068">
        <v>1</v>
      </c>
      <c r="F1068">
        <v>12</v>
      </c>
      <c r="G1068" t="b">
        <v>1</v>
      </c>
      <c r="H1068">
        <v>20.260000000000002</v>
      </c>
      <c r="I1068">
        <v>105715</v>
      </c>
      <c r="J1068">
        <v>3.4</v>
      </c>
      <c r="K1068">
        <v>1.3</v>
      </c>
      <c r="L1068">
        <v>1120</v>
      </c>
      <c r="M1068">
        <v>3200</v>
      </c>
      <c r="N1068">
        <v>25</v>
      </c>
      <c r="O1068">
        <v>2.8571428571428572</v>
      </c>
    </row>
    <row r="1069" spans="1:15" x14ac:dyDescent="0.3">
      <c r="A1069" s="13" t="s">
        <v>37</v>
      </c>
      <c r="B1069" s="12" t="s">
        <v>30</v>
      </c>
      <c r="C1069" s="12" t="s">
        <v>33</v>
      </c>
      <c r="D1069">
        <v>28</v>
      </c>
      <c r="E1069">
        <v>2</v>
      </c>
      <c r="F1069">
        <v>1</v>
      </c>
      <c r="G1069" t="b">
        <v>1</v>
      </c>
      <c r="H1069">
        <v>20.260000000000002</v>
      </c>
      <c r="I1069">
        <v>133692</v>
      </c>
      <c r="J1069">
        <v>3.4</v>
      </c>
      <c r="K1069">
        <v>1.5</v>
      </c>
      <c r="L1069">
        <v>1120</v>
      </c>
      <c r="M1069">
        <v>1200</v>
      </c>
      <c r="N1069">
        <v>26</v>
      </c>
      <c r="O1069">
        <v>1.0714285714285714</v>
      </c>
    </row>
    <row r="1070" spans="1:15" x14ac:dyDescent="0.3">
      <c r="A1070" s="13" t="s">
        <v>37</v>
      </c>
      <c r="B1070" s="12" t="s">
        <v>30</v>
      </c>
      <c r="C1070" s="12" t="s">
        <v>33</v>
      </c>
      <c r="D1070">
        <v>29</v>
      </c>
      <c r="E1070">
        <v>3</v>
      </c>
      <c r="F1070">
        <v>1</v>
      </c>
      <c r="G1070" t="b">
        <v>0</v>
      </c>
      <c r="H1070">
        <v>20.260000000000002</v>
      </c>
      <c r="I1070">
        <v>133692</v>
      </c>
      <c r="J1070">
        <v>3.4</v>
      </c>
      <c r="K1070">
        <v>1.5</v>
      </c>
      <c r="L1070">
        <v>1120</v>
      </c>
      <c r="M1070">
        <v>2720</v>
      </c>
      <c r="N1070">
        <v>26</v>
      </c>
      <c r="O1070">
        <v>2.4285714285714284</v>
      </c>
    </row>
    <row r="1071" spans="1:15" x14ac:dyDescent="0.3">
      <c r="A1071" s="13" t="s">
        <v>37</v>
      </c>
      <c r="B1071" s="12" t="s">
        <v>30</v>
      </c>
      <c r="C1071" s="12" t="s">
        <v>33</v>
      </c>
      <c r="D1071">
        <v>29</v>
      </c>
      <c r="E1071">
        <v>4</v>
      </c>
      <c r="F1071">
        <v>1</v>
      </c>
      <c r="G1071" t="b">
        <v>0</v>
      </c>
      <c r="H1071">
        <v>20.260000000000002</v>
      </c>
      <c r="I1071">
        <v>133692</v>
      </c>
      <c r="J1071">
        <v>3.4</v>
      </c>
      <c r="K1071">
        <v>1.5</v>
      </c>
      <c r="L1071">
        <v>1120</v>
      </c>
      <c r="M1071">
        <v>80</v>
      </c>
      <c r="N1071">
        <v>27</v>
      </c>
      <c r="O1071">
        <v>7.1428571428571425E-2</v>
      </c>
    </row>
    <row r="1072" spans="1:15" x14ac:dyDescent="0.3">
      <c r="A1072" s="13" t="s">
        <v>37</v>
      </c>
      <c r="B1072" s="12" t="s">
        <v>30</v>
      </c>
      <c r="C1072" s="12" t="s">
        <v>33</v>
      </c>
      <c r="D1072">
        <v>37</v>
      </c>
      <c r="E1072">
        <v>5</v>
      </c>
      <c r="F1072">
        <v>1</v>
      </c>
      <c r="G1072" t="b">
        <v>0</v>
      </c>
      <c r="H1072">
        <v>20.260000000000002</v>
      </c>
      <c r="I1072">
        <v>133692</v>
      </c>
      <c r="J1072">
        <v>3.4</v>
      </c>
      <c r="K1072">
        <v>1.5</v>
      </c>
      <c r="L1072">
        <v>1220</v>
      </c>
      <c r="M1072">
        <v>2880</v>
      </c>
      <c r="N1072">
        <v>20</v>
      </c>
      <c r="O1072">
        <v>2.360655737704918</v>
      </c>
    </row>
    <row r="1073" spans="1:15" x14ac:dyDescent="0.3">
      <c r="A1073" s="13" t="s">
        <v>37</v>
      </c>
      <c r="B1073" s="12" t="s">
        <v>30</v>
      </c>
      <c r="C1073" s="12" t="s">
        <v>33</v>
      </c>
      <c r="D1073">
        <v>37</v>
      </c>
      <c r="E1073">
        <v>6</v>
      </c>
      <c r="F1073">
        <v>2</v>
      </c>
      <c r="G1073" t="b">
        <v>0</v>
      </c>
      <c r="H1073">
        <v>20.260000000000002</v>
      </c>
      <c r="I1073">
        <v>137922</v>
      </c>
      <c r="J1073">
        <v>3.15</v>
      </c>
      <c r="K1073">
        <v>1.6</v>
      </c>
      <c r="L1073">
        <v>1220</v>
      </c>
      <c r="M1073">
        <v>0</v>
      </c>
      <c r="N1073">
        <v>21</v>
      </c>
      <c r="O1073">
        <v>0</v>
      </c>
    </row>
    <row r="1074" spans="1:15" x14ac:dyDescent="0.3">
      <c r="A1074" s="13" t="s">
        <v>37</v>
      </c>
      <c r="B1074" s="12" t="s">
        <v>30</v>
      </c>
      <c r="C1074" s="12" t="s">
        <v>33</v>
      </c>
      <c r="D1074">
        <v>37</v>
      </c>
      <c r="E1074">
        <v>7</v>
      </c>
      <c r="F1074">
        <v>2</v>
      </c>
      <c r="G1074" t="b">
        <v>0</v>
      </c>
      <c r="H1074">
        <v>20.260000000000002</v>
      </c>
      <c r="I1074">
        <v>137922</v>
      </c>
      <c r="J1074">
        <v>3.15</v>
      </c>
      <c r="K1074">
        <v>1.6</v>
      </c>
      <c r="L1074">
        <v>1220</v>
      </c>
      <c r="M1074">
        <v>0</v>
      </c>
      <c r="N1074">
        <v>22</v>
      </c>
      <c r="O1074">
        <v>0</v>
      </c>
    </row>
    <row r="1075" spans="1:15" x14ac:dyDescent="0.3">
      <c r="A1075" s="13" t="s">
        <v>37</v>
      </c>
      <c r="B1075" s="12" t="s">
        <v>30</v>
      </c>
      <c r="C1075" s="12" t="s">
        <v>33</v>
      </c>
      <c r="D1075">
        <v>37</v>
      </c>
      <c r="E1075">
        <v>8</v>
      </c>
      <c r="F1075">
        <v>2</v>
      </c>
      <c r="G1075" t="b">
        <v>0</v>
      </c>
      <c r="H1075">
        <v>20.260000000000002</v>
      </c>
      <c r="I1075">
        <v>137922</v>
      </c>
      <c r="J1075">
        <v>3.15</v>
      </c>
      <c r="K1075">
        <v>1.6</v>
      </c>
      <c r="L1075">
        <v>1220</v>
      </c>
      <c r="M1075">
        <v>0</v>
      </c>
      <c r="N1075">
        <v>23</v>
      </c>
      <c r="O1075">
        <v>0</v>
      </c>
    </row>
    <row r="1076" spans="1:15" x14ac:dyDescent="0.3">
      <c r="A1076" s="13" t="s">
        <v>37</v>
      </c>
      <c r="B1076" s="12" t="s">
        <v>30</v>
      </c>
      <c r="C1076" s="12" t="s">
        <v>33</v>
      </c>
      <c r="D1076">
        <v>38</v>
      </c>
      <c r="E1076">
        <v>9</v>
      </c>
      <c r="F1076">
        <v>2</v>
      </c>
      <c r="G1076" t="b">
        <v>0</v>
      </c>
      <c r="H1076">
        <v>20.260000000000002</v>
      </c>
      <c r="I1076">
        <v>137922</v>
      </c>
      <c r="J1076">
        <v>3.15</v>
      </c>
      <c r="K1076">
        <v>1.6</v>
      </c>
      <c r="L1076">
        <v>1264</v>
      </c>
      <c r="M1076">
        <v>0</v>
      </c>
      <c r="N1076">
        <v>23</v>
      </c>
      <c r="O1076">
        <v>0</v>
      </c>
    </row>
    <row r="1077" spans="1:15" x14ac:dyDescent="0.3">
      <c r="A1077" s="13" t="s">
        <v>37</v>
      </c>
      <c r="B1077" s="12" t="s">
        <v>30</v>
      </c>
      <c r="C1077" s="12" t="s">
        <v>33</v>
      </c>
      <c r="D1077">
        <v>38</v>
      </c>
      <c r="E1077">
        <v>10</v>
      </c>
      <c r="F1077">
        <v>3</v>
      </c>
      <c r="G1077" t="b">
        <v>0</v>
      </c>
      <c r="H1077">
        <v>20.260000000000002</v>
      </c>
      <c r="I1077">
        <v>172223</v>
      </c>
      <c r="J1077">
        <v>3.15</v>
      </c>
      <c r="K1077">
        <v>1.9</v>
      </c>
      <c r="L1077">
        <v>1264</v>
      </c>
      <c r="M1077">
        <v>240</v>
      </c>
      <c r="N1077">
        <v>24</v>
      </c>
      <c r="O1077">
        <v>0.189873417721519</v>
      </c>
    </row>
    <row r="1078" spans="1:15" x14ac:dyDescent="0.3">
      <c r="A1078" s="13" t="s">
        <v>37</v>
      </c>
      <c r="B1078" s="12" t="s">
        <v>30</v>
      </c>
      <c r="C1078" s="12" t="s">
        <v>33</v>
      </c>
      <c r="D1078">
        <v>38</v>
      </c>
      <c r="E1078">
        <v>11</v>
      </c>
      <c r="F1078">
        <v>3</v>
      </c>
      <c r="G1078" t="b">
        <v>0</v>
      </c>
      <c r="H1078">
        <v>20.260000000000002</v>
      </c>
      <c r="I1078">
        <v>172223</v>
      </c>
      <c r="J1078">
        <v>2.9</v>
      </c>
      <c r="K1078">
        <v>1.9</v>
      </c>
      <c r="L1078">
        <v>1264</v>
      </c>
      <c r="M1078">
        <v>880</v>
      </c>
      <c r="N1078">
        <v>25</v>
      </c>
      <c r="O1078">
        <v>0.69620253164556967</v>
      </c>
    </row>
    <row r="1079" spans="1:15" x14ac:dyDescent="0.3">
      <c r="A1079" s="13" t="s">
        <v>37</v>
      </c>
      <c r="B1079" s="12" t="s">
        <v>30</v>
      </c>
      <c r="C1079" s="12" t="s">
        <v>33</v>
      </c>
      <c r="D1079">
        <v>39</v>
      </c>
      <c r="E1079">
        <v>12</v>
      </c>
      <c r="F1079">
        <v>3</v>
      </c>
      <c r="G1079" t="b">
        <v>0</v>
      </c>
      <c r="H1079">
        <v>20.260000000000002</v>
      </c>
      <c r="I1079">
        <v>172223</v>
      </c>
      <c r="J1079">
        <v>2.9</v>
      </c>
      <c r="K1079">
        <v>1.9</v>
      </c>
      <c r="L1079">
        <v>1264</v>
      </c>
      <c r="M1079">
        <v>960</v>
      </c>
      <c r="N1079">
        <v>25</v>
      </c>
      <c r="O1079">
        <v>0.759493670886076</v>
      </c>
    </row>
    <row r="1080" spans="1:15" x14ac:dyDescent="0.3">
      <c r="A1080" s="13" t="s">
        <v>37</v>
      </c>
      <c r="B1080" s="12" t="s">
        <v>30</v>
      </c>
      <c r="C1080" s="12" t="s">
        <v>33</v>
      </c>
      <c r="D1080">
        <v>43</v>
      </c>
      <c r="E1080">
        <v>13</v>
      </c>
      <c r="F1080">
        <v>3</v>
      </c>
      <c r="G1080" t="b">
        <v>0</v>
      </c>
      <c r="H1080">
        <v>20.260000000000002</v>
      </c>
      <c r="I1080">
        <v>172223</v>
      </c>
      <c r="J1080">
        <v>2.9</v>
      </c>
      <c r="K1080">
        <v>1.9</v>
      </c>
      <c r="L1080">
        <v>1</v>
      </c>
      <c r="M1080">
        <v>960</v>
      </c>
      <c r="N1080">
        <v>22</v>
      </c>
      <c r="O1080">
        <v>960</v>
      </c>
    </row>
    <row r="1081" spans="1:15" x14ac:dyDescent="0.3">
      <c r="A1081" s="13" t="s">
        <v>37</v>
      </c>
      <c r="B1081" s="12" t="s">
        <v>30</v>
      </c>
      <c r="C1081" s="12" t="s">
        <v>33</v>
      </c>
      <c r="D1081">
        <v>46</v>
      </c>
      <c r="E1081">
        <v>14</v>
      </c>
      <c r="F1081">
        <v>3</v>
      </c>
      <c r="G1081" t="b">
        <v>0</v>
      </c>
      <c r="H1081">
        <v>20.260000000000002</v>
      </c>
      <c r="I1081">
        <v>172223</v>
      </c>
      <c r="J1081">
        <v>2.9</v>
      </c>
      <c r="K1081">
        <v>1.9</v>
      </c>
      <c r="L1081">
        <v>1540</v>
      </c>
      <c r="M1081">
        <v>1360</v>
      </c>
      <c r="N1081">
        <v>20</v>
      </c>
      <c r="O1081">
        <v>0.88311688311688308</v>
      </c>
    </row>
    <row r="1082" spans="1:15" x14ac:dyDescent="0.3">
      <c r="A1082" s="13" t="s">
        <v>37</v>
      </c>
      <c r="B1082" s="12" t="s">
        <v>30</v>
      </c>
      <c r="C1082" s="12" t="s">
        <v>33</v>
      </c>
      <c r="D1082">
        <v>47</v>
      </c>
      <c r="E1082">
        <v>15</v>
      </c>
      <c r="F1082">
        <v>4</v>
      </c>
      <c r="G1082" t="b">
        <v>0</v>
      </c>
      <c r="H1082">
        <v>20.260000000000002</v>
      </c>
      <c r="I1082">
        <v>139084</v>
      </c>
      <c r="J1082">
        <v>2.9</v>
      </c>
      <c r="K1082">
        <v>1.9</v>
      </c>
      <c r="L1082">
        <v>1540</v>
      </c>
      <c r="M1082">
        <v>1520</v>
      </c>
      <c r="N1082">
        <v>20</v>
      </c>
      <c r="O1082">
        <v>0.98701298701298701</v>
      </c>
    </row>
    <row r="1083" spans="1:15" x14ac:dyDescent="0.3">
      <c r="A1083" s="13" t="s">
        <v>37</v>
      </c>
      <c r="B1083" s="12" t="s">
        <v>30</v>
      </c>
      <c r="C1083" s="12" t="s">
        <v>33</v>
      </c>
      <c r="D1083">
        <v>48</v>
      </c>
      <c r="E1083">
        <v>16</v>
      </c>
      <c r="F1083">
        <v>4</v>
      </c>
      <c r="G1083" t="b">
        <v>0</v>
      </c>
      <c r="H1083">
        <v>20.260000000000002</v>
      </c>
      <c r="I1083">
        <v>139084</v>
      </c>
      <c r="J1083">
        <v>2.9</v>
      </c>
      <c r="K1083">
        <v>1.9</v>
      </c>
      <c r="L1083">
        <v>1540</v>
      </c>
      <c r="M1083">
        <v>1360</v>
      </c>
      <c r="N1083">
        <v>20</v>
      </c>
      <c r="O1083">
        <v>0.88311688311688308</v>
      </c>
    </row>
    <row r="1084" spans="1:15" x14ac:dyDescent="0.3">
      <c r="A1084" s="13" t="s">
        <v>37</v>
      </c>
      <c r="B1084" s="12" t="s">
        <v>30</v>
      </c>
      <c r="C1084" s="12" t="s">
        <v>33</v>
      </c>
      <c r="D1084">
        <v>1</v>
      </c>
      <c r="E1084">
        <v>17</v>
      </c>
      <c r="F1084">
        <v>4</v>
      </c>
      <c r="G1084" t="b">
        <v>1</v>
      </c>
      <c r="H1084">
        <v>20.260000000000002</v>
      </c>
      <c r="I1084">
        <v>139084</v>
      </c>
      <c r="J1084">
        <v>2.65</v>
      </c>
      <c r="K1084">
        <v>1.9</v>
      </c>
      <c r="L1084">
        <v>1080</v>
      </c>
      <c r="M1084">
        <v>1520</v>
      </c>
      <c r="N1084">
        <v>16</v>
      </c>
      <c r="O1084">
        <v>1.4074074074074074</v>
      </c>
    </row>
    <row r="1085" spans="1:15" x14ac:dyDescent="0.3">
      <c r="A1085" s="13" t="s">
        <v>37</v>
      </c>
      <c r="B1085" s="12" t="s">
        <v>30</v>
      </c>
      <c r="C1085" s="12" t="s">
        <v>33</v>
      </c>
      <c r="D1085">
        <v>1</v>
      </c>
      <c r="E1085">
        <v>18</v>
      </c>
      <c r="F1085">
        <v>4</v>
      </c>
      <c r="G1085" t="b">
        <v>1</v>
      </c>
      <c r="H1085">
        <v>20.260000000000002</v>
      </c>
      <c r="I1085">
        <v>139084</v>
      </c>
      <c r="J1085">
        <v>2.65</v>
      </c>
      <c r="K1085">
        <v>1.9</v>
      </c>
      <c r="L1085">
        <v>940</v>
      </c>
      <c r="M1085">
        <v>400</v>
      </c>
      <c r="N1085">
        <v>17</v>
      </c>
      <c r="O1085">
        <v>0.42553191489361702</v>
      </c>
    </row>
    <row r="1086" spans="1:15" x14ac:dyDescent="0.3">
      <c r="A1086" s="13" t="s">
        <v>37</v>
      </c>
      <c r="B1086" s="12" t="s">
        <v>30</v>
      </c>
      <c r="C1086" s="12" t="s">
        <v>33</v>
      </c>
      <c r="D1086">
        <v>2</v>
      </c>
      <c r="E1086">
        <v>19</v>
      </c>
      <c r="F1086">
        <v>5</v>
      </c>
      <c r="G1086" t="b">
        <v>0</v>
      </c>
      <c r="H1086">
        <v>20.260000000000002</v>
      </c>
      <c r="I1086">
        <v>139390</v>
      </c>
      <c r="J1086">
        <v>2.65</v>
      </c>
      <c r="K1086">
        <v>1.6</v>
      </c>
      <c r="L1086">
        <v>940</v>
      </c>
      <c r="M1086">
        <v>640</v>
      </c>
      <c r="N1086">
        <v>17</v>
      </c>
      <c r="O1086">
        <v>0.68085106382978722</v>
      </c>
    </row>
    <row r="1087" spans="1:15" x14ac:dyDescent="0.3">
      <c r="A1087" s="13" t="s">
        <v>37</v>
      </c>
      <c r="B1087" s="12" t="s">
        <v>30</v>
      </c>
      <c r="C1087" s="12" t="s">
        <v>33</v>
      </c>
      <c r="D1087">
        <v>2</v>
      </c>
      <c r="E1087">
        <v>20</v>
      </c>
      <c r="F1087">
        <v>5</v>
      </c>
      <c r="G1087" t="b">
        <v>0</v>
      </c>
      <c r="H1087">
        <v>20.260000000000002</v>
      </c>
      <c r="I1087">
        <v>139390</v>
      </c>
      <c r="J1087">
        <v>2.65</v>
      </c>
      <c r="K1087">
        <v>1.6</v>
      </c>
      <c r="L1087">
        <v>940</v>
      </c>
      <c r="M1087">
        <v>2080</v>
      </c>
      <c r="N1087">
        <v>18</v>
      </c>
      <c r="O1087">
        <v>2.2127659574468086</v>
      </c>
    </row>
    <row r="1088" spans="1:15" x14ac:dyDescent="0.3">
      <c r="A1088" s="13" t="s">
        <v>37</v>
      </c>
      <c r="B1088" s="12" t="s">
        <v>30</v>
      </c>
      <c r="C1088" s="12" t="s">
        <v>33</v>
      </c>
      <c r="D1088">
        <v>2</v>
      </c>
      <c r="E1088">
        <v>21</v>
      </c>
      <c r="F1088">
        <v>5</v>
      </c>
      <c r="G1088" t="b">
        <v>0</v>
      </c>
      <c r="H1088">
        <v>20.260000000000002</v>
      </c>
      <c r="I1088">
        <v>139390</v>
      </c>
      <c r="J1088">
        <v>2.65</v>
      </c>
      <c r="K1088">
        <v>1.6</v>
      </c>
      <c r="L1088">
        <v>940</v>
      </c>
      <c r="M1088">
        <v>1120</v>
      </c>
      <c r="N1088">
        <v>19</v>
      </c>
      <c r="O1088">
        <v>1.1914893617021276</v>
      </c>
    </row>
    <row r="1089" spans="1:15" x14ac:dyDescent="0.3">
      <c r="A1089" s="13" t="s">
        <v>37</v>
      </c>
      <c r="B1089" s="12" t="s">
        <v>30</v>
      </c>
      <c r="C1089" s="12" t="s">
        <v>33</v>
      </c>
      <c r="D1089">
        <v>6</v>
      </c>
      <c r="E1089">
        <v>22</v>
      </c>
      <c r="F1089">
        <v>5</v>
      </c>
      <c r="G1089" t="b">
        <v>0</v>
      </c>
      <c r="H1089">
        <v>20.260000000000002</v>
      </c>
      <c r="I1089">
        <v>139390</v>
      </c>
      <c r="J1089">
        <v>2.65</v>
      </c>
      <c r="K1089">
        <v>1.6</v>
      </c>
      <c r="L1089">
        <v>1376</v>
      </c>
      <c r="M1089">
        <v>800</v>
      </c>
      <c r="N1089">
        <v>16</v>
      </c>
      <c r="O1089">
        <v>0.58139534883720934</v>
      </c>
    </row>
    <row r="1090" spans="1:15" x14ac:dyDescent="0.3">
      <c r="A1090" s="13" t="s">
        <v>37</v>
      </c>
      <c r="B1090" s="12" t="s">
        <v>30</v>
      </c>
      <c r="C1090" s="12" t="s">
        <v>33</v>
      </c>
      <c r="D1090">
        <v>6</v>
      </c>
      <c r="E1090">
        <v>23</v>
      </c>
      <c r="F1090">
        <v>5</v>
      </c>
      <c r="G1090" t="b">
        <v>1</v>
      </c>
      <c r="H1090">
        <v>20.260000000000002</v>
      </c>
      <c r="I1090">
        <v>139390</v>
      </c>
      <c r="J1090">
        <v>2.4</v>
      </c>
      <c r="K1090">
        <v>1.6</v>
      </c>
      <c r="L1090">
        <v>1376</v>
      </c>
      <c r="M1090">
        <v>1280</v>
      </c>
      <c r="N1090">
        <v>17</v>
      </c>
      <c r="O1090">
        <v>0.93023255813953487</v>
      </c>
    </row>
    <row r="1091" spans="1:15" x14ac:dyDescent="0.3">
      <c r="A1091" s="13" t="s">
        <v>37</v>
      </c>
      <c r="B1091" s="12" t="s">
        <v>30</v>
      </c>
      <c r="C1091" s="12" t="s">
        <v>33</v>
      </c>
      <c r="D1091">
        <v>6</v>
      </c>
      <c r="E1091">
        <v>24</v>
      </c>
      <c r="F1091">
        <v>6</v>
      </c>
      <c r="G1091" t="b">
        <v>0</v>
      </c>
      <c r="H1091">
        <v>20.260000000000002</v>
      </c>
      <c r="I1091">
        <v>132191</v>
      </c>
      <c r="J1091">
        <v>2.4</v>
      </c>
      <c r="K1091">
        <v>1.7</v>
      </c>
      <c r="L1091">
        <v>1376</v>
      </c>
      <c r="M1091">
        <v>1760</v>
      </c>
      <c r="N1091">
        <v>18</v>
      </c>
      <c r="O1091">
        <v>1.2790697674418605</v>
      </c>
    </row>
    <row r="1092" spans="1:15" x14ac:dyDescent="0.3">
      <c r="A1092" s="13" t="s">
        <v>37</v>
      </c>
      <c r="B1092" s="12" t="s">
        <v>30</v>
      </c>
      <c r="C1092" s="12" t="s">
        <v>33</v>
      </c>
      <c r="D1092">
        <v>6</v>
      </c>
      <c r="E1092">
        <v>25</v>
      </c>
      <c r="F1092">
        <v>6</v>
      </c>
      <c r="G1092" t="b">
        <v>0</v>
      </c>
      <c r="H1092">
        <v>20.260000000000002</v>
      </c>
      <c r="I1092">
        <v>132191</v>
      </c>
      <c r="J1092">
        <v>2.4</v>
      </c>
      <c r="K1092">
        <v>1.7</v>
      </c>
      <c r="L1092">
        <v>1376</v>
      </c>
      <c r="M1092">
        <v>560</v>
      </c>
      <c r="N1092">
        <v>19</v>
      </c>
      <c r="O1092">
        <v>0.40697674418604651</v>
      </c>
    </row>
    <row r="1093" spans="1:15" x14ac:dyDescent="0.3">
      <c r="A1093" s="13" t="s">
        <v>37</v>
      </c>
      <c r="B1093" s="12" t="s">
        <v>30</v>
      </c>
      <c r="C1093" s="12" t="s">
        <v>33</v>
      </c>
      <c r="D1093">
        <v>7</v>
      </c>
      <c r="E1093">
        <v>26</v>
      </c>
      <c r="F1093">
        <v>6</v>
      </c>
      <c r="G1093" t="b">
        <v>0</v>
      </c>
      <c r="H1093">
        <v>20.260000000000002</v>
      </c>
      <c r="I1093">
        <v>132191</v>
      </c>
      <c r="J1093">
        <v>2.4</v>
      </c>
      <c r="K1093">
        <v>1.7</v>
      </c>
      <c r="L1093">
        <v>1376</v>
      </c>
      <c r="M1093">
        <v>560</v>
      </c>
      <c r="N1093">
        <v>19</v>
      </c>
      <c r="O1093">
        <v>0.40697674418604651</v>
      </c>
    </row>
  </sheetData>
  <autoFilter ref="A1:O1093" xr:uid="{79233A14-D0F4-4250-BC67-028B92A86A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Final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Rodrigues Pereira BRH RPVB</dc:creator>
  <cp:lastModifiedBy>Rafael Rodrigues Pereira BRH RPVB</cp:lastModifiedBy>
  <dcterms:created xsi:type="dcterms:W3CDTF">2025-07-29T08:14:46Z</dcterms:created>
  <dcterms:modified xsi:type="dcterms:W3CDTF">2025-11-04T09:42:59Z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2025-07-29T08:21:50Z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377ccc49-6faf-490c-9721-2e7d3a943a70</vt:lpwstr>
  </property>
  <property fmtid="{D5CDD505-2E9C-101B-9397-08002B2CF9AE}" pid="8" name="MSIP_Label_1b557171-d5a2-4c27-b720-d0ccc7e87f50_ContentBits">
    <vt:lpwstr>1</vt:lpwstr>
  </property>
</Properties>
</file>